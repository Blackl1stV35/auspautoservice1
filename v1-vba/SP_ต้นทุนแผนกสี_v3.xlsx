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แดชบอร์ด" sheetId="1" state="visible" r:id="rId1"/>
    <sheet xmlns:r="http://schemas.openxmlformats.org/officeDocument/2006/relationships" name="ฟอร์มบันทึกซื้อ" sheetId="2" state="visible" r:id="rId2"/>
    <sheet xmlns:r="http://schemas.openxmlformats.org/officeDocument/2006/relationships" name="สรุปยอดประจำเดือน" sheetId="3" state="visible" r:id="rId3"/>
    <sheet xmlns:r="http://schemas.openxmlformats.org/officeDocument/2006/relationships" name="งานสี" sheetId="4" state="visible" r:id="rId4"/>
    <sheet xmlns:r="http://schemas.openxmlformats.org/officeDocument/2006/relationships" name="กิ๊บน๊อต" sheetId="5" state="visible" r:id="rId5"/>
    <sheet xmlns:r="http://schemas.openxmlformats.org/officeDocument/2006/relationships" name="น้ำมัน" sheetId="6" state="visible" r:id="rId6"/>
    <sheet xmlns:r="http://schemas.openxmlformats.org/officeDocument/2006/relationships" name="หลอดไฟ" sheetId="7" state="visible" r:id="rId7"/>
    <sheet xmlns:r="http://schemas.openxmlformats.org/officeDocument/2006/relationships" name="อะไหล่อื่นๆ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101041E]d\ mmm\ yy;@"/>
    <numFmt numFmtId="165" formatCode="+0.0%;-0.0%;0%"/>
    <numFmt numFmtId="166" formatCode="0.0%"/>
  </numFmts>
  <fonts count="54">
    <font>
      <name val="Tahoma"/>
      <charset val="222"/>
      <family val="2"/>
      <color theme="1"/>
      <sz val="11"/>
      <scheme val="minor"/>
    </font>
    <font>
      <name val="Cordia New"/>
      <family val="2"/>
      <color theme="1"/>
      <sz val="14"/>
    </font>
    <font>
      <name val="Cordia New"/>
      <family val="2"/>
      <b val="1"/>
      <color rgb="FFFF0000"/>
      <sz val="14"/>
    </font>
    <font>
      <name val="Cordia New"/>
      <family val="2"/>
      <color theme="1"/>
      <sz val="12"/>
    </font>
    <font>
      <name val="Cordia New"/>
      <family val="2"/>
      <color rgb="FFFF0000"/>
      <sz val="14"/>
    </font>
    <font>
      <name val="Angsana New"/>
      <family val="1"/>
      <color theme="1"/>
      <sz val="14"/>
    </font>
    <font>
      <name val="Angsana New"/>
      <family val="1"/>
      <b val="1"/>
      <color theme="1"/>
      <sz val="14"/>
      <u val="single"/>
    </font>
    <font>
      <name val="Cordia New"/>
      <family val="2"/>
      <color theme="1"/>
      <sz val="11"/>
    </font>
    <font>
      <name val="Cordia New"/>
      <family val="2"/>
      <color rgb="FFFF0000"/>
      <sz val="12"/>
    </font>
    <font>
      <name val="Angsana New"/>
      <family val="1"/>
      <color rgb="FFFF0000"/>
      <sz val="14"/>
    </font>
    <font>
      <name val="Cordia New"/>
      <family val="2"/>
      <sz val="14"/>
    </font>
    <font>
      <name val="Cordia New"/>
      <family val="2"/>
      <color theme="1"/>
      <sz val="13"/>
    </font>
    <font>
      <name val="Cordia New"/>
      <family val="2"/>
      <color theme="1"/>
      <sz val="10"/>
    </font>
    <font>
      <name val="Cordia New"/>
      <charset val="222"/>
      <family val="2"/>
      <color theme="1"/>
      <sz val="14"/>
    </font>
    <font>
      <name val="Cordia New"/>
      <charset val="222"/>
      <family val="2"/>
      <color rgb="FFFF0000"/>
      <sz val="14"/>
    </font>
    <font>
      <name val="Cordia New"/>
      <charset val="222"/>
      <family val="2"/>
      <color rgb="FFFF0000"/>
      <sz val="10"/>
    </font>
    <font>
      <name val="Angsana New"/>
      <charset val="222"/>
      <family val="1"/>
      <color rgb="FFFF0000"/>
      <sz val="11"/>
    </font>
    <font>
      <name val="Angsana New"/>
      <charset val="222"/>
      <family val="1"/>
      <color rgb="FFFF0000"/>
      <sz val="12"/>
    </font>
    <font>
      <name val="Cordia New"/>
      <charset val="222"/>
      <family val="2"/>
      <sz val="14"/>
    </font>
    <font>
      <name val="Cordia New"/>
      <family val="2"/>
      <b val="1"/>
      <color rgb="FFFF0000"/>
      <sz val="14"/>
      <u val="single"/>
    </font>
    <font>
      <name val="Cordia New"/>
      <family val="2"/>
      <color rgb="FFFF0000"/>
      <sz val="14"/>
      <u val="single"/>
    </font>
    <font>
      <name val="Cordia New"/>
      <charset val="222"/>
      <family val="2"/>
      <color theme="1"/>
      <sz val="13"/>
    </font>
    <font>
      <name val="Cordia New"/>
      <charset val="222"/>
      <family val="2"/>
      <color theme="1"/>
      <sz val="12"/>
    </font>
    <font>
      <name val="Angsana New"/>
      <family val="1"/>
      <b val="1"/>
      <color rgb="FFFF0000"/>
      <sz val="14"/>
    </font>
    <font>
      <name val="Angsana New"/>
      <family val="1"/>
      <b val="1"/>
      <color rgb="FFFF0000"/>
      <sz val="12"/>
    </font>
    <font>
      <name val="Angsana New"/>
      <family val="1"/>
      <color theme="1"/>
      <sz val="12"/>
    </font>
    <font>
      <name val="Angsana New"/>
      <family val="1"/>
      <color rgb="FFFF0000"/>
      <sz val="12"/>
    </font>
    <font>
      <name val="Angsana New"/>
      <family val="1"/>
      <color theme="1"/>
      <sz val="13"/>
    </font>
    <font>
      <name val="Angsana New"/>
      <family val="1"/>
      <b val="1"/>
      <color rgb="FFFF0000"/>
      <sz val="13"/>
    </font>
    <font>
      <name val="Angsana New"/>
      <family val="1"/>
      <color theme="1"/>
      <sz val="11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color rgb="00888888"/>
      <sz val="10"/>
    </font>
    <font>
      <name val="Arial"/>
      <b val="1"/>
      <color rgb="001F3864"/>
      <sz val="11"/>
    </font>
    <font>
      <name val="Arial"/>
      <b val="1"/>
      <color rgb="00375623"/>
      <sz val="11"/>
    </font>
    <font>
      <name val="Arial"/>
      <b val="1"/>
      <color rgb="00FFFF00"/>
      <sz val="13"/>
    </font>
    <font>
      <name val="Arial"/>
      <b val="1"/>
      <color rgb="00FFFFFF"/>
      <sz val="11"/>
    </font>
    <font>
      <name val="Arial"/>
      <b val="1"/>
      <color rgb="00ED7D31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8"/>
    </font>
    <font>
      <name val="Arial"/>
      <b val="1"/>
      <color rgb="001F4E79"/>
      <sz val="9"/>
    </font>
    <font>
      <name val="Arial"/>
      <color rgb="00888888"/>
      <sz val="8"/>
    </font>
    <font>
      <name val="Arial"/>
      <b val="1"/>
      <color rgb="00375623"/>
      <sz val="8"/>
    </font>
    <font>
      <name val="Arial"/>
      <b val="1"/>
      <color rgb="00C00000"/>
      <sz val="8"/>
    </font>
    <font>
      <name val="Arial"/>
      <color rgb="00000000"/>
      <sz val="9"/>
    </font>
  </fonts>
  <fills count="2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AFAFA"/>
      </patternFill>
    </fill>
    <fill>
      <patternFill patternType="solid">
        <fgColor rgb="00DEEAF1"/>
      </patternFill>
    </fill>
    <fill>
      <patternFill patternType="solid">
        <fgColor rgb="00DDEEFF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FFFFFF"/>
      </patternFill>
    </fill>
    <fill>
      <patternFill patternType="solid">
        <fgColor rgb="00E3F0FB"/>
      </patternFill>
    </fill>
    <fill>
      <patternFill patternType="solid">
        <fgColor rgb="00FCE4D6"/>
      </patternFill>
    </fill>
    <fill>
      <patternFill patternType="solid">
        <fgColor rgb="00F0F0F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 style="medium">
        <color rgb="001F4E79"/>
      </left>
      <right/>
      <top/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 style="medium">
        <color rgb="001F4E79"/>
      </right>
      <top/>
      <bottom/>
      <diagonal/>
    </border>
    <border>
      <left style="medium">
        <color rgb="001F4E79"/>
      </left>
      <right/>
      <top/>
      <bottom style="medium">
        <color rgb="001F4E79"/>
      </bottom>
      <diagonal/>
    </border>
    <border>
      <left/>
      <right style="medium">
        <color rgb="001F4E79"/>
      </right>
      <top/>
      <bottom style="medium">
        <color rgb="001F4E79"/>
      </bottom>
      <diagonal/>
    </border>
    <border>
      <left style="medium">
        <color rgb="001F4E79"/>
      </left>
      <right style="medium">
        <color rgb="001F4E79"/>
      </right>
      <top/>
      <bottom/>
      <diagonal/>
    </border>
    <border>
      <left style="medium">
        <color rgb="001F4E79"/>
      </left>
      <right style="medium">
        <color rgb="001F4E79"/>
      </right>
      <top/>
      <bottom style="medium">
        <color rgb="001F4E79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4" fontId="1" fillId="2" borderId="1" applyAlignment="1" pivotButton="0" quotePrefix="0" xfId="0">
      <alignment horizontal="center"/>
    </xf>
    <xf numFmtId="0" fontId="1" fillId="0" borderId="1" pivotButton="0" quotePrefix="0" xfId="0"/>
    <xf numFmtId="16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4" fontId="3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9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  <xf numFmtId="4" fontId="5" fillId="0" borderId="0" pivotButton="0" quotePrefix="0" xfId="0"/>
    <xf numFmtId="0" fontId="6" fillId="4" borderId="0" pivotButton="0" quotePrefix="0" xfId="0"/>
    <xf numFmtId="0" fontId="5" fillId="4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4" fontId="10" fillId="0" borderId="1" applyAlignment="1" pivotButton="0" quotePrefix="0" xfId="0">
      <alignment horizontal="right"/>
    </xf>
    <xf numFmtId="4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10" fillId="0" borderId="1" pivotButton="0" quotePrefix="0" xfId="0"/>
    <xf numFmtId="4" fontId="9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4" fontId="5" fillId="3" borderId="0" pivotButton="0" quotePrefix="0" xfId="0"/>
    <xf numFmtId="0" fontId="4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9" fillId="0" borderId="0" pivotButton="0" quotePrefix="0" xfId="0"/>
    <xf numFmtId="0" fontId="1" fillId="7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11" fillId="0" borderId="1" pivotButton="0" quotePrefix="0" xfId="0"/>
    <xf numFmtId="4" fontId="1" fillId="0" borderId="1" pivotButton="0" quotePrefix="0" xfId="0"/>
    <xf numFmtId="0" fontId="3" fillId="0" borderId="1" pivotButton="0" quotePrefix="0" xfId="0"/>
    <xf numFmtId="4" fontId="5" fillId="0" borderId="0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13" fillId="0" borderId="1" pivotButton="0" quotePrefix="0" xfId="0"/>
    <xf numFmtId="0" fontId="15" fillId="0" borderId="1" applyAlignment="1" pivotButton="0" quotePrefix="0" xfId="0">
      <alignment horizontal="center"/>
    </xf>
    <xf numFmtId="0" fontId="14" fillId="0" borderId="1" pivotButton="0" quotePrefix="0" xfId="0"/>
    <xf numFmtId="0" fontId="16" fillId="5" borderId="1" applyAlignment="1" pivotButton="0" quotePrefix="0" xfId="0">
      <alignment horizontal="center"/>
    </xf>
    <xf numFmtId="0" fontId="17" fillId="6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21" fillId="3" borderId="1" applyAlignment="1" pivotButton="0" quotePrefix="0" xfId="0">
      <alignment horizontal="center"/>
    </xf>
    <xf numFmtId="0" fontId="22" fillId="3" borderId="1" applyAlignment="1" pivotButton="0" quotePrefix="0" xfId="0">
      <alignment horizontal="center"/>
    </xf>
    <xf numFmtId="0" fontId="13" fillId="3" borderId="1" applyAlignment="1" pivotButton="0" quotePrefix="0" xfId="0">
      <alignment horizontal="left"/>
    </xf>
    <xf numFmtId="0" fontId="13" fillId="7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4" fontId="5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24" fillId="4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27" fillId="0" borderId="1" pivotButton="0" quotePrefix="0" xfId="0"/>
    <xf numFmtId="0" fontId="9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left"/>
    </xf>
    <xf numFmtId="0" fontId="25" fillId="0" borderId="1" pivotButton="0" quotePrefix="0" xfId="0"/>
    <xf numFmtId="1" fontId="5" fillId="0" borderId="1" applyAlignment="1" pivotButton="0" quotePrefix="0" xfId="0">
      <alignment horizontal="center"/>
    </xf>
    <xf numFmtId="0" fontId="9" fillId="0" borderId="1" pivotButton="0" quotePrefix="0" xfId="0"/>
    <xf numFmtId="4" fontId="9" fillId="0" borderId="1" applyAlignment="1" pivotButton="0" quotePrefix="0" xfId="0">
      <alignment horizontal="right"/>
    </xf>
    <xf numFmtId="4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43" fillId="8" borderId="0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center" vertical="center" wrapText="1"/>
    </xf>
    <xf numFmtId="0" fontId="44" fillId="16" borderId="8" applyAlignment="1" pivotButton="0" quotePrefix="0" xfId="0">
      <alignment horizontal="center" vertical="center" wrapText="1"/>
    </xf>
    <xf numFmtId="0" fontId="44" fillId="20" borderId="8" applyAlignment="1" pivotButton="0" quotePrefix="0" xfId="0">
      <alignment horizontal="center" vertical="center" wrapText="1"/>
    </xf>
    <xf numFmtId="0" fontId="34" fillId="11" borderId="8" applyAlignment="1" pivotButton="0" quotePrefix="0" xfId="0">
      <alignment horizontal="center" vertical="center" wrapText="1"/>
    </xf>
    <xf numFmtId="0" fontId="35" fillId="12" borderId="8" applyAlignment="1" pivotButton="0" quotePrefix="0" xfId="0">
      <alignment horizontal="center" vertical="center" wrapText="1"/>
    </xf>
    <xf numFmtId="0" fontId="45" fillId="21" borderId="8" applyAlignment="1" pivotButton="0" quotePrefix="0" xfId="0">
      <alignment horizontal="center" vertical="center" wrapText="1"/>
    </xf>
    <xf numFmtId="0" fontId="33" fillId="10" borderId="0" applyAlignment="1" pivotButton="0" quotePrefix="0" xfId="0">
      <alignment horizontal="left" vertical="center" wrapText="1"/>
    </xf>
    <xf numFmtId="0" fontId="46" fillId="8" borderId="7" applyAlignment="1" pivotButton="0" quotePrefix="0" xfId="0">
      <alignment horizontal="center" vertical="center" wrapText="1"/>
    </xf>
    <xf numFmtId="0" fontId="0" fillId="22" borderId="0" pivotButton="0" quotePrefix="0" xfId="0"/>
    <xf numFmtId="0" fontId="47" fillId="19" borderId="7" applyAlignment="1" pivotButton="0" quotePrefix="0" xfId="0">
      <alignment horizontal="center" vertical="center" wrapText="1"/>
    </xf>
    <xf numFmtId="3" fontId="48" fillId="19" borderId="7" applyAlignment="1" pivotButton="0" quotePrefix="0" xfId="0">
      <alignment horizontal="right" vertical="center"/>
    </xf>
    <xf numFmtId="0" fontId="48" fillId="19" borderId="7" applyAlignment="1" pivotButton="0" quotePrefix="0" xfId="0">
      <alignment horizontal="right" vertical="center"/>
    </xf>
    <xf numFmtId="3" fontId="49" fillId="19" borderId="7" applyAlignment="1" pivotButton="0" quotePrefix="0" xfId="0">
      <alignment horizontal="right" vertical="center"/>
    </xf>
    <xf numFmtId="0" fontId="50" fillId="19" borderId="7" applyAlignment="1" pivotButton="0" quotePrefix="0" xfId="0">
      <alignment horizontal="center" vertical="center" wrapText="1"/>
    </xf>
    <xf numFmtId="0" fontId="47" fillId="15" borderId="7" applyAlignment="1" pivotButton="0" quotePrefix="0" xfId="0">
      <alignment horizontal="center" vertical="center" wrapText="1"/>
    </xf>
    <xf numFmtId="3" fontId="48" fillId="15" borderId="7" applyAlignment="1" pivotButton="0" quotePrefix="0" xfId="0">
      <alignment horizontal="right" vertical="center"/>
    </xf>
    <xf numFmtId="0" fontId="48" fillId="15" borderId="7" applyAlignment="1" pivotButton="0" quotePrefix="0" xfId="0">
      <alignment horizontal="right" vertical="center"/>
    </xf>
    <xf numFmtId="3" fontId="49" fillId="15" borderId="7" applyAlignment="1" pivotButton="0" quotePrefix="0" xfId="0">
      <alignment horizontal="right" vertical="center"/>
    </xf>
    <xf numFmtId="165" fontId="51" fillId="15" borderId="7" applyAlignment="1" pivotButton="0" quotePrefix="0" xfId="0">
      <alignment horizontal="center" vertical="center" wrapText="1"/>
    </xf>
    <xf numFmtId="165" fontId="51" fillId="19" borderId="7" applyAlignment="1" pivotButton="0" quotePrefix="0" xfId="0">
      <alignment horizontal="center" vertical="center" wrapText="1"/>
    </xf>
    <xf numFmtId="165" fontId="52" fillId="15" borderId="7" applyAlignment="1" pivotButton="0" quotePrefix="0" xfId="0">
      <alignment horizontal="center" vertical="center" wrapText="1"/>
    </xf>
    <xf numFmtId="165" fontId="52" fillId="19" borderId="7" applyAlignment="1" pivotButton="0" quotePrefix="0" xfId="0">
      <alignment horizontal="center" vertical="center" wrapText="1"/>
    </xf>
    <xf numFmtId="0" fontId="30" fillId="8" borderId="0" applyAlignment="1" pivotButton="0" quotePrefix="0" xfId="0">
      <alignment horizontal="left" vertical="center" wrapText="1"/>
    </xf>
    <xf numFmtId="0" fontId="46" fillId="9" borderId="7" applyAlignment="1" pivotButton="0" quotePrefix="0" xfId="0">
      <alignment horizontal="center" vertical="center" wrapText="1"/>
    </xf>
    <xf numFmtId="0" fontId="53" fillId="19" borderId="7" applyAlignment="1" pivotButton="0" quotePrefix="0" xfId="0">
      <alignment horizontal="left" vertical="center" wrapText="1"/>
    </xf>
    <xf numFmtId="0" fontId="48" fillId="19" borderId="7" applyAlignment="1" pivotButton="0" quotePrefix="0" xfId="0">
      <alignment horizontal="center" vertical="center" wrapText="1"/>
    </xf>
    <xf numFmtId="166" fontId="53" fillId="19" borderId="7" applyAlignment="1" pivotButton="0" quotePrefix="0" xfId="0">
      <alignment horizontal="center" vertical="center" wrapText="1"/>
    </xf>
    <xf numFmtId="0" fontId="53" fillId="15" borderId="7" applyAlignment="1" pivotButton="0" quotePrefix="0" xfId="0">
      <alignment horizontal="left" vertical="center" wrapText="1"/>
    </xf>
    <xf numFmtId="0" fontId="48" fillId="15" borderId="7" applyAlignment="1" pivotButton="0" quotePrefix="0" xfId="0">
      <alignment horizontal="center" vertical="center" wrapText="1"/>
    </xf>
    <xf numFmtId="166" fontId="53" fillId="15" borderId="7" applyAlignment="1" pivotButton="0" quotePrefix="0" xfId="0">
      <alignment horizontal="center" vertical="center" wrapText="1"/>
    </xf>
    <xf numFmtId="0" fontId="31" fillId="8" borderId="0" applyAlignment="1" pivotButton="0" quotePrefix="0" xfId="0">
      <alignment horizontal="center" vertical="center" wrapText="1"/>
    </xf>
    <xf numFmtId="0" fontId="33" fillId="10" borderId="0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center" vertical="center" wrapText="1"/>
    </xf>
    <xf numFmtId="0" fontId="35" fillId="12" borderId="0" applyAlignment="1" pivotButton="0" quotePrefix="0" xfId="0">
      <alignment horizontal="center" vertical="center" wrapText="1"/>
    </xf>
    <xf numFmtId="0" fontId="33" fillId="13" borderId="7" applyAlignment="1" pivotButton="0" quotePrefix="0" xfId="0">
      <alignment horizontal="left" vertical="center" wrapText="1"/>
    </xf>
    <xf numFmtId="0" fontId="36" fillId="14" borderId="7" applyAlignment="1" pivotButton="0" quotePrefix="0" xfId="0">
      <alignment horizontal="left" vertical="center" wrapText="1"/>
    </xf>
    <xf numFmtId="0" fontId="40" fillId="17" borderId="8" applyAlignment="1" pivotButton="0" quotePrefix="0" xfId="0">
      <alignment horizontal="center" vertical="center" wrapText="1"/>
    </xf>
    <xf numFmtId="0" fontId="30" fillId="18" borderId="8" applyAlignment="1" pivotButton="0" quotePrefix="0" xfId="0">
      <alignment horizontal="center" vertical="center" wrapText="1"/>
    </xf>
    <xf numFmtId="0" fontId="33" fillId="15" borderId="7" applyAlignment="1" pivotButton="0" quotePrefix="0" xfId="0">
      <alignment horizontal="left" vertical="center" wrapText="1"/>
    </xf>
    <xf numFmtId="0" fontId="33" fillId="16" borderId="0" applyAlignment="1" pivotButton="0" quotePrefix="0" xfId="0">
      <alignment horizontal="left" vertical="center" wrapText="1"/>
    </xf>
    <xf numFmtId="0" fontId="37" fillId="16" borderId="8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left" vertical="center" wrapText="1"/>
    </xf>
    <xf numFmtId="0" fontId="38" fillId="11" borderId="8" applyAlignment="1" pivotButton="0" quotePrefix="0" xfId="0">
      <alignment horizontal="center" vertical="center" wrapText="1"/>
    </xf>
    <xf numFmtId="0" fontId="39" fillId="8" borderId="8" applyAlignment="1" pivotButton="0" quotePrefix="0" xfId="0">
      <alignment horizontal="center" vertical="center" wrapText="1"/>
    </xf>
    <xf numFmtId="0" fontId="40" fillId="8" borderId="0" applyAlignment="1" pivotButton="0" quotePrefix="0" xfId="0">
      <alignment horizontal="left" vertical="center" wrapText="1"/>
    </xf>
    <xf numFmtId="0" fontId="41" fillId="15" borderId="0" applyAlignment="1" pivotButton="0" quotePrefix="0" xfId="0">
      <alignment horizontal="center" vertical="center" wrapText="1"/>
    </xf>
    <xf numFmtId="0" fontId="42" fillId="15" borderId="0" applyAlignment="1" pivotButton="0" quotePrefix="0" xfId="0">
      <alignment horizontal="left" vertical="center" wrapText="1"/>
    </xf>
    <xf numFmtId="0" fontId="41" fillId="19" borderId="0" applyAlignment="1" pivotButton="0" quotePrefix="0" xfId="0">
      <alignment horizontal="center" vertical="center" wrapText="1"/>
    </xf>
    <xf numFmtId="0" fontId="42" fillId="19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/>
    </xf>
    <xf numFmtId="0" fontId="0" fillId="0" borderId="2" pivotButton="0" quotePrefix="0" xfId="0"/>
    <xf numFmtId="164" fontId="5" fillId="0" borderId="1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0" fontId="30" fillId="8" borderId="7" applyAlignment="1" pivotButton="0" quotePrefix="0" xfId="0">
      <alignment horizontal="center" vertical="center" wrapText="1"/>
    </xf>
    <xf numFmtId="4" fontId="30" fillId="8" borderId="7" applyAlignment="1" pivotButton="0" quotePrefix="0" xfId="0">
      <alignment horizontal="center" vertical="center" wrapText="1"/>
    </xf>
    <xf numFmtId="164" fontId="30" fillId="8" borderId="7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ต้นทุนรายปี แยกหมวด (พ.ศ.)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'แดชบอร์ด'!L8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cat>
            <numRef>
              <f>'แดชบอร์ด'!$K$9:$K$17</f>
            </numRef>
          </cat>
          <val>
            <numRef>
              <f>'แดชบอร์ด'!$L$9:$L$17</f>
            </numRef>
          </val>
        </ser>
        <ser>
          <idx val="1"/>
          <order val="1"/>
          <tx>
            <strRef>
              <f>'แดชบอร์ด'!M8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>
              <a:solidFill>
                <a:srgbClr val="375623"/>
              </a:solidFill>
              <a:prstDash val="solid"/>
            </a:ln>
          </spPr>
          <cat>
            <numRef>
              <f>'แดชบอร์ด'!$K$9:$K$17</f>
            </numRef>
          </cat>
          <val>
            <numRef>
              <f>'แดชบอร์ด'!$M$9:$M$17</f>
            </numRef>
          </val>
        </ser>
        <ser>
          <idx val="2"/>
          <order val="2"/>
          <tx>
            <strRef>
              <f>'แดชบอร์ด'!N8</f>
            </strRef>
          </tx>
          <spPr>
            <a:solidFill xmlns:a="http://schemas.openxmlformats.org/drawingml/2006/main">
              <a:srgbClr val="7F3F98"/>
            </a:solidFill>
            <a:ln xmlns:a="http://schemas.openxmlformats.org/drawingml/2006/main">
              <a:solidFill>
                <a:srgbClr val="7F3F98"/>
              </a:solidFill>
              <a:prstDash val="solid"/>
            </a:ln>
          </spPr>
          <cat>
            <numRef>
              <f>'แดชบอร์ด'!$K$9:$K$17</f>
            </numRef>
          </cat>
          <val>
            <numRef>
              <f>'แดชบอร์ด'!$N$9:$N$17</f>
            </numRef>
          </val>
        </ser>
        <ser>
          <idx val="3"/>
          <order val="3"/>
          <tx>
            <strRef>
              <f>'แดชบอร์ด'!O8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'แดชบอร์ด'!$K$9:$K$17</f>
            </numRef>
          </cat>
          <val>
            <numRef>
              <f>'แดชบอร์ด'!$O$9:$O$17</f>
            </numRef>
          </val>
        </ser>
        <ser>
          <idx val="4"/>
          <order val="4"/>
          <tx>
            <strRef>
              <f>'แดชบอร์ด'!P8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'แดชบอร์ด'!$K$9:$K$17</f>
            </numRef>
          </cat>
          <val>
            <numRef>
              <f>'แดชบอร์ด'!$P$9:$P$17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บาท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สัดส่วนต้นทุนรวม</a:t>
            </a:r>
          </a:p>
        </rich>
      </tx>
    </title>
    <plotArea>
      <pieChart>
        <varyColors val="1"/>
        <ser>
          <idx val="0"/>
          <order val="0"/>
          <tx>
            <strRef>
              <f>'แดชบอร์ด'!T8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'แดชบอร์ด'!$S$9:$S$13</f>
            </numRef>
          </cat>
          <val>
            <numRef>
              <f>'แดชบอร์ด'!$T$9:$T$13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103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103</row>
      <rowOff>0</rowOff>
    </from>
    <ext cx="36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134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8" customWidth="1" min="3" max="3"/>
    <col width="12" customWidth="1" min="4" max="4"/>
    <col width="12" customWidth="1" min="5" max="5"/>
    <col width="10" customWidth="1" min="6" max="6"/>
    <col width="13" customWidth="1" min="7" max="7"/>
    <col width="14" customWidth="1" min="8" max="8"/>
    <col width="9" customWidth="1" min="9" max="9"/>
    <col width="3" customWidth="1" min="10" max="10"/>
    <col width="22" customWidth="1" min="11" max="11"/>
    <col width="14" customWidth="1" min="12" max="12"/>
    <col width="13" customWidth="1" min="13" max="13"/>
  </cols>
  <sheetData>
    <row r="1" ht="36" customHeight="1">
      <c r="B1" s="107" t="inlineStr">
        <is>
          <t>📊  แดชบอร์ดสรุปต้นทุน — แผนกสี น้ำมัน และอะไหล่  |  ข้อมูล 93 เดือน</t>
        </is>
      </c>
    </row>
    <row r="2" ht="20" customHeight="1">
      <c r="B2" s="108" t="inlineStr">
        <is>
          <t>กด 🔄 รีเฟรช เพื่ออัปเดตข้อมูล  |  Macro: RefreshDashboard</t>
        </is>
      </c>
    </row>
    <row r="3" ht="20" customHeight="1">
      <c r="B3" s="109" t="inlineStr">
        <is>
          <t>ต้นทุนรวม
ทั้งหมด
฿23.61M</t>
        </is>
      </c>
      <c r="C3" s="110" t="inlineStr">
        <is>
          <t>งานสี
฿22.18M</t>
        </is>
      </c>
      <c r="D3" s="170" t="n"/>
      <c r="E3" s="111" t="inlineStr">
        <is>
          <t>กิ๊บน๊อต + น้ำมัน
฿673K</t>
        </is>
      </c>
      <c r="F3" s="170" t="n"/>
      <c r="G3" s="112" t="inlineStr">
        <is>
          <t>หลอดไฟ + อะไหล่ฯ
฿755K</t>
        </is>
      </c>
      <c r="H3" s="170" t="n"/>
      <c r="I3" s="113" t="inlineStr">
        <is>
          <t>รีเฟรช
แดชบอร์ด
🔄</t>
        </is>
      </c>
    </row>
    <row r="4" ht="20" customHeight="1">
      <c r="B4" s="171" t="n"/>
      <c r="C4" s="172" t="n"/>
      <c r="D4" s="173" t="n"/>
      <c r="E4" s="172" t="n"/>
      <c r="F4" s="173" t="n"/>
      <c r="G4" s="172" t="n"/>
      <c r="H4" s="173" t="n"/>
      <c r="I4" s="171" t="n"/>
    </row>
    <row r="5" ht="30" customHeight="1">
      <c r="B5" s="174" t="n"/>
      <c r="C5" s="175" t="n"/>
      <c r="D5" s="176" t="n"/>
      <c r="E5" s="175" t="n"/>
      <c r="F5" s="176" t="n"/>
      <c r="G5" s="175" t="n"/>
      <c r="H5" s="176" t="n"/>
      <c r="I5" s="174" t="n"/>
    </row>
    <row r="6" ht="6" customHeight="1"/>
    <row r="7" ht="20" customHeight="1">
      <c r="B7" s="114" t="inlineStr">
        <is>
          <t>รายละเอียดต้นทุนรายเดือน  (ปี พ.ศ. — เลื่อนดูได้ทุกเดือน)</t>
        </is>
      </c>
    </row>
    <row r="8" ht="22" customHeight="1">
      <c r="B8" s="115" t="inlineStr">
        <is>
          <t>ปี-เดือน</t>
        </is>
      </c>
      <c r="C8" s="115" t="inlineStr">
        <is>
          <t>งานสี</t>
        </is>
      </c>
      <c r="D8" s="115" t="inlineStr">
        <is>
          <t>กิ๊บน๊อต</t>
        </is>
      </c>
      <c r="E8" s="115" t="inlineStr">
        <is>
          <t>น้ำมัน</t>
        </is>
      </c>
      <c r="F8" s="115" t="inlineStr">
        <is>
          <t>หลอดไฟ</t>
        </is>
      </c>
      <c r="G8" s="115" t="inlineStr">
        <is>
          <t>อะไหล่ฯ</t>
        </is>
      </c>
      <c r="H8" s="115" t="inlineStr">
        <is>
          <t>รวม (฿)</t>
        </is>
      </c>
      <c r="I8" s="115" t="inlineStr">
        <is>
          <t>เทียบ%</t>
        </is>
      </c>
      <c r="K8" s="116" t="inlineStr">
        <is>
          <t>ปี</t>
        </is>
      </c>
      <c r="L8" s="116" t="inlineStr">
        <is>
          <t>งานสี</t>
        </is>
      </c>
      <c r="M8" s="116" t="inlineStr">
        <is>
          <t>กิ๊บน๊อต</t>
        </is>
      </c>
      <c r="N8" s="116" t="inlineStr">
        <is>
          <t>น้ำมัน</t>
        </is>
      </c>
      <c r="O8" s="116" t="inlineStr">
        <is>
          <t>หลอดไฟ</t>
        </is>
      </c>
      <c r="P8" s="116" t="inlineStr">
        <is>
          <t>อะไหล่อื่นๆ</t>
        </is>
      </c>
      <c r="Q8" s="116" t="inlineStr">
        <is>
          <t>รวม</t>
        </is>
      </c>
      <c r="S8" s="116" t="inlineStr">
        <is>
          <t>หมวด</t>
        </is>
      </c>
      <c r="T8" s="116" t="inlineStr">
        <is>
          <t>ยอด</t>
        </is>
      </c>
    </row>
    <row r="9" ht="17" customHeight="1">
      <c r="B9" s="117" t="inlineStr">
        <is>
          <t>มี.ค.2561</t>
        </is>
      </c>
      <c r="C9" s="118" t="n">
        <v>15206</v>
      </c>
      <c r="D9" s="119" t="n"/>
      <c r="E9" s="119" t="n"/>
      <c r="F9" s="119" t="n"/>
      <c r="G9" s="119" t="n"/>
      <c r="H9" s="120" t="n">
        <v>15206</v>
      </c>
      <c r="I9" s="121" t="inlineStr">
        <is>
          <t>—</t>
        </is>
      </c>
      <c r="K9" t="inlineStr">
        <is>
          <t>2561</t>
        </is>
      </c>
      <c r="L9" t="n">
        <v>382648</v>
      </c>
      <c r="M9" t="n">
        <v>17045</v>
      </c>
      <c r="N9" t="n">
        <v>32775</v>
      </c>
      <c r="O9" t="n">
        <v>3750</v>
      </c>
      <c r="P9" t="n">
        <v>15960</v>
      </c>
      <c r="Q9" t="n">
        <v>452178</v>
      </c>
      <c r="S9" t="inlineStr">
        <is>
          <t>งานสี</t>
        </is>
      </c>
      <c r="T9" t="n">
        <v>22181165.1462</v>
      </c>
    </row>
    <row r="10" ht="17" customHeight="1">
      <c r="B10" s="122" t="inlineStr">
        <is>
          <t>เม.ย.2561</t>
        </is>
      </c>
      <c r="C10" s="123" t="n">
        <v>29038</v>
      </c>
      <c r="D10" s="124" t="n"/>
      <c r="E10" s="124" t="n"/>
      <c r="F10" s="124" t="n"/>
      <c r="G10" s="124" t="n"/>
      <c r="H10" s="125" t="n">
        <v>29038</v>
      </c>
      <c r="I10" s="126" t="n">
        <v>0.9096409312113639</v>
      </c>
      <c r="K10" t="inlineStr">
        <is>
          <t>2562</t>
        </is>
      </c>
      <c r="L10" t="n">
        <v>2023410.68</v>
      </c>
      <c r="M10" t="n">
        <v>28115</v>
      </c>
      <c r="N10" t="n">
        <v>0</v>
      </c>
      <c r="O10" t="n">
        <v>1460</v>
      </c>
      <c r="P10" t="n">
        <v>9216</v>
      </c>
      <c r="Q10" t="n">
        <v>2062201.68</v>
      </c>
      <c r="S10" t="inlineStr">
        <is>
          <t>กิ๊บน๊อต</t>
        </is>
      </c>
      <c r="T10" t="n">
        <v>166382.6</v>
      </c>
    </row>
    <row r="11" ht="17" customHeight="1">
      <c r="B11" s="117" t="inlineStr">
        <is>
          <t>พ.ค.2561</t>
        </is>
      </c>
      <c r="C11" s="118" t="n">
        <v>233602</v>
      </c>
      <c r="D11" s="118" t="n">
        <v>6085</v>
      </c>
      <c r="E11" s="118" t="n">
        <v>8155</v>
      </c>
      <c r="F11" s="119" t="n"/>
      <c r="G11" s="118" t="n">
        <v>1200</v>
      </c>
      <c r="H11" s="120" t="n">
        <v>249042</v>
      </c>
      <c r="I11" s="127" t="n">
        <v>7.576417108616296</v>
      </c>
      <c r="K11" t="inlineStr">
        <is>
          <t>2563</t>
        </is>
      </c>
      <c r="L11" t="n">
        <v>3865168.05</v>
      </c>
      <c r="M11" t="n">
        <v>27236</v>
      </c>
      <c r="N11" t="n">
        <v>48708.16</v>
      </c>
      <c r="O11" t="n">
        <v>0</v>
      </c>
      <c r="P11" t="n">
        <v>91138.3</v>
      </c>
      <c r="Q11" t="n">
        <v>4032250.51</v>
      </c>
      <c r="S11" t="inlineStr">
        <is>
          <t>น้ำมัน</t>
        </is>
      </c>
      <c r="T11" t="n">
        <v>506542.2672</v>
      </c>
    </row>
    <row r="12" ht="17" customHeight="1">
      <c r="B12" s="122" t="inlineStr">
        <is>
          <t>มิ.ย.2561</t>
        </is>
      </c>
      <c r="C12" s="123" t="n">
        <v>79062</v>
      </c>
      <c r="D12" s="123" t="n">
        <v>6060</v>
      </c>
      <c r="E12" s="123" t="n">
        <v>8370</v>
      </c>
      <c r="F12" s="124" t="n"/>
      <c r="G12" s="123" t="n">
        <v>9509</v>
      </c>
      <c r="H12" s="125" t="n">
        <v>103001</v>
      </c>
      <c r="I12" s="128" t="n">
        <v>-0.5864111274403514</v>
      </c>
      <c r="K12" t="inlineStr">
        <is>
          <t>2564</t>
        </is>
      </c>
      <c r="L12" t="n">
        <v>3175494.65</v>
      </c>
      <c r="M12" t="n">
        <v>22974</v>
      </c>
      <c r="N12" t="n">
        <v>73595.87999999999</v>
      </c>
      <c r="O12" t="n">
        <v>450</v>
      </c>
      <c r="P12" t="n">
        <v>111549.3</v>
      </c>
      <c r="Q12" t="n">
        <v>3384063.83</v>
      </c>
      <c r="S12" t="inlineStr">
        <is>
          <t>หลอดไฟ</t>
        </is>
      </c>
      <c r="T12" t="n">
        <v>20132</v>
      </c>
    </row>
    <row r="13" ht="17" customHeight="1">
      <c r="B13" s="117" t="inlineStr">
        <is>
          <t>ก.ค.2561</t>
        </is>
      </c>
      <c r="C13" s="118" t="n">
        <v>22740</v>
      </c>
      <c r="D13" s="118" t="n">
        <v>4900</v>
      </c>
      <c r="E13" s="118" t="n">
        <v>10730</v>
      </c>
      <c r="F13" s="119" t="n"/>
      <c r="G13" s="118" t="n">
        <v>2761</v>
      </c>
      <c r="H13" s="120" t="n">
        <v>41131</v>
      </c>
      <c r="I13" s="129" t="n">
        <v>-0.6006737798662148</v>
      </c>
      <c r="K13" t="inlineStr">
        <is>
          <t>2565</t>
        </is>
      </c>
      <c r="L13" t="n">
        <v>2947994.97</v>
      </c>
      <c r="M13" t="n">
        <v>13227.5</v>
      </c>
      <c r="N13" t="n">
        <v>86955.62</v>
      </c>
      <c r="O13" t="n">
        <v>2029</v>
      </c>
      <c r="P13" t="n">
        <v>98410</v>
      </c>
      <c r="Q13" t="n">
        <v>3148617.09</v>
      </c>
      <c r="S13" t="inlineStr">
        <is>
          <t>อะไหล่อื่นๆ</t>
        </is>
      </c>
      <c r="T13" t="n">
        <v>735104.8663</v>
      </c>
    </row>
    <row r="14" ht="17" customHeight="1">
      <c r="B14" s="122" t="inlineStr">
        <is>
          <t>ส.ค.2561</t>
        </is>
      </c>
      <c r="C14" s="124" t="n"/>
      <c r="D14" s="124" t="n"/>
      <c r="E14" s="123" t="n">
        <v>5520</v>
      </c>
      <c r="F14" s="124" t="n"/>
      <c r="G14" s="123" t="n">
        <v>2490</v>
      </c>
      <c r="H14" s="125" t="n">
        <v>8010</v>
      </c>
      <c r="I14" s="128" t="n">
        <v>-0.8052563759694634</v>
      </c>
      <c r="K14" t="inlineStr">
        <is>
          <t>2566</t>
        </is>
      </c>
      <c r="L14" t="n">
        <v>3375931.5</v>
      </c>
      <c r="M14" t="n">
        <v>24705</v>
      </c>
      <c r="N14" t="n">
        <v>85397.98000000001</v>
      </c>
      <c r="O14" t="n">
        <v>9310</v>
      </c>
      <c r="P14" t="n">
        <v>156914</v>
      </c>
      <c r="Q14" t="n">
        <v>3652258.48</v>
      </c>
    </row>
    <row r="15" ht="17" customHeight="1">
      <c r="B15" s="117" t="inlineStr">
        <is>
          <t>ต.ค.2561</t>
        </is>
      </c>
      <c r="C15" s="118" t="n">
        <v>3000</v>
      </c>
      <c r="D15" s="119" t="n"/>
      <c r="E15" s="119" t="n"/>
      <c r="F15" s="119" t="n"/>
      <c r="G15" s="119" t="n"/>
      <c r="H15" s="120" t="n">
        <v>3000</v>
      </c>
      <c r="I15" s="129" t="n">
        <v>-0.6254681647940075</v>
      </c>
      <c r="K15" t="inlineStr">
        <is>
          <t>2567</t>
        </is>
      </c>
      <c r="L15" t="n">
        <v>3261034.7509</v>
      </c>
      <c r="M15" t="n">
        <v>16939.1</v>
      </c>
      <c r="N15" t="n">
        <v>74740.47560000001</v>
      </c>
      <c r="O15" t="n">
        <v>2210</v>
      </c>
      <c r="P15" t="n">
        <v>113494.67</v>
      </c>
      <c r="Q15" t="n">
        <v>3468418.9965</v>
      </c>
    </row>
    <row r="16" ht="17" customHeight="1">
      <c r="B16" s="122" t="inlineStr">
        <is>
          <t>พ.ย.2561</t>
        </is>
      </c>
      <c r="C16" s="124" t="n"/>
      <c r="D16" s="124" t="n"/>
      <c r="E16" s="124" t="n"/>
      <c r="F16" s="123" t="n">
        <v>3750</v>
      </c>
      <c r="G16" s="124" t="n"/>
      <c r="H16" s="125" t="n">
        <v>3750</v>
      </c>
      <c r="I16" s="126" t="n">
        <v>0.25</v>
      </c>
      <c r="K16" t="inlineStr">
        <is>
          <t>2568</t>
        </is>
      </c>
      <c r="L16" t="n">
        <v>3131800.545300001</v>
      </c>
      <c r="M16" t="n">
        <v>16141</v>
      </c>
      <c r="N16" t="n">
        <v>83055.39</v>
      </c>
      <c r="O16" t="n">
        <v>923</v>
      </c>
      <c r="P16" t="n">
        <v>125072.2898</v>
      </c>
      <c r="Q16" t="n">
        <v>3356992.225100001</v>
      </c>
    </row>
    <row r="17" ht="17" customHeight="1">
      <c r="B17" s="117" t="inlineStr">
        <is>
          <t>ก.พ.2562</t>
        </is>
      </c>
      <c r="C17" s="119" t="n"/>
      <c r="D17" s="119" t="n"/>
      <c r="E17" s="119" t="n"/>
      <c r="F17" s="119" t="n"/>
      <c r="G17" s="118" t="n">
        <v>1300</v>
      </c>
      <c r="H17" s="120" t="n">
        <v>1300</v>
      </c>
      <c r="I17" s="129" t="n">
        <v>-0.6533333333333333</v>
      </c>
      <c r="K17" t="inlineStr">
        <is>
          <t>2569</t>
        </is>
      </c>
      <c r="L17" t="n">
        <v>17682</v>
      </c>
      <c r="M17" t="n">
        <v>0</v>
      </c>
      <c r="N17" t="n">
        <v>21313.7616</v>
      </c>
      <c r="O17" t="n">
        <v>0</v>
      </c>
      <c r="P17" t="n">
        <v>13350.3065</v>
      </c>
      <c r="Q17" t="n">
        <v>52346.0681</v>
      </c>
    </row>
    <row r="18" ht="17" customHeight="1">
      <c r="B18" s="122" t="inlineStr">
        <is>
          <t>เม.ย.2562</t>
        </is>
      </c>
      <c r="C18" s="123" t="n">
        <v>26580</v>
      </c>
      <c r="D18" s="124" t="n"/>
      <c r="E18" s="124" t="n"/>
      <c r="F18" s="124" t="n"/>
      <c r="G18" s="124" t="n"/>
      <c r="H18" s="125" t="n">
        <v>26580</v>
      </c>
      <c r="I18" s="126" t="n">
        <v>19.44615384615384</v>
      </c>
    </row>
    <row r="19" ht="17" customHeight="1">
      <c r="B19" s="117" t="inlineStr">
        <is>
          <t>พ.ค.2562</t>
        </is>
      </c>
      <c r="C19" s="118" t="n">
        <v>243450</v>
      </c>
      <c r="D19" s="118" t="n">
        <v>9595</v>
      </c>
      <c r="E19" s="119" t="n"/>
      <c r="F19" s="119" t="n"/>
      <c r="G19" s="118" t="n">
        <v>1200</v>
      </c>
      <c r="H19" s="120" t="n">
        <v>254245</v>
      </c>
      <c r="I19" s="127" t="n">
        <v>8.565274642588413</v>
      </c>
    </row>
    <row r="20" ht="17" customHeight="1">
      <c r="B20" s="122" t="inlineStr">
        <is>
          <t>มิ.ย.2562</t>
        </is>
      </c>
      <c r="C20" s="123" t="n">
        <v>432945</v>
      </c>
      <c r="D20" s="124" t="n"/>
      <c r="E20" s="124" t="n"/>
      <c r="F20" s="124" t="n"/>
      <c r="G20" s="124" t="n"/>
      <c r="H20" s="125" t="n">
        <v>432945</v>
      </c>
      <c r="I20" s="126" t="n">
        <v>0.7028653464178253</v>
      </c>
    </row>
    <row r="21" ht="17" customHeight="1">
      <c r="B21" s="117" t="inlineStr">
        <is>
          <t>ก.ค.2562</t>
        </is>
      </c>
      <c r="C21" s="118" t="n">
        <v>412937</v>
      </c>
      <c r="D21" s="118" t="n">
        <v>9950</v>
      </c>
      <c r="E21" s="119" t="n"/>
      <c r="F21" s="119" t="n"/>
      <c r="G21" s="118" t="n">
        <v>575</v>
      </c>
      <c r="H21" s="120" t="n">
        <v>423462</v>
      </c>
      <c r="I21" s="129" t="n">
        <v>-0.02190347503724491</v>
      </c>
    </row>
    <row r="22" ht="17" customHeight="1">
      <c r="B22" s="122" t="inlineStr">
        <is>
          <t>ส.ค.2562</t>
        </is>
      </c>
      <c r="C22" s="123" t="n">
        <v>417672</v>
      </c>
      <c r="D22" s="123" t="n">
        <v>6650</v>
      </c>
      <c r="E22" s="124" t="n"/>
      <c r="F22" s="123" t="n">
        <v>1460</v>
      </c>
      <c r="G22" s="124" t="n"/>
      <c r="H22" s="125" t="n">
        <v>425782</v>
      </c>
      <c r="I22" s="126" t="n">
        <v>0.005478649796203674</v>
      </c>
    </row>
    <row r="23" ht="17" customHeight="1">
      <c r="B23" s="117" t="inlineStr">
        <is>
          <t>ก.ย.2562</t>
        </is>
      </c>
      <c r="C23" s="118" t="n">
        <v>342524.4</v>
      </c>
      <c r="D23" s="119" t="n"/>
      <c r="E23" s="119" t="n"/>
      <c r="F23" s="119" t="n"/>
      <c r="G23" s="118" t="n">
        <v>4396</v>
      </c>
      <c r="H23" s="120" t="n">
        <v>346920.4</v>
      </c>
      <c r="I23" s="129" t="n">
        <v>-0.1852159086105095</v>
      </c>
    </row>
    <row r="24" ht="17" customHeight="1">
      <c r="B24" s="122" t="inlineStr">
        <is>
          <t>ต.ค.2562</t>
        </is>
      </c>
      <c r="C24" s="123" t="n">
        <v>20697</v>
      </c>
      <c r="D24" s="124" t="n"/>
      <c r="E24" s="124" t="n"/>
      <c r="F24" s="124" t="n"/>
      <c r="G24" s="124" t="n"/>
      <c r="H24" s="125" t="n">
        <v>20697</v>
      </c>
      <c r="I24" s="128" t="n">
        <v>-0.9403407813435013</v>
      </c>
    </row>
    <row r="25" ht="17" customHeight="1">
      <c r="B25" s="117" t="inlineStr">
        <is>
          <t>พ.ย.2562</t>
        </is>
      </c>
      <c r="C25" s="118" t="n">
        <v>1370</v>
      </c>
      <c r="D25" s="118" t="n">
        <v>960</v>
      </c>
      <c r="E25" s="119" t="n"/>
      <c r="F25" s="119" t="n"/>
      <c r="G25" s="118" t="n">
        <v>1675</v>
      </c>
      <c r="H25" s="120" t="n">
        <v>4005</v>
      </c>
      <c r="I25" s="129" t="n">
        <v>-0.8064936947383679</v>
      </c>
    </row>
    <row r="26" ht="17" customHeight="1">
      <c r="B26" s="122" t="inlineStr">
        <is>
          <t>ธ.ค.2562</t>
        </is>
      </c>
      <c r="C26" s="123" t="n">
        <v>125235.28</v>
      </c>
      <c r="D26" s="123" t="n">
        <v>960</v>
      </c>
      <c r="E26" s="124" t="n"/>
      <c r="F26" s="124" t="n"/>
      <c r="G26" s="123" t="n">
        <v>70</v>
      </c>
      <c r="H26" s="125" t="n">
        <v>126265.28</v>
      </c>
      <c r="I26" s="126" t="n">
        <v>30.526911360799</v>
      </c>
    </row>
    <row r="27" ht="17" customHeight="1">
      <c r="B27" s="117" t="inlineStr">
        <is>
          <t>ม.ค.2563</t>
        </is>
      </c>
      <c r="C27" s="118" t="n">
        <v>108170</v>
      </c>
      <c r="D27" s="118" t="n">
        <v>960</v>
      </c>
      <c r="E27" s="119" t="n"/>
      <c r="F27" s="119" t="n"/>
      <c r="G27" s="118" t="n">
        <v>10101.3</v>
      </c>
      <c r="H27" s="120" t="n">
        <v>119231.3</v>
      </c>
      <c r="I27" s="129" t="n">
        <v>-0.05570795075257423</v>
      </c>
    </row>
    <row r="28" ht="17" customHeight="1">
      <c r="B28" s="122" t="inlineStr">
        <is>
          <t>ก.พ.2563</t>
        </is>
      </c>
      <c r="C28" s="123" t="n">
        <v>340624.9</v>
      </c>
      <c r="D28" s="123" t="n">
        <v>7025</v>
      </c>
      <c r="E28" s="124" t="n"/>
      <c r="F28" s="124" t="n"/>
      <c r="G28" s="123" t="n">
        <v>4010</v>
      </c>
      <c r="H28" s="125" t="n">
        <v>351659.9</v>
      </c>
      <c r="I28" s="126" t="n">
        <v>1.949392483349591</v>
      </c>
    </row>
    <row r="29" ht="17" customHeight="1">
      <c r="B29" s="117" t="inlineStr">
        <is>
          <t>มี.ค.2563</t>
        </is>
      </c>
      <c r="C29" s="118" t="n">
        <v>448535.2</v>
      </c>
      <c r="D29" s="118" t="n">
        <v>192</v>
      </c>
      <c r="E29" s="118" t="n">
        <v>5193</v>
      </c>
      <c r="F29" s="119" t="n"/>
      <c r="G29" s="118" t="n">
        <v>7365</v>
      </c>
      <c r="H29" s="120" t="n">
        <v>461285.2</v>
      </c>
      <c r="I29" s="127" t="n">
        <v>0.3117367092466328</v>
      </c>
    </row>
    <row r="30" ht="17" customHeight="1">
      <c r="B30" s="122" t="inlineStr">
        <is>
          <t>เม.ย.2563</t>
        </is>
      </c>
      <c r="C30" s="123" t="n">
        <v>356672.3</v>
      </c>
      <c r="D30" s="123" t="n">
        <v>1675</v>
      </c>
      <c r="E30" s="124" t="n"/>
      <c r="F30" s="124" t="n"/>
      <c r="G30" s="123" t="n">
        <v>21053</v>
      </c>
      <c r="H30" s="125" t="n">
        <v>379400.3</v>
      </c>
      <c r="I30" s="128" t="n">
        <v>-0.1775146915617496</v>
      </c>
    </row>
    <row r="31" ht="17" customHeight="1">
      <c r="B31" s="117" t="inlineStr">
        <is>
          <t>พ.ค.2563</t>
        </is>
      </c>
      <c r="C31" s="118" t="n">
        <v>68684.89999999999</v>
      </c>
      <c r="D31" s="119" t="n"/>
      <c r="E31" s="118" t="n">
        <v>180</v>
      </c>
      <c r="F31" s="119" t="n"/>
      <c r="G31" s="118" t="n">
        <v>2945</v>
      </c>
      <c r="H31" s="120" t="n">
        <v>71809.89999999999</v>
      </c>
      <c r="I31" s="129" t="n">
        <v>-0.8107278776532333</v>
      </c>
    </row>
    <row r="32" ht="17" customHeight="1">
      <c r="B32" s="122" t="inlineStr">
        <is>
          <t>มิ.ย.2563</t>
        </is>
      </c>
      <c r="C32" s="123" t="n">
        <v>312981.6</v>
      </c>
      <c r="D32" s="123" t="n">
        <v>598</v>
      </c>
      <c r="E32" s="123" t="n">
        <v>4790</v>
      </c>
      <c r="F32" s="124" t="n"/>
      <c r="G32" s="123" t="n">
        <v>9719</v>
      </c>
      <c r="H32" s="125" t="n">
        <v>328088.6</v>
      </c>
      <c r="I32" s="126" t="n">
        <v>3.568849141970675</v>
      </c>
    </row>
    <row r="33" ht="17" customHeight="1">
      <c r="B33" s="117" t="inlineStr">
        <is>
          <t>ก.ค.2563</t>
        </is>
      </c>
      <c r="C33" s="118" t="n">
        <v>303486.3</v>
      </c>
      <c r="D33" s="118" t="n">
        <v>4200</v>
      </c>
      <c r="E33" s="118" t="n">
        <v>2890</v>
      </c>
      <c r="F33" s="119" t="n"/>
      <c r="G33" s="118" t="n">
        <v>4876</v>
      </c>
      <c r="H33" s="120" t="n">
        <v>315452.3</v>
      </c>
      <c r="I33" s="129" t="n">
        <v>-0.0385149011577968</v>
      </c>
    </row>
    <row r="34" ht="17" customHeight="1">
      <c r="B34" s="122" t="inlineStr">
        <is>
          <t>ส.ค.2563</t>
        </is>
      </c>
      <c r="C34" s="123" t="n">
        <v>401912.6</v>
      </c>
      <c r="D34" s="123" t="n">
        <v>5000</v>
      </c>
      <c r="E34" s="123" t="n">
        <v>7300</v>
      </c>
      <c r="F34" s="124" t="n"/>
      <c r="G34" s="123" t="n">
        <v>3161</v>
      </c>
      <c r="H34" s="125" t="n">
        <v>417373.6</v>
      </c>
      <c r="I34" s="126" t="n">
        <v>0.3230957580591421</v>
      </c>
    </row>
    <row r="35" ht="17" customHeight="1">
      <c r="B35" s="117" t="inlineStr">
        <is>
          <t>ก.ย.2563</t>
        </is>
      </c>
      <c r="C35" s="118" t="n">
        <v>199868.3</v>
      </c>
      <c r="D35" s="118" t="n">
        <v>3250</v>
      </c>
      <c r="E35" s="118" t="n">
        <v>16951.58</v>
      </c>
      <c r="F35" s="119" t="n"/>
      <c r="G35" s="118" t="n">
        <v>4618</v>
      </c>
      <c r="H35" s="120" t="n">
        <v>224687.88</v>
      </c>
      <c r="I35" s="129" t="n">
        <v>-0.4616624530157154</v>
      </c>
    </row>
    <row r="36" ht="17" customHeight="1">
      <c r="B36" s="122" t="inlineStr">
        <is>
          <t>ต.ค.2563</t>
        </is>
      </c>
      <c r="C36" s="123" t="n">
        <v>265639.7</v>
      </c>
      <c r="D36" s="123" t="n">
        <v>500</v>
      </c>
      <c r="E36" s="123" t="n">
        <v>5835</v>
      </c>
      <c r="F36" s="124" t="n"/>
      <c r="G36" s="123" t="n">
        <v>2294</v>
      </c>
      <c r="H36" s="125" t="n">
        <v>274268.7</v>
      </c>
      <c r="I36" s="126" t="n">
        <v>0.2206653069137508</v>
      </c>
    </row>
    <row r="37" ht="17" customHeight="1">
      <c r="B37" s="117" t="inlineStr">
        <is>
          <t>พ.ย.2563</t>
        </is>
      </c>
      <c r="C37" s="118" t="n">
        <v>569287.6</v>
      </c>
      <c r="D37" s="118" t="n">
        <v>500</v>
      </c>
      <c r="E37" s="118" t="n">
        <v>5413.58</v>
      </c>
      <c r="F37" s="119" t="n"/>
      <c r="G37" s="118" t="n">
        <v>12934</v>
      </c>
      <c r="H37" s="120" t="n">
        <v>588135.1799999999</v>
      </c>
      <c r="I37" s="127" t="n">
        <v>1.144375862065193</v>
      </c>
    </row>
    <row r="38" ht="17" customHeight="1">
      <c r="B38" s="122" t="inlineStr">
        <is>
          <t>ธ.ค.2563</t>
        </is>
      </c>
      <c r="C38" s="123" t="n">
        <v>489304.65</v>
      </c>
      <c r="D38" s="123" t="n">
        <v>3336</v>
      </c>
      <c r="E38" s="123" t="n">
        <v>155</v>
      </c>
      <c r="F38" s="124" t="n"/>
      <c r="G38" s="123" t="n">
        <v>8062</v>
      </c>
      <c r="H38" s="125" t="n">
        <v>500857.65</v>
      </c>
      <c r="I38" s="128" t="n">
        <v>-0.1483970572887681</v>
      </c>
    </row>
    <row r="39" ht="17" customHeight="1">
      <c r="B39" s="117" t="inlineStr">
        <is>
          <t>ม.ค.2564</t>
        </is>
      </c>
      <c r="C39" s="118" t="n">
        <v>202884.7</v>
      </c>
      <c r="D39" s="118" t="n">
        <v>4655</v>
      </c>
      <c r="E39" s="118" t="n">
        <v>16248.58</v>
      </c>
      <c r="F39" s="119" t="n"/>
      <c r="G39" s="118" t="n">
        <v>2960</v>
      </c>
      <c r="H39" s="120" t="n">
        <v>226748.28</v>
      </c>
      <c r="I39" s="129" t="n">
        <v>-0.5472799906320688</v>
      </c>
    </row>
    <row r="40" ht="17" customHeight="1">
      <c r="B40" s="122" t="inlineStr">
        <is>
          <t>ก.พ.2564</t>
        </is>
      </c>
      <c r="C40" s="123" t="n">
        <v>368455</v>
      </c>
      <c r="D40" s="123" t="n">
        <v>98</v>
      </c>
      <c r="E40" s="123" t="n">
        <v>5115</v>
      </c>
      <c r="F40" s="123" t="n">
        <v>450</v>
      </c>
      <c r="G40" s="123" t="n">
        <v>23048</v>
      </c>
      <c r="H40" s="125" t="n">
        <v>397166</v>
      </c>
      <c r="I40" s="126" t="n">
        <v>0.7515722721248426</v>
      </c>
    </row>
    <row r="41" ht="17" customHeight="1">
      <c r="B41" s="117" t="inlineStr">
        <is>
          <t>มี.ค.2564</t>
        </is>
      </c>
      <c r="C41" s="118" t="n">
        <v>432012.25</v>
      </c>
      <c r="D41" s="118" t="n">
        <v>500</v>
      </c>
      <c r="E41" s="118" t="n">
        <v>10083.58</v>
      </c>
      <c r="F41" s="119" t="n"/>
      <c r="G41" s="118" t="n">
        <v>6062</v>
      </c>
      <c r="H41" s="120" t="n">
        <v>448657.83</v>
      </c>
      <c r="I41" s="127" t="n">
        <v>0.1296481320153287</v>
      </c>
    </row>
    <row r="42" ht="17" customHeight="1">
      <c r="B42" s="122" t="inlineStr">
        <is>
          <t>เม.ย.2564</t>
        </is>
      </c>
      <c r="C42" s="123" t="n">
        <v>110290</v>
      </c>
      <c r="D42" s="123" t="n">
        <v>30</v>
      </c>
      <c r="E42" s="123" t="n">
        <v>4243.46</v>
      </c>
      <c r="F42" s="124" t="n"/>
      <c r="G42" s="123" t="n">
        <v>10316</v>
      </c>
      <c r="H42" s="125" t="n">
        <v>124879.46</v>
      </c>
      <c r="I42" s="128" t="n">
        <v>-0.7216599117416495</v>
      </c>
    </row>
    <row r="43" ht="17" customHeight="1">
      <c r="B43" s="117" t="inlineStr">
        <is>
          <t>พ.ค.2564</t>
        </is>
      </c>
      <c r="C43" s="118" t="n">
        <v>39664</v>
      </c>
      <c r="D43" s="118" t="n">
        <v>2460</v>
      </c>
      <c r="E43" s="118" t="n">
        <v>2455</v>
      </c>
      <c r="F43" s="119" t="n"/>
      <c r="G43" s="118" t="n">
        <v>7311</v>
      </c>
      <c r="H43" s="120" t="n">
        <v>51890</v>
      </c>
      <c r="I43" s="129" t="n">
        <v>-0.5844793050834781</v>
      </c>
    </row>
    <row r="44" ht="17" customHeight="1">
      <c r="B44" s="122" t="inlineStr">
        <is>
          <t>มิ.ย.2564</t>
        </is>
      </c>
      <c r="C44" s="123" t="n">
        <v>295011</v>
      </c>
      <c r="D44" s="123" t="n">
        <v>3382</v>
      </c>
      <c r="E44" s="123" t="n">
        <v>12187.04</v>
      </c>
      <c r="F44" s="124" t="n"/>
      <c r="G44" s="123" t="n">
        <v>9797</v>
      </c>
      <c r="H44" s="125" t="n">
        <v>320377.04</v>
      </c>
      <c r="I44" s="126" t="n">
        <v>5.174157641164</v>
      </c>
    </row>
    <row r="45" ht="17" customHeight="1">
      <c r="B45" s="117" t="inlineStr">
        <is>
          <t>ก.ค.2564</t>
        </is>
      </c>
      <c r="C45" s="118" t="n">
        <v>277363.3</v>
      </c>
      <c r="D45" s="119" t="n"/>
      <c r="E45" s="118" t="n">
        <v>385</v>
      </c>
      <c r="F45" s="119" t="n"/>
      <c r="G45" s="118" t="n">
        <v>8006</v>
      </c>
      <c r="H45" s="120" t="n">
        <v>285754.3</v>
      </c>
      <c r="I45" s="129" t="n">
        <v>-0.1080687305182668</v>
      </c>
    </row>
    <row r="46" ht="17" customHeight="1">
      <c r="B46" s="122" t="inlineStr">
        <is>
          <t>ส.ค.2564</t>
        </is>
      </c>
      <c r="C46" s="123" t="n">
        <v>164700</v>
      </c>
      <c r="D46" s="123" t="n">
        <v>7129</v>
      </c>
      <c r="E46" s="123" t="n">
        <v>6527.299999999999</v>
      </c>
      <c r="F46" s="124" t="n"/>
      <c r="G46" s="123" t="n">
        <v>7309.3</v>
      </c>
      <c r="H46" s="125" t="n">
        <v>185665.6</v>
      </c>
      <c r="I46" s="128" t="n">
        <v>-0.3502613958915055</v>
      </c>
    </row>
    <row r="47" ht="17" customHeight="1">
      <c r="B47" s="117" t="inlineStr">
        <is>
          <t>ก.ย.2564</t>
        </is>
      </c>
      <c r="C47" s="118" t="n">
        <v>251381.6</v>
      </c>
      <c r="D47" s="118" t="n">
        <v>4660</v>
      </c>
      <c r="E47" s="118" t="n">
        <v>1840</v>
      </c>
      <c r="F47" s="119" t="n"/>
      <c r="G47" s="118" t="n">
        <v>7970</v>
      </c>
      <c r="H47" s="120" t="n">
        <v>265851.6</v>
      </c>
      <c r="I47" s="127" t="n">
        <v>0.4318839892796512</v>
      </c>
    </row>
    <row r="48" ht="17" customHeight="1">
      <c r="B48" s="122" t="inlineStr">
        <is>
          <t>ต.ค.2564</t>
        </is>
      </c>
      <c r="C48" s="123" t="n">
        <v>213060.2</v>
      </c>
      <c r="D48" s="124" t="n"/>
      <c r="E48" s="123" t="n">
        <v>4270</v>
      </c>
      <c r="F48" s="124" t="n"/>
      <c r="G48" s="123" t="n">
        <v>4698</v>
      </c>
      <c r="H48" s="125" t="n">
        <v>222028.2</v>
      </c>
      <c r="I48" s="128" t="n">
        <v>-0.1648415883146837</v>
      </c>
    </row>
    <row r="49" ht="17" customHeight="1">
      <c r="B49" s="117" t="inlineStr">
        <is>
          <t>พ.ย.2564</t>
        </is>
      </c>
      <c r="C49" s="118" t="n">
        <v>458482.6</v>
      </c>
      <c r="D49" s="118" t="n">
        <v>60</v>
      </c>
      <c r="E49" s="118" t="n">
        <v>3173.76</v>
      </c>
      <c r="F49" s="119" t="n"/>
      <c r="G49" s="118" t="n">
        <v>5891</v>
      </c>
      <c r="H49" s="120" t="n">
        <v>467607.36</v>
      </c>
      <c r="I49" s="127" t="n">
        <v>1.106071931403308</v>
      </c>
    </row>
    <row r="50" ht="17" customHeight="1">
      <c r="B50" s="122" t="inlineStr">
        <is>
          <t>ธ.ค.2564</t>
        </is>
      </c>
      <c r="C50" s="123" t="n">
        <v>362190</v>
      </c>
      <c r="D50" s="124" t="n"/>
      <c r="E50" s="123" t="n">
        <v>7067.16</v>
      </c>
      <c r="F50" s="124" t="n"/>
      <c r="G50" s="123" t="n">
        <v>18181</v>
      </c>
      <c r="H50" s="125" t="n">
        <v>387438.16</v>
      </c>
      <c r="I50" s="128" t="n">
        <v>-0.171445547820291</v>
      </c>
    </row>
    <row r="51" ht="17" customHeight="1">
      <c r="B51" s="117" t="inlineStr">
        <is>
          <t>ม.ค.2565</t>
        </is>
      </c>
      <c r="C51" s="118" t="n">
        <v>148058.5</v>
      </c>
      <c r="D51" s="119" t="n"/>
      <c r="E51" s="118" t="n">
        <v>5015</v>
      </c>
      <c r="F51" s="119" t="n"/>
      <c r="G51" s="118" t="n">
        <v>13824</v>
      </c>
      <c r="H51" s="120" t="n">
        <v>166897.5</v>
      </c>
      <c r="I51" s="129" t="n">
        <v>-0.5692280285452522</v>
      </c>
    </row>
    <row r="52" ht="17" customHeight="1">
      <c r="B52" s="122" t="inlineStr">
        <is>
          <t>ก.พ.2565</t>
        </is>
      </c>
      <c r="C52" s="123" t="n">
        <v>197903.3</v>
      </c>
      <c r="D52" s="123" t="n">
        <v>662.5</v>
      </c>
      <c r="E52" s="123" t="n">
        <v>11788.76</v>
      </c>
      <c r="F52" s="124" t="n"/>
      <c r="G52" s="123" t="n">
        <v>813</v>
      </c>
      <c r="H52" s="125" t="n">
        <v>211167.56</v>
      </c>
      <c r="I52" s="126" t="n">
        <v>0.2652529846163064</v>
      </c>
    </row>
    <row r="53" ht="17" customHeight="1">
      <c r="B53" s="117" t="inlineStr">
        <is>
          <t>มี.ค.2565</t>
        </is>
      </c>
      <c r="C53" s="118" t="n">
        <v>306434.4</v>
      </c>
      <c r="D53" s="118" t="n">
        <v>4650</v>
      </c>
      <c r="E53" s="118" t="n">
        <v>4387.34</v>
      </c>
      <c r="F53" s="119" t="n"/>
      <c r="G53" s="118" t="n">
        <v>4610</v>
      </c>
      <c r="H53" s="120" t="n">
        <v>320081.74</v>
      </c>
      <c r="I53" s="127" t="n">
        <v>0.5157713618512237</v>
      </c>
    </row>
    <row r="54" ht="17" customHeight="1">
      <c r="B54" s="122" t="inlineStr">
        <is>
          <t>เม.ย.2565</t>
        </is>
      </c>
      <c r="C54" s="123" t="n">
        <v>146225</v>
      </c>
      <c r="D54" s="124" t="n"/>
      <c r="E54" s="123" t="n">
        <v>8572.16</v>
      </c>
      <c r="F54" s="124" t="n"/>
      <c r="G54" s="123" t="n">
        <v>3445</v>
      </c>
      <c r="H54" s="125" t="n">
        <v>158242.16</v>
      </c>
      <c r="I54" s="128" t="n">
        <v>-0.5056195333104599</v>
      </c>
    </row>
    <row r="55" ht="17" customHeight="1">
      <c r="B55" s="117" t="inlineStr">
        <is>
          <t>พ.ค.2565</t>
        </is>
      </c>
      <c r="C55" s="118" t="n">
        <v>310867.47</v>
      </c>
      <c r="D55" s="118" t="n">
        <v>240</v>
      </c>
      <c r="E55" s="118" t="n">
        <v>4018.58</v>
      </c>
      <c r="F55" s="119" t="n"/>
      <c r="G55" s="118" t="n">
        <v>5160</v>
      </c>
      <c r="H55" s="120" t="n">
        <v>320286.05</v>
      </c>
      <c r="I55" s="127" t="n">
        <v>1.02402476053158</v>
      </c>
    </row>
    <row r="56" ht="17" customHeight="1">
      <c r="B56" s="122" t="inlineStr">
        <is>
          <t>มิ.ย.2565</t>
        </is>
      </c>
      <c r="C56" s="123" t="n">
        <v>287073.75</v>
      </c>
      <c r="D56" s="123" t="n">
        <v>1850</v>
      </c>
      <c r="E56" s="123" t="n">
        <v>9420</v>
      </c>
      <c r="F56" s="124" t="n"/>
      <c r="G56" s="123" t="n">
        <v>11388</v>
      </c>
      <c r="H56" s="125" t="n">
        <v>309731.75</v>
      </c>
      <c r="I56" s="128" t="n">
        <v>-0.03295273084794043</v>
      </c>
    </row>
    <row r="57" ht="17" customHeight="1">
      <c r="B57" s="117" t="inlineStr">
        <is>
          <t>ก.ค.2565</t>
        </is>
      </c>
      <c r="C57" s="118" t="n">
        <v>120075.85</v>
      </c>
      <c r="D57" s="119" t="n"/>
      <c r="E57" s="118" t="n">
        <v>7352.34</v>
      </c>
      <c r="F57" s="119" t="n"/>
      <c r="G57" s="118" t="n">
        <v>12312</v>
      </c>
      <c r="H57" s="120" t="n">
        <v>139740.19</v>
      </c>
      <c r="I57" s="129" t="n">
        <v>-0.5488347901046632</v>
      </c>
    </row>
    <row r="58" ht="17" customHeight="1">
      <c r="B58" s="122" t="inlineStr">
        <is>
          <t>ส.ค.2565</t>
        </is>
      </c>
      <c r="C58" s="123" t="n">
        <v>215706.65</v>
      </c>
      <c r="D58" s="123" t="n">
        <v>3400</v>
      </c>
      <c r="E58" s="123" t="n">
        <v>8820</v>
      </c>
      <c r="F58" s="124" t="n"/>
      <c r="G58" s="123" t="n">
        <v>5241</v>
      </c>
      <c r="H58" s="125" t="n">
        <v>233167.65</v>
      </c>
      <c r="I58" s="126" t="n">
        <v>0.6685797407317109</v>
      </c>
    </row>
    <row r="59" ht="17" customHeight="1">
      <c r="B59" s="117" t="inlineStr">
        <is>
          <t>ก.ย.2565</t>
        </is>
      </c>
      <c r="C59" s="118" t="n">
        <v>278225</v>
      </c>
      <c r="D59" s="119" t="n"/>
      <c r="E59" s="118" t="n">
        <v>3688.76</v>
      </c>
      <c r="F59" s="119" t="n"/>
      <c r="G59" s="118" t="n">
        <v>12423</v>
      </c>
      <c r="H59" s="120" t="n">
        <v>294336.76</v>
      </c>
      <c r="I59" s="127" t="n">
        <v>0.2623396084319586</v>
      </c>
    </row>
    <row r="60" ht="17" customHeight="1">
      <c r="B60" s="122" t="inlineStr">
        <is>
          <t>ต.ค.2565</t>
        </is>
      </c>
      <c r="C60" s="123" t="n">
        <v>335115</v>
      </c>
      <c r="D60" s="123" t="n">
        <v>1625</v>
      </c>
      <c r="E60" s="123" t="n">
        <v>8027.34</v>
      </c>
      <c r="F60" s="123" t="n">
        <v>294</v>
      </c>
      <c r="G60" s="123" t="n">
        <v>5059</v>
      </c>
      <c r="H60" s="125" t="n">
        <v>350120.34</v>
      </c>
      <c r="I60" s="126" t="n">
        <v>0.1895229804119608</v>
      </c>
    </row>
    <row r="61" ht="17" customHeight="1">
      <c r="B61" s="117" t="inlineStr">
        <is>
          <t>พ.ย.2565</t>
        </is>
      </c>
      <c r="C61" s="118" t="n">
        <v>285286</v>
      </c>
      <c r="D61" s="119" t="n"/>
      <c r="E61" s="118" t="n">
        <v>9270</v>
      </c>
      <c r="F61" s="119" t="n"/>
      <c r="G61" s="118" t="n">
        <v>9484</v>
      </c>
      <c r="H61" s="120" t="n">
        <v>304040</v>
      </c>
      <c r="I61" s="129" t="n">
        <v>-0.1316128620233832</v>
      </c>
    </row>
    <row r="62" ht="17" customHeight="1">
      <c r="B62" s="122" t="inlineStr">
        <is>
          <t>ธ.ค.2565</t>
        </is>
      </c>
      <c r="C62" s="123" t="n">
        <v>317024.05</v>
      </c>
      <c r="D62" s="123" t="n">
        <v>800</v>
      </c>
      <c r="E62" s="123" t="n">
        <v>6595.34</v>
      </c>
      <c r="F62" s="123" t="n">
        <v>1735</v>
      </c>
      <c r="G62" s="123" t="n">
        <v>14651</v>
      </c>
      <c r="H62" s="125" t="n">
        <v>340805.39</v>
      </c>
      <c r="I62" s="126" t="n">
        <v>0.1209228719905276</v>
      </c>
    </row>
    <row r="63" ht="17" customHeight="1">
      <c r="B63" s="117" t="inlineStr">
        <is>
          <t>ม.ค.2566</t>
        </is>
      </c>
      <c r="C63" s="118" t="n">
        <v>163448</v>
      </c>
      <c r="D63" s="118" t="n">
        <v>550</v>
      </c>
      <c r="E63" s="118" t="n">
        <v>4435</v>
      </c>
      <c r="F63" s="119" t="n"/>
      <c r="G63" s="118" t="n">
        <v>6424</v>
      </c>
      <c r="H63" s="120" t="n">
        <v>174857</v>
      </c>
      <c r="I63" s="129" t="n">
        <v>-0.486930062931223</v>
      </c>
    </row>
    <row r="64" ht="17" customHeight="1">
      <c r="B64" s="122" t="inlineStr">
        <is>
          <t>ก.พ.2566</t>
        </is>
      </c>
      <c r="C64" s="123" t="n">
        <v>357770</v>
      </c>
      <c r="D64" s="123" t="n">
        <v>1800</v>
      </c>
      <c r="E64" s="123" t="n">
        <v>5888.76</v>
      </c>
      <c r="F64" s="124" t="n"/>
      <c r="G64" s="123" t="n">
        <v>6904</v>
      </c>
      <c r="H64" s="125" t="n">
        <v>372362.76</v>
      </c>
      <c r="I64" s="126" t="n">
        <v>1.129527328045203</v>
      </c>
    </row>
    <row r="65" ht="17" customHeight="1">
      <c r="B65" s="117" t="inlineStr">
        <is>
          <t>มี.ค.2566</t>
        </is>
      </c>
      <c r="C65" s="118" t="n">
        <v>312536</v>
      </c>
      <c r="D65" s="118" t="n">
        <v>9005</v>
      </c>
      <c r="E65" s="118" t="n">
        <v>11642.34</v>
      </c>
      <c r="F65" s="118" t="n">
        <v>6910</v>
      </c>
      <c r="G65" s="118" t="n">
        <v>15830</v>
      </c>
      <c r="H65" s="120" t="n">
        <v>355923.34</v>
      </c>
      <c r="I65" s="129" t="n">
        <v>-0.04414893691302531</v>
      </c>
    </row>
    <row r="66" ht="17" customHeight="1">
      <c r="B66" s="122" t="inlineStr">
        <is>
          <t>เม.ย.2566</t>
        </is>
      </c>
      <c r="C66" s="123" t="n">
        <v>170923</v>
      </c>
      <c r="D66" s="123" t="n">
        <v>1000</v>
      </c>
      <c r="E66" s="123" t="n">
        <v>2150</v>
      </c>
      <c r="F66" s="123" t="n">
        <v>2400</v>
      </c>
      <c r="G66" s="123" t="n">
        <v>1405</v>
      </c>
      <c r="H66" s="125" t="n">
        <v>177878</v>
      </c>
      <c r="I66" s="128" t="n">
        <v>-0.5002350787110506</v>
      </c>
    </row>
    <row r="67" ht="17" customHeight="1">
      <c r="B67" s="117" t="inlineStr">
        <is>
          <t>พ.ค.2566</t>
        </is>
      </c>
      <c r="C67" s="118" t="n">
        <v>100078</v>
      </c>
      <c r="D67" s="119" t="n"/>
      <c r="E67" s="118" t="n">
        <v>6711.1</v>
      </c>
      <c r="F67" s="119" t="n"/>
      <c r="G67" s="118" t="n">
        <v>19154</v>
      </c>
      <c r="H67" s="120" t="n">
        <v>125943.1</v>
      </c>
      <c r="I67" s="129" t="n">
        <v>-0.2919692148551254</v>
      </c>
    </row>
    <row r="68" ht="17" customHeight="1">
      <c r="B68" s="122" t="inlineStr">
        <is>
          <t>มิ.ย.2566</t>
        </is>
      </c>
      <c r="C68" s="123" t="n">
        <v>378657</v>
      </c>
      <c r="D68" s="124" t="n"/>
      <c r="E68" s="123" t="n">
        <v>3548.58</v>
      </c>
      <c r="F68" s="124" t="n"/>
      <c r="G68" s="123" t="n">
        <v>11187</v>
      </c>
      <c r="H68" s="125" t="n">
        <v>393392.58</v>
      </c>
      <c r="I68" s="126" t="n">
        <v>2.123573899641981</v>
      </c>
    </row>
    <row r="69" ht="17" customHeight="1">
      <c r="B69" s="117" t="inlineStr">
        <is>
          <t>ก.ค.2566</t>
        </is>
      </c>
      <c r="C69" s="118" t="n">
        <v>361522</v>
      </c>
      <c r="D69" s="118" t="n">
        <v>600</v>
      </c>
      <c r="E69" s="118" t="n">
        <v>12368.76</v>
      </c>
      <c r="F69" s="119" t="n"/>
      <c r="G69" s="118" t="n">
        <v>6615</v>
      </c>
      <c r="H69" s="120" t="n">
        <v>381105.76</v>
      </c>
      <c r="I69" s="129" t="n">
        <v>-0.03123297343330677</v>
      </c>
    </row>
    <row r="70" ht="17" customHeight="1">
      <c r="B70" s="122" t="inlineStr">
        <is>
          <t>ส.ค.2566</t>
        </is>
      </c>
      <c r="C70" s="123" t="n">
        <v>300937</v>
      </c>
      <c r="D70" s="123" t="n">
        <v>6650</v>
      </c>
      <c r="E70" s="123" t="n">
        <v>6423.58</v>
      </c>
      <c r="F70" s="124" t="n"/>
      <c r="G70" s="123" t="n">
        <v>25131</v>
      </c>
      <c r="H70" s="125" t="n">
        <v>339141.58</v>
      </c>
      <c r="I70" s="128" t="n">
        <v>-0.1101116393517642</v>
      </c>
    </row>
    <row r="71" ht="17" customHeight="1">
      <c r="B71" s="117" t="inlineStr">
        <is>
          <t>ก.ย.2566</t>
        </is>
      </c>
      <c r="C71" s="118" t="n">
        <v>315095</v>
      </c>
      <c r="D71" s="119" t="n"/>
      <c r="E71" s="118" t="n">
        <v>7395</v>
      </c>
      <c r="F71" s="119" t="n"/>
      <c r="G71" s="118" t="n">
        <v>4170</v>
      </c>
      <c r="H71" s="120" t="n">
        <v>326660</v>
      </c>
      <c r="I71" s="129" t="n">
        <v>-0.03680344946202119</v>
      </c>
    </row>
    <row r="72" ht="17" customHeight="1">
      <c r="B72" s="122" t="inlineStr">
        <is>
          <t>ต.ค.2566</t>
        </is>
      </c>
      <c r="C72" s="123" t="n">
        <v>483717</v>
      </c>
      <c r="D72" s="124" t="n"/>
      <c r="E72" s="123" t="n">
        <v>9012.34</v>
      </c>
      <c r="F72" s="124" t="n"/>
      <c r="G72" s="123" t="n">
        <v>8009</v>
      </c>
      <c r="H72" s="125" t="n">
        <v>500738.34</v>
      </c>
      <c r="I72" s="126" t="n">
        <v>0.5329037531378192</v>
      </c>
    </row>
    <row r="73" ht="17" customHeight="1">
      <c r="B73" s="117" t="inlineStr">
        <is>
          <t>พ.ย.2566</t>
        </is>
      </c>
      <c r="C73" s="118" t="n">
        <v>101878</v>
      </c>
      <c r="D73" s="118" t="n">
        <v>5100</v>
      </c>
      <c r="E73" s="118" t="n">
        <v>8453.76</v>
      </c>
      <c r="F73" s="119" t="n"/>
      <c r="G73" s="118" t="n">
        <v>46010</v>
      </c>
      <c r="H73" s="120" t="n">
        <v>161441.76</v>
      </c>
      <c r="I73" s="129" t="n">
        <v>-0.6775925725998931</v>
      </c>
    </row>
    <row r="74" ht="17" customHeight="1">
      <c r="B74" s="122" t="inlineStr">
        <is>
          <t>ธ.ค.2566</t>
        </is>
      </c>
      <c r="C74" s="123" t="n">
        <v>329370.5</v>
      </c>
      <c r="D74" s="124" t="n"/>
      <c r="E74" s="123" t="n">
        <v>7368.76</v>
      </c>
      <c r="F74" s="124" t="n"/>
      <c r="G74" s="123" t="n">
        <v>6075</v>
      </c>
      <c r="H74" s="125" t="n">
        <v>342814.26</v>
      </c>
      <c r="I74" s="126" t="n">
        <v>1.123454674924258</v>
      </c>
    </row>
    <row r="75" ht="17" customHeight="1">
      <c r="B75" s="117" t="inlineStr">
        <is>
          <t>ม.ค.2567</t>
        </is>
      </c>
      <c r="C75" s="118" t="n">
        <v>143402</v>
      </c>
      <c r="D75" s="119" t="n"/>
      <c r="E75" s="118" t="n">
        <v>9048.6</v>
      </c>
      <c r="F75" s="119" t="n"/>
      <c r="G75" s="118" t="n">
        <v>5204</v>
      </c>
      <c r="H75" s="120" t="n">
        <v>157654.6</v>
      </c>
      <c r="I75" s="129" t="n">
        <v>-0.5401165634125021</v>
      </c>
    </row>
    <row r="76" ht="17" customHeight="1">
      <c r="B76" s="122" t="inlineStr">
        <is>
          <t>ก.พ.2567</t>
        </is>
      </c>
      <c r="C76" s="123" t="n">
        <v>287072</v>
      </c>
      <c r="D76" s="123" t="n">
        <v>5750</v>
      </c>
      <c r="E76" s="124" t="n"/>
      <c r="F76" s="124" t="n"/>
      <c r="G76" s="123" t="n">
        <v>35844.66</v>
      </c>
      <c r="H76" s="125" t="n">
        <v>328666.66</v>
      </c>
      <c r="I76" s="126" t="n">
        <v>1.084726103773693</v>
      </c>
    </row>
    <row r="77" ht="17" customHeight="1">
      <c r="B77" s="117" t="inlineStr">
        <is>
          <t>มี.ค.2567</t>
        </is>
      </c>
      <c r="C77" s="118" t="n">
        <v>290920</v>
      </c>
      <c r="D77" s="118" t="n">
        <v>3400</v>
      </c>
      <c r="E77" s="118" t="n">
        <v>6586.08</v>
      </c>
      <c r="F77" s="119" t="n"/>
      <c r="G77" s="118" t="n">
        <v>9088</v>
      </c>
      <c r="H77" s="120" t="n">
        <v>309994.08</v>
      </c>
      <c r="I77" s="129" t="n">
        <v>-0.0568131248846476</v>
      </c>
    </row>
    <row r="78" ht="17" customHeight="1">
      <c r="B78" s="122" t="inlineStr">
        <is>
          <t>เม.ย.2567</t>
        </is>
      </c>
      <c r="C78" s="123" t="n">
        <v>285202</v>
      </c>
      <c r="D78" s="124" t="n"/>
      <c r="E78" s="123" t="n">
        <v>1225.1496</v>
      </c>
      <c r="F78" s="124" t="n"/>
      <c r="G78" s="123" t="n">
        <v>4878</v>
      </c>
      <c r="H78" s="125" t="n">
        <v>291305.1496</v>
      </c>
      <c r="I78" s="128" t="n">
        <v>-0.06028802356483715</v>
      </c>
    </row>
    <row r="79" ht="17" customHeight="1">
      <c r="B79" s="117" t="inlineStr">
        <is>
          <t>พ.ค.2567</t>
        </is>
      </c>
      <c r="C79" s="118" t="n">
        <v>330530</v>
      </c>
      <c r="D79" s="118" t="n">
        <v>3360</v>
      </c>
      <c r="E79" s="118" t="n">
        <v>3930</v>
      </c>
      <c r="F79" s="118" t="n">
        <v>1400</v>
      </c>
      <c r="G79" s="118" t="n">
        <v>6412.01</v>
      </c>
      <c r="H79" s="120" t="n">
        <v>345632.01</v>
      </c>
      <c r="I79" s="127" t="n">
        <v>0.1864946791177495</v>
      </c>
    </row>
    <row r="80" ht="17" customHeight="1">
      <c r="B80" s="122" t="inlineStr">
        <is>
          <t>มิ.ย.2567</t>
        </is>
      </c>
      <c r="C80" s="123" t="n">
        <v>318540</v>
      </c>
      <c r="D80" s="124" t="n"/>
      <c r="E80" s="123" t="n">
        <v>7388.8</v>
      </c>
      <c r="F80" s="124" t="n"/>
      <c r="G80" s="123" t="n">
        <v>6310</v>
      </c>
      <c r="H80" s="125" t="n">
        <v>332238.8</v>
      </c>
      <c r="I80" s="128" t="n">
        <v>-0.03874991208134924</v>
      </c>
    </row>
    <row r="81" ht="17" customHeight="1">
      <c r="B81" s="117" t="inlineStr">
        <is>
          <t>ก.ค.2567</t>
        </is>
      </c>
      <c r="C81" s="118" t="n">
        <v>295000</v>
      </c>
      <c r="D81" s="119" t="n"/>
      <c r="E81" s="118" t="n">
        <v>9643.914000000001</v>
      </c>
      <c r="F81" s="119" t="n"/>
      <c r="G81" s="118" t="n">
        <v>9210</v>
      </c>
      <c r="H81" s="120" t="n">
        <v>313853.914</v>
      </c>
      <c r="I81" s="129" t="n">
        <v>-0.05533636047324996</v>
      </c>
    </row>
    <row r="82" ht="17" customHeight="1">
      <c r="B82" s="122" t="inlineStr">
        <is>
          <t>ส.ค.2567</t>
        </is>
      </c>
      <c r="C82" s="123" t="n">
        <v>308367.0009</v>
      </c>
      <c r="D82" s="123" t="n">
        <v>4400</v>
      </c>
      <c r="E82" s="123" t="n">
        <v>4532.762</v>
      </c>
      <c r="F82" s="123" t="n">
        <v>810</v>
      </c>
      <c r="G82" s="123" t="n">
        <v>11820</v>
      </c>
      <c r="H82" s="125" t="n">
        <v>329929.7629</v>
      </c>
      <c r="I82" s="126" t="n">
        <v>0.05122080108900596</v>
      </c>
    </row>
    <row r="83" ht="17" customHeight="1">
      <c r="B83" s="117" t="inlineStr">
        <is>
          <t>ก.ย.2567</t>
        </is>
      </c>
      <c r="C83" s="118" t="n">
        <v>212121.75</v>
      </c>
      <c r="D83" s="119" t="n"/>
      <c r="E83" s="118" t="n">
        <v>3615.152</v>
      </c>
      <c r="F83" s="119" t="n"/>
      <c r="G83" s="118" t="n">
        <v>2159</v>
      </c>
      <c r="H83" s="120" t="n">
        <v>217895.902</v>
      </c>
      <c r="I83" s="129" t="n">
        <v>-0.3395688219069732</v>
      </c>
    </row>
    <row r="84" ht="17" customHeight="1">
      <c r="B84" s="122" t="inlineStr">
        <is>
          <t>ต.ค.2567</t>
        </is>
      </c>
      <c r="C84" s="123" t="n">
        <v>250588</v>
      </c>
      <c r="D84" s="123" t="n">
        <v>29.1</v>
      </c>
      <c r="E84" s="123" t="n">
        <v>10300.192</v>
      </c>
      <c r="F84" s="124" t="n"/>
      <c r="G84" s="123" t="n">
        <v>4250</v>
      </c>
      <c r="H84" s="125" t="n">
        <v>265167.292</v>
      </c>
      <c r="I84" s="126" t="n">
        <v>0.2169448326751919</v>
      </c>
    </row>
    <row r="85" ht="17" customHeight="1">
      <c r="B85" s="117" t="inlineStr">
        <is>
          <t>พ.ย.2567</t>
        </is>
      </c>
      <c r="C85" s="118" t="n">
        <v>291940</v>
      </c>
      <c r="D85" s="119" t="n"/>
      <c r="E85" s="118" t="n">
        <v>3895.152</v>
      </c>
      <c r="F85" s="119" t="n"/>
      <c r="G85" s="118" t="n">
        <v>6022</v>
      </c>
      <c r="H85" s="120" t="n">
        <v>301857.152</v>
      </c>
      <c r="I85" s="127" t="n">
        <v>0.1383649533970426</v>
      </c>
    </row>
    <row r="86" ht="17" customHeight="1">
      <c r="B86" s="122" t="inlineStr">
        <is>
          <t>ธ.ค.2567</t>
        </is>
      </c>
      <c r="C86" s="123" t="n">
        <v>247352</v>
      </c>
      <c r="D86" s="124" t="n"/>
      <c r="E86" s="123" t="n">
        <v>14574.674</v>
      </c>
      <c r="F86" s="124" t="n"/>
      <c r="G86" s="123" t="n">
        <v>12297</v>
      </c>
      <c r="H86" s="125" t="n">
        <v>274223.674</v>
      </c>
      <c r="I86" s="128" t="n">
        <v>-0.09154488411790224</v>
      </c>
    </row>
    <row r="87" ht="17" customHeight="1">
      <c r="B87" s="117" t="inlineStr">
        <is>
          <t>ม.ค.2568</t>
        </is>
      </c>
      <c r="C87" s="118" t="n">
        <v>275964.4</v>
      </c>
      <c r="D87" s="119" t="n"/>
      <c r="E87" s="118" t="n">
        <v>5917.914</v>
      </c>
      <c r="F87" s="119" t="n"/>
      <c r="G87" s="118" t="n">
        <v>21501.014</v>
      </c>
      <c r="H87" s="120" t="n">
        <v>303383.328</v>
      </c>
      <c r="I87" s="127" t="n">
        <v>0.1063352903659224</v>
      </c>
    </row>
    <row r="88" ht="17" customHeight="1">
      <c r="B88" s="122" t="inlineStr">
        <is>
          <t>ก.พ.2568</t>
        </is>
      </c>
      <c r="C88" s="123" t="n">
        <v>309236.1</v>
      </c>
      <c r="D88" s="123" t="n">
        <v>11291</v>
      </c>
      <c r="E88" s="123" t="n">
        <v>2092.6476</v>
      </c>
      <c r="F88" s="124" t="n"/>
      <c r="G88" s="123" t="n">
        <v>9046</v>
      </c>
      <c r="H88" s="125" t="n">
        <v>331665.7476</v>
      </c>
      <c r="I88" s="126" t="n">
        <v>0.09322338108177111</v>
      </c>
    </row>
    <row r="89" ht="17" customHeight="1">
      <c r="B89" s="117" t="inlineStr">
        <is>
          <t>มี.ค.2568</t>
        </is>
      </c>
      <c r="C89" s="118" t="n">
        <v>308449.3</v>
      </c>
      <c r="D89" s="119" t="n"/>
      <c r="E89" s="118" t="n">
        <v>13906.4896</v>
      </c>
      <c r="F89" s="119" t="n"/>
      <c r="G89" s="118" t="n">
        <v>13318</v>
      </c>
      <c r="H89" s="120" t="n">
        <v>335673.7896</v>
      </c>
      <c r="I89" s="127" t="n">
        <v>0.01208458223076399</v>
      </c>
    </row>
    <row r="90" ht="17" customHeight="1">
      <c r="B90" s="122" t="inlineStr">
        <is>
          <t>เม.ย.2568</t>
        </is>
      </c>
      <c r="C90" s="123" t="n">
        <v>177630.7</v>
      </c>
      <c r="D90" s="124" t="n"/>
      <c r="E90" s="123" t="n">
        <v>5106.762</v>
      </c>
      <c r="F90" s="124" t="n"/>
      <c r="G90" s="123" t="n">
        <v>11115.01</v>
      </c>
      <c r="H90" s="125" t="n">
        <v>193852.472</v>
      </c>
      <c r="I90" s="128" t="n">
        <v>-0.422497442439575</v>
      </c>
    </row>
    <row r="91" ht="17" customHeight="1">
      <c r="B91" s="117" t="inlineStr">
        <is>
          <t>พ.ค.2568</t>
        </is>
      </c>
      <c r="C91" s="118" t="n">
        <v>314100.29804</v>
      </c>
      <c r="D91" s="119" t="n"/>
      <c r="E91" s="118" t="n">
        <v>2478.762</v>
      </c>
      <c r="F91" s="119" t="n"/>
      <c r="G91" s="118" t="n">
        <v>6087.9</v>
      </c>
      <c r="H91" s="120" t="n">
        <v>322666.96004</v>
      </c>
      <c r="I91" s="127" t="n">
        <v>0.6644975259330199</v>
      </c>
    </row>
    <row r="92" ht="17" customHeight="1">
      <c r="B92" s="122" t="inlineStr">
        <is>
          <t>มิ.ย.2568</t>
        </is>
      </c>
      <c r="C92" s="123" t="n">
        <v>391916.16</v>
      </c>
      <c r="D92" s="123" t="n">
        <v>4850</v>
      </c>
      <c r="E92" s="123" t="n">
        <v>9571.4496</v>
      </c>
      <c r="F92" s="123" t="n">
        <v>456</v>
      </c>
      <c r="G92" s="123" t="n">
        <v>8306.76</v>
      </c>
      <c r="H92" s="125" t="n">
        <v>415100.3696</v>
      </c>
      <c r="I92" s="126" t="n">
        <v>0.2864669179284465</v>
      </c>
    </row>
    <row r="93" ht="17" customHeight="1">
      <c r="B93" s="117" t="inlineStr">
        <is>
          <t>ก.ค.2568</t>
        </is>
      </c>
      <c r="C93" s="118" t="n">
        <v>240855.65608</v>
      </c>
      <c r="D93" s="119" t="n"/>
      <c r="E93" s="118" t="n">
        <v>4748.762</v>
      </c>
      <c r="F93" s="119" t="n"/>
      <c r="G93" s="118" t="n">
        <v>5959.04</v>
      </c>
      <c r="H93" s="120" t="n">
        <v>251563.45808</v>
      </c>
      <c r="I93" s="129" t="n">
        <v>-0.3939695637409041</v>
      </c>
    </row>
    <row r="94" ht="17" customHeight="1">
      <c r="B94" s="122" t="inlineStr">
        <is>
          <t>ส.ค.2568</t>
        </is>
      </c>
      <c r="C94" s="123" t="n">
        <v>218301.59902</v>
      </c>
      <c r="D94" s="124" t="n"/>
      <c r="E94" s="123" t="n">
        <v>17775.4892</v>
      </c>
      <c r="F94" s="124" t="n"/>
      <c r="G94" s="123" t="n">
        <v>4733.6</v>
      </c>
      <c r="H94" s="125" t="n">
        <v>240810.68822</v>
      </c>
      <c r="I94" s="128" t="n">
        <v>-0.04274376708790686</v>
      </c>
    </row>
    <row r="95" ht="17" customHeight="1">
      <c r="B95" s="117" t="inlineStr">
        <is>
          <t>ก.ย.2568</t>
        </is>
      </c>
      <c r="C95" s="118" t="n">
        <v>277932.89804</v>
      </c>
      <c r="D95" s="119" t="n"/>
      <c r="E95" s="118" t="n">
        <v>6015.2952</v>
      </c>
      <c r="F95" s="118" t="n">
        <v>467</v>
      </c>
      <c r="G95" s="118" t="n">
        <v>10648.7628</v>
      </c>
      <c r="H95" s="120" t="n">
        <v>295063.95604</v>
      </c>
      <c r="I95" s="127" t="n">
        <v>0.2252942683774702</v>
      </c>
    </row>
    <row r="96" ht="17" customHeight="1">
      <c r="B96" s="122" t="inlineStr">
        <is>
          <t>ต.ค.2568</t>
        </is>
      </c>
      <c r="C96" s="123" t="n">
        <v>213449.11804</v>
      </c>
      <c r="D96" s="124" t="n"/>
      <c r="E96" s="123" t="n">
        <v>4387.647199999999</v>
      </c>
      <c r="F96" s="124" t="n"/>
      <c r="G96" s="123" t="n">
        <v>30235.001</v>
      </c>
      <c r="H96" s="125" t="n">
        <v>248071.76624</v>
      </c>
      <c r="I96" s="128" t="n">
        <v>-0.1592610308309891</v>
      </c>
    </row>
    <row r="97" ht="17" customHeight="1">
      <c r="B97" s="117" t="inlineStr">
        <is>
          <t>พ.ย.2568</t>
        </is>
      </c>
      <c r="C97" s="118" t="n">
        <v>263302.1160799999</v>
      </c>
      <c r="D97" s="119" t="n"/>
      <c r="E97" s="118" t="n">
        <v>8575.409599999999</v>
      </c>
      <c r="F97" s="119" t="n"/>
      <c r="G97" s="118" t="n">
        <v>4121.202</v>
      </c>
      <c r="H97" s="120" t="n">
        <v>275998.72768</v>
      </c>
      <c r="I97" s="127" t="n">
        <v>0.1125761382009983</v>
      </c>
    </row>
    <row r="98" ht="17" customHeight="1">
      <c r="B98" s="122" t="inlineStr">
        <is>
          <t>ธ.ค.2568</t>
        </is>
      </c>
      <c r="C98" s="123" t="n">
        <v>140662.2</v>
      </c>
      <c r="D98" s="124" t="n"/>
      <c r="E98" s="123" t="n">
        <v>2478.762</v>
      </c>
      <c r="F98" s="124" t="n"/>
      <c r="G98" s="124" t="n"/>
      <c r="H98" s="125" t="n">
        <v>143140.962</v>
      </c>
      <c r="I98" s="128" t="n">
        <v>-0.4813709352821317</v>
      </c>
    </row>
    <row r="99" ht="17" customHeight="1">
      <c r="B99" s="117" t="inlineStr">
        <is>
          <t>ม.ค.2569</t>
        </is>
      </c>
      <c r="C99" s="118" t="n">
        <v>1632</v>
      </c>
      <c r="D99" s="119" t="n"/>
      <c r="E99" s="118" t="n">
        <v>6683.762</v>
      </c>
      <c r="F99" s="119" t="n"/>
      <c r="G99" s="118" t="n">
        <v>2615.9997</v>
      </c>
      <c r="H99" s="120" t="n">
        <v>10931.7617</v>
      </c>
      <c r="I99" s="129" t="n">
        <v>-0.9236293961752192</v>
      </c>
    </row>
    <row r="100" ht="17" customHeight="1">
      <c r="B100" s="122" t="inlineStr">
        <is>
          <t>ก.พ.2569</t>
        </is>
      </c>
      <c r="C100" s="124" t="n"/>
      <c r="D100" s="124" t="n"/>
      <c r="E100" s="123" t="n">
        <v>14629.9996</v>
      </c>
      <c r="F100" s="124" t="n"/>
      <c r="G100" s="123" t="n">
        <v>7254.3048</v>
      </c>
      <c r="H100" s="125" t="n">
        <v>21884.3044</v>
      </c>
      <c r="I100" s="126" t="n">
        <v>1.001900974478798</v>
      </c>
    </row>
    <row r="101" ht="17" customHeight="1">
      <c r="B101" s="117" t="inlineStr">
        <is>
          <t>มี.ค.2569</t>
        </is>
      </c>
      <c r="C101" s="118" t="n">
        <v>16050</v>
      </c>
      <c r="D101" s="119" t="n"/>
      <c r="E101" s="119" t="n"/>
      <c r="F101" s="119" t="n"/>
      <c r="G101" s="118" t="n">
        <v>3480.002</v>
      </c>
      <c r="H101" s="120" t="n">
        <v>19530.002</v>
      </c>
      <c r="I101" s="129" t="n">
        <v>-0.107579494279014</v>
      </c>
    </row>
    <row r="103" ht="18" customHeight="1">
      <c r="B103" s="114" t="inlineStr">
        <is>
          <t>📈  กราฟวิเคราะห์ต้นทุนรายปี</t>
        </is>
      </c>
    </row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3" ht="22" customHeight="1">
      <c r="B123" s="130" t="inlineStr">
        <is>
          <t>🏪  Top 10 ร้านค้า — ยอดซื้อสะสมสูงสุด</t>
        </is>
      </c>
    </row>
    <row r="124" ht="20" customHeight="1">
      <c r="B124" s="131" t="inlineStr">
        <is>
          <t>อันดับ</t>
        </is>
      </c>
      <c r="C124" s="131" t="inlineStr">
        <is>
          <t>ชื่อร้านค้า</t>
        </is>
      </c>
      <c r="D124" s="131" t="inlineStr">
        <is>
          <t>หมวดหลัก</t>
        </is>
      </c>
      <c r="E124" s="131" t="inlineStr">
        <is>
          <t>ยอดรวม (฿)</t>
        </is>
      </c>
      <c r="F124" s="131" t="inlineStr">
        <is>
          <t>% รวม</t>
        </is>
      </c>
    </row>
    <row r="125" ht="18" customHeight="1">
      <c r="B125" s="115" t="n">
        <v>1</v>
      </c>
      <c r="C125" s="132" t="inlineStr">
        <is>
          <t>บจก. วีที คัลเลอร์ โปร</t>
        </is>
      </c>
      <c r="D125" s="133" t="inlineStr">
        <is>
          <t>งานสี</t>
        </is>
      </c>
      <c r="E125" s="120" t="n">
        <v>8137390.499999999</v>
      </c>
      <c r="F125" s="134" t="n">
        <v>0.3446684668929197</v>
      </c>
    </row>
    <row r="126" ht="18" customHeight="1">
      <c r="B126" s="115" t="n">
        <v>2</v>
      </c>
      <c r="C126" s="135" t="inlineStr">
        <is>
          <t>ทรัพย์สินไทย</t>
        </is>
      </c>
      <c r="D126" s="136" t="inlineStr">
        <is>
          <t>งานสี</t>
        </is>
      </c>
      <c r="E126" s="125" t="n">
        <v>7525690</v>
      </c>
      <c r="F126" s="137" t="n">
        <v>0.3187591937011475</v>
      </c>
    </row>
    <row r="127" ht="18" customHeight="1">
      <c r="B127" s="115" t="n">
        <v>3</v>
      </c>
      <c r="C127" s="132" t="inlineStr">
        <is>
          <t>PB Paint</t>
        </is>
      </c>
      <c r="D127" s="133" t="inlineStr">
        <is>
          <t>งานสี</t>
        </is>
      </c>
      <c r="E127" s="120" t="n">
        <v>2469325.2</v>
      </c>
      <c r="F127" s="134" t="n">
        <v>0.1045910886228272</v>
      </c>
    </row>
    <row r="128" ht="18" customHeight="1">
      <c r="B128" s="115" t="n">
        <v>4</v>
      </c>
      <c r="C128" s="135" t="inlineStr">
        <is>
          <t>ไทยนคร</t>
        </is>
      </c>
      <c r="D128" s="136" t="inlineStr">
        <is>
          <t>งานสี</t>
        </is>
      </c>
      <c r="E128" s="125" t="n">
        <v>1414082.77</v>
      </c>
      <c r="F128" s="137" t="n">
        <v>0.05989509049560707</v>
      </c>
    </row>
    <row r="129" ht="18" customHeight="1">
      <c r="B129" s="115" t="n">
        <v>5</v>
      </c>
      <c r="C129" s="132" t="inlineStr">
        <is>
          <t>ทาเลนท์</t>
        </is>
      </c>
      <c r="D129" s="133" t="inlineStr">
        <is>
          <t>งานสี</t>
        </is>
      </c>
      <c r="E129" s="120" t="n">
        <v>1114078.8153</v>
      </c>
      <c r="F129" s="134" t="n">
        <v>0.04718808041316577</v>
      </c>
    </row>
    <row r="130" ht="18" customHeight="1">
      <c r="B130" s="115" t="n">
        <v>6</v>
      </c>
      <c r="C130" s="135" t="inlineStr">
        <is>
          <t>ศรีสยาม</t>
        </is>
      </c>
      <c r="D130" s="136" t="inlineStr">
        <is>
          <t>งานสี</t>
        </is>
      </c>
      <c r="E130" s="125" t="n">
        <v>631343.4681000005</v>
      </c>
      <c r="F130" s="137" t="n">
        <v>0.02674127353638567</v>
      </c>
    </row>
    <row r="131" ht="18" customHeight="1">
      <c r="B131" s="115" t="n">
        <v>7</v>
      </c>
      <c r="C131" s="132" t="inlineStr">
        <is>
          <t>ออโต้ สมาร์ท</t>
        </is>
      </c>
      <c r="D131" s="133" t="inlineStr">
        <is>
          <t>งานสี</t>
        </is>
      </c>
      <c r="E131" s="120" t="n">
        <v>584569.9999999998</v>
      </c>
      <c r="F131" s="134" t="n">
        <v>0.02476012988335683</v>
      </c>
    </row>
    <row r="132" ht="18" customHeight="1">
      <c r="B132" s="115" t="n">
        <v>8</v>
      </c>
      <c r="C132" s="135" t="inlineStr">
        <is>
          <t>ออโต้เทรด</t>
        </is>
      </c>
      <c r="D132" s="136" t="inlineStr">
        <is>
          <t>งานสี</t>
        </is>
      </c>
      <c r="E132" s="125" t="n">
        <v>277620.96</v>
      </c>
      <c r="F132" s="137" t="n">
        <v>0.0117589527822882</v>
      </c>
    </row>
    <row r="133" ht="18" customHeight="1">
      <c r="B133" s="115" t="n">
        <v>9</v>
      </c>
      <c r="C133" s="132" t="inlineStr">
        <is>
          <t>ออโต้เทรด มาร์เก็ตติ้ง</t>
        </is>
      </c>
      <c r="D133" s="133" t="inlineStr">
        <is>
          <t>งานสี</t>
        </is>
      </c>
      <c r="E133" s="120" t="n">
        <v>184870</v>
      </c>
      <c r="F133" s="134" t="n">
        <v>0.007830379957124349</v>
      </c>
    </row>
    <row r="134" ht="18" customHeight="1">
      <c r="B134" s="115" t="n">
        <v>10</v>
      </c>
      <c r="C134" s="135" t="inlineStr">
        <is>
          <t>ทรัพย์สิน</t>
        </is>
      </c>
      <c r="D134" s="136" t="inlineStr">
        <is>
          <t>งานสี</t>
        </is>
      </c>
      <c r="E134" s="125" t="n">
        <v>140982</v>
      </c>
      <c r="F134" s="137" t="n">
        <v>0.005971453600450613</v>
      </c>
    </row>
  </sheetData>
  <mergeCells count="10">
    <mergeCell ref="G3:H5"/>
    <mergeCell ref="B103:M103"/>
    <mergeCell ref="E3:F5"/>
    <mergeCell ref="B2:M2"/>
    <mergeCell ref="B7:I7"/>
    <mergeCell ref="B123:I123"/>
    <mergeCell ref="B3:B5"/>
    <mergeCell ref="B1:M1"/>
    <mergeCell ref="I3:I5"/>
    <mergeCell ref="C3:D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 ht="36" customHeight="1">
      <c r="B1" s="138" t="inlineStr">
        <is>
          <t>📋  ระบบบันทึกรายการซื้อสินค้า — แผนกสี น้ำมัน และอะไหล่</t>
        </is>
      </c>
    </row>
    <row r="2" ht="22" customHeight="1">
      <c r="B2" s="108" t="inlineStr">
        <is>
          <t>กดปุ่มเพื่อเปิดฟอร์มกรอกข้อมูล  |  ข้อมูลจะบันทึกลงชีตและอัปเดตสรุปรายเดือนอัตโนมัติ</t>
        </is>
      </c>
    </row>
    <row r="3" ht="22" customHeight="1">
      <c r="B3" s="139" t="inlineStr">
        <is>
          <t>โหมดบันทึก</t>
        </is>
      </c>
      <c r="D3" s="140" t="inlineStr">
        <is>
          <t>◀  ทีละรายการ (Single Item)</t>
        </is>
      </c>
      <c r="G3" s="141" t="inlineStr">
        <is>
          <t>◀  หลายรายการ/บิล (Multi Item)</t>
        </is>
      </c>
    </row>
    <row r="4" ht="8" customHeight="1"/>
    <row r="5" ht="22" customHeight="1">
      <c r="B5" s="142" t="inlineStr">
        <is>
          <t>หมวดหมู่สินค้า *</t>
        </is>
      </c>
      <c r="C5" s="177" t="n"/>
      <c r="D5" s="143" t="inlineStr">
        <is>
          <t>(เลือก 1-5)</t>
        </is>
      </c>
      <c r="E5" s="178" t="n"/>
      <c r="F5" s="177" t="n"/>
      <c r="G5" s="144" t="inlineStr">
        <is>
          <t>▶  เปิดฟอร์ม
ทีละรายการ
Macro:
ShowSingleForm</t>
        </is>
      </c>
      <c r="H5" s="170" t="n"/>
      <c r="I5" s="145" t="inlineStr">
        <is>
          <t>▶  หลาย
รายการ
Macro:
ShowMultiForm</t>
        </is>
      </c>
    </row>
    <row r="6" ht="22" customHeight="1">
      <c r="B6" s="146" t="inlineStr">
        <is>
          <t>ประเภทย่อย</t>
        </is>
      </c>
      <c r="C6" s="177" t="n"/>
      <c r="D6" s="143" t="inlineStr">
        <is>
          <t>(ไม่บังคับ)</t>
        </is>
      </c>
      <c r="E6" s="178" t="n"/>
      <c r="F6" s="177" t="n"/>
      <c r="G6" s="172" t="n"/>
      <c r="H6" s="173" t="n"/>
      <c r="I6" s="171" t="n"/>
    </row>
    <row r="7" ht="22" customHeight="1">
      <c r="B7" s="142" t="inlineStr">
        <is>
          <t>รายการสินค้า *</t>
        </is>
      </c>
      <c r="C7" s="177" t="n"/>
      <c r="D7" s="143" t="inlineStr">
        <is>
          <t>(พิมพ์ชื่อรายการ)</t>
        </is>
      </c>
      <c r="E7" s="178" t="n"/>
      <c r="F7" s="177" t="n"/>
      <c r="G7" s="172" t="n"/>
      <c r="H7" s="173" t="n"/>
      <c r="I7" s="171" t="n"/>
    </row>
    <row r="8" ht="22" customHeight="1">
      <c r="B8" s="146" t="inlineStr">
        <is>
          <t>จำนวน *</t>
        </is>
      </c>
      <c r="C8" s="177" t="n"/>
      <c r="D8" s="143" t="inlineStr">
        <is>
          <t>(ตัวเลข)</t>
        </is>
      </c>
      <c r="E8" s="178" t="n"/>
      <c r="F8" s="177" t="n"/>
      <c r="G8" s="172" t="n"/>
      <c r="H8" s="173" t="n"/>
      <c r="I8" s="171" t="n"/>
    </row>
    <row r="9" ht="22" customHeight="1">
      <c r="B9" s="142" t="inlineStr">
        <is>
          <t>ราคาต่อชิ้น (บาท) *</t>
        </is>
      </c>
      <c r="C9" s="177" t="n"/>
      <c r="D9" s="143" t="inlineStr">
        <is>
          <t>(ก่อน VAT)</t>
        </is>
      </c>
      <c r="E9" s="178" t="n"/>
      <c r="F9" s="177" t="n"/>
      <c r="G9" s="172" t="n"/>
      <c r="H9" s="173" t="n"/>
      <c r="I9" s="171" t="n"/>
    </row>
    <row r="10" ht="22" customHeight="1">
      <c r="B10" s="146" t="inlineStr">
        <is>
          <t>ส่วนลด</t>
        </is>
      </c>
      <c r="C10" s="177" t="n"/>
      <c r="D10" s="143" t="inlineStr">
        <is>
          <t>(จำนวนเงิน หรือ %)</t>
        </is>
      </c>
      <c r="E10" s="178" t="n"/>
      <c r="F10" s="177" t="n"/>
      <c r="G10" s="172" t="n"/>
      <c r="H10" s="173" t="n"/>
      <c r="I10" s="171" t="n"/>
    </row>
    <row r="11" ht="22" customHeight="1">
      <c r="B11" s="142" t="inlineStr">
        <is>
          <t>รูปแบบส่วนลด</t>
        </is>
      </c>
      <c r="C11" s="177" t="n"/>
      <c r="D11" s="143" t="inlineStr">
        <is>
          <t>1=บาท  2=%</t>
        </is>
      </c>
      <c r="E11" s="178" t="n"/>
      <c r="F11" s="177" t="n"/>
      <c r="G11" s="172" t="n"/>
      <c r="H11" s="173" t="n"/>
      <c r="I11" s="171" t="n"/>
    </row>
    <row r="12" ht="22" customHeight="1">
      <c r="B12" s="146" t="inlineStr">
        <is>
          <t>VAT 7%</t>
        </is>
      </c>
      <c r="C12" s="177" t="n"/>
      <c r="D12" s="143" t="inlineStr">
        <is>
          <t>1=ใช่  2=ไม่</t>
        </is>
      </c>
      <c r="E12" s="178" t="n"/>
      <c r="F12" s="177" t="n"/>
      <c r="G12" s="172" t="n"/>
      <c r="H12" s="173" t="n"/>
      <c r="I12" s="171" t="n"/>
    </row>
    <row r="13" ht="22" customHeight="1">
      <c r="B13" s="142" t="inlineStr">
        <is>
          <t>ชื่อร้านค้า *</t>
        </is>
      </c>
      <c r="C13" s="177" t="n"/>
      <c r="D13" s="143" t="inlineStr">
        <is>
          <t>(พิมพ์หรือเลือก)</t>
        </is>
      </c>
      <c r="E13" s="178" t="n"/>
      <c r="F13" s="177" t="n"/>
      <c r="G13" s="172" t="n"/>
      <c r="H13" s="173" t="n"/>
      <c r="I13" s="171" t="n"/>
    </row>
    <row r="14" ht="22" customHeight="1">
      <c r="B14" s="146" t="inlineStr">
        <is>
          <t>วันที่ซื้อ *</t>
        </is>
      </c>
      <c r="C14" s="177" t="n"/>
      <c r="D14" s="143" t="inlineStr">
        <is>
          <t>(วว/ดด/ปปปป)</t>
        </is>
      </c>
      <c r="E14" s="178" t="n"/>
      <c r="F14" s="177" t="n"/>
      <c r="G14" s="172" t="n"/>
      <c r="H14" s="173" t="n"/>
      <c r="I14" s="171" t="n"/>
    </row>
    <row r="15" ht="22" customHeight="1">
      <c r="B15" s="142" t="inlineStr">
        <is>
          <t>เลขที่บิล</t>
        </is>
      </c>
      <c r="C15" s="177" t="n"/>
      <c r="D15" s="143" t="inlineStr">
        <is>
          <t>(ถ้ามี)</t>
        </is>
      </c>
      <c r="E15" s="178" t="n"/>
      <c r="F15" s="177" t="n"/>
      <c r="G15" s="172" t="n"/>
      <c r="H15" s="173" t="n"/>
      <c r="I15" s="171" t="n"/>
    </row>
    <row r="16" ht="22" customHeight="1">
      <c r="B16" s="146" t="inlineStr">
        <is>
          <t>หมายเหตุ</t>
        </is>
      </c>
      <c r="C16" s="177" t="n"/>
      <c r="D16" s="143" t="inlineStr">
        <is>
          <t>(ไม่บังคับ)</t>
        </is>
      </c>
      <c r="E16" s="178" t="n"/>
      <c r="F16" s="177" t="n"/>
      <c r="G16" s="175" t="n"/>
      <c r="H16" s="176" t="n"/>
      <c r="I16" s="174" t="n"/>
    </row>
    <row r="17" ht="6" customHeight="1"/>
    <row r="18" ht="22" customHeight="1">
      <c r="B18" s="147" t="inlineStr">
        <is>
          <t>ยอดก่อนหักส่วนลด</t>
        </is>
      </c>
      <c r="D18" s="148" t="inlineStr">
        <is>
          <t>฿ 0.00</t>
        </is>
      </c>
      <c r="E18" s="179" t="n"/>
      <c r="F18" s="180" t="n"/>
    </row>
    <row r="19" ht="22" customHeight="1">
      <c r="B19" s="149" t="inlineStr">
        <is>
          <t>ยอดหลังหักส่วนลด</t>
        </is>
      </c>
      <c r="D19" s="150" t="inlineStr">
        <is>
          <t>฿ 0.00</t>
        </is>
      </c>
      <c r="E19" s="179" t="n"/>
      <c r="F19" s="180" t="n"/>
    </row>
    <row r="20" ht="28" customHeight="1">
      <c r="B20" s="130" t="inlineStr">
        <is>
          <t>ยอดสุดท้าย (รวม VAT)</t>
        </is>
      </c>
      <c r="D20" s="151" t="inlineStr">
        <is>
          <t>฿ 0.00</t>
        </is>
      </c>
      <c r="E20" s="179" t="n"/>
      <c r="F20" s="180" t="n"/>
    </row>
    <row r="21" ht="22" customHeight="1">
      <c r="B21" s="152" t="inlineStr">
        <is>
          <t>📌  วิธีติดตั้ง VBA</t>
        </is>
      </c>
    </row>
    <row r="22" ht="22" customHeight="1">
      <c r="B22" s="153" t="inlineStr">
        <is>
          <t>1.</t>
        </is>
      </c>
      <c r="C22" s="154" t="inlineStr">
        <is>
          <t>บันทึกไฟล์เป็น .xlsm  (File → Save As → Excel Macro-Enabled Workbook)</t>
        </is>
      </c>
    </row>
    <row r="23" ht="22" customHeight="1">
      <c r="B23" s="155" t="inlineStr">
        <is>
          <t>2.</t>
        </is>
      </c>
      <c r="C23" s="156" t="inlineStr">
        <is>
          <t>เปิด VBA Editor  (Alt+F11)  แล้ว Remove Module เก่า</t>
        </is>
      </c>
    </row>
    <row r="24" ht="22" customHeight="1">
      <c r="B24" s="153" t="inlineStr">
        <is>
          <t>3.</t>
        </is>
      </c>
      <c r="C24" s="154" t="inlineStr">
        <is>
          <t>File → Import File → เลือก  VBA_File1_v2.bas</t>
        </is>
      </c>
    </row>
    <row r="25" ht="22" customHeight="1">
      <c r="B25" s="155" t="inlineStr">
        <is>
          <t>4.</t>
        </is>
      </c>
      <c r="C25" s="156" t="inlineStr">
        <is>
          <t>ปิด VBA Editor แล้วคลิกขวาที่ปุ่ม → Assign Macro → เลือก macro</t>
        </is>
      </c>
    </row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42">
    <mergeCell ref="I5:I16"/>
    <mergeCell ref="C23:I23"/>
    <mergeCell ref="B16:C16"/>
    <mergeCell ref="D13:F13"/>
    <mergeCell ref="D11:F11"/>
    <mergeCell ref="B7:C7"/>
    <mergeCell ref="B3:C3"/>
    <mergeCell ref="G3:I3"/>
    <mergeCell ref="D7:F7"/>
    <mergeCell ref="B18:C18"/>
    <mergeCell ref="D16:F16"/>
    <mergeCell ref="B12:C12"/>
    <mergeCell ref="B21:I21"/>
    <mergeCell ref="B11:C11"/>
    <mergeCell ref="B2:I2"/>
    <mergeCell ref="D12:F12"/>
    <mergeCell ref="D18:F18"/>
    <mergeCell ref="D3:F3"/>
    <mergeCell ref="D9:F9"/>
    <mergeCell ref="B14:C14"/>
    <mergeCell ref="C24:I24"/>
    <mergeCell ref="D8:F8"/>
    <mergeCell ref="B8:C8"/>
    <mergeCell ref="B1:I1"/>
    <mergeCell ref="D15:F15"/>
    <mergeCell ref="G5:H16"/>
    <mergeCell ref="B13:C13"/>
    <mergeCell ref="D14:F14"/>
    <mergeCell ref="D5:F5"/>
    <mergeCell ref="B19:C19"/>
    <mergeCell ref="B10:C10"/>
    <mergeCell ref="B9:C9"/>
    <mergeCell ref="D20:F20"/>
    <mergeCell ref="C25:I25"/>
    <mergeCell ref="D10:F10"/>
    <mergeCell ref="B6:C6"/>
    <mergeCell ref="D19:F19"/>
    <mergeCell ref="C22:I22"/>
    <mergeCell ref="B15:C15"/>
    <mergeCell ref="B5:C5"/>
    <mergeCell ref="B20:C20"/>
    <mergeCell ref="D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J1570"/>
  <sheetViews>
    <sheetView topLeftCell="A1557" zoomScaleNormal="100" workbookViewId="0">
      <selection activeCell="D1567" sqref="D1567"/>
    </sheetView>
  </sheetViews>
  <sheetFormatPr baseColWidth="8" defaultColWidth="8.69921875" defaultRowHeight="19.8"/>
  <cols>
    <col width="9.3984375" customWidth="1" style="157" min="1" max="1"/>
    <col width="41.8984375" customWidth="1" style="19" min="2" max="2"/>
    <col width="11.3984375" customWidth="1" style="26" min="3" max="3"/>
    <col width="11.8984375" customWidth="1" style="20" min="4" max="4"/>
    <col width="25.69921875" customWidth="1" style="19" min="5" max="5"/>
    <col width="8.69921875" customWidth="1" style="19" min="6" max="16384"/>
  </cols>
  <sheetData>
    <row r="1" customFormat="1" s="28">
      <c r="A1" s="102" t="inlineStr">
        <is>
          <t>รายการซื้อสินค้าเข้า ประจำเดือน 12/2563</t>
        </is>
      </c>
      <c r="B1" s="158" t="n"/>
      <c r="C1" s="158" t="n"/>
      <c r="D1" s="158" t="n"/>
      <c r="E1" s="158" t="n"/>
      <c r="F1" s="27" t="n"/>
      <c r="G1" s="27" t="n"/>
      <c r="H1" s="27" t="n"/>
      <c r="I1" s="27" t="n"/>
      <c r="J1" s="27" t="n"/>
    </row>
    <row r="2" customFormat="1" s="20">
      <c r="A2" s="159" t="inlineStr">
        <is>
          <t>ว/ด/ป</t>
        </is>
      </c>
      <c r="B2" s="21" t="inlineStr">
        <is>
          <t>ชื่อร้านค้า</t>
        </is>
      </c>
      <c r="C2" s="25" t="inlineStr">
        <is>
          <t>ยอดรวม</t>
        </is>
      </c>
      <c r="D2" s="21" t="inlineStr">
        <is>
          <t>เลขที่บิล</t>
        </is>
      </c>
      <c r="E2" s="21" t="inlineStr">
        <is>
          <t>หมายเหตุ</t>
        </is>
      </c>
    </row>
    <row r="3">
      <c r="B3" s="22" t="inlineStr">
        <is>
          <t>ต้นทุนสี</t>
        </is>
      </c>
    </row>
    <row r="4">
      <c r="A4" s="157" t="n">
        <v>23355</v>
      </c>
      <c r="B4" s="19" t="inlineStr">
        <is>
          <t>ช.ทรัพย์สินไทย</t>
        </is>
      </c>
      <c r="C4" s="26" t="n">
        <v>5350</v>
      </c>
      <c r="D4" s="20" t="inlineStr">
        <is>
          <t>IV6312181</t>
        </is>
      </c>
    </row>
    <row r="5">
      <c r="A5" s="157" t="n">
        <v>23355</v>
      </c>
      <c r="B5" s="19" t="inlineStr">
        <is>
          <t>ช.ทรัพย์สินไทย</t>
        </is>
      </c>
      <c r="C5" s="26" t="n">
        <v>23872.77</v>
      </c>
      <c r="D5" s="20" t="inlineStr">
        <is>
          <t>IV6312182</t>
        </is>
      </c>
    </row>
    <row r="6">
      <c r="A6" s="157" t="n">
        <v>23366</v>
      </c>
      <c r="B6" s="19" t="inlineStr">
        <is>
          <t>ช.ทรัพย์สินไทย</t>
        </is>
      </c>
      <c r="C6" s="26" t="n">
        <v>62334.99</v>
      </c>
      <c r="D6" s="20" t="inlineStr">
        <is>
          <t>IV6312328</t>
        </is>
      </c>
      <c r="E6" s="19" t="inlineStr">
        <is>
          <t>กสิกร 25/2/2564 # 29776188</t>
        </is>
      </c>
    </row>
    <row r="7">
      <c r="A7" s="157" t="n">
        <v>23366</v>
      </c>
      <c r="B7" s="19" t="inlineStr">
        <is>
          <t>ช.ทรัพย์สินไทย</t>
        </is>
      </c>
      <c r="C7" s="26" t="n">
        <v>48843.36</v>
      </c>
      <c r="D7" s="20" t="inlineStr">
        <is>
          <t>IV6312329</t>
        </is>
      </c>
    </row>
    <row r="8">
      <c r="A8" s="157" t="n">
        <v>23366</v>
      </c>
      <c r="B8" s="19" t="inlineStr">
        <is>
          <t>ช.ทรัพย์สินไทย</t>
        </is>
      </c>
      <c r="C8" s="26" t="n">
        <v>257677.4</v>
      </c>
      <c r="D8" s="20" t="inlineStr">
        <is>
          <t>IV6312330</t>
        </is>
      </c>
    </row>
    <row r="9">
      <c r="A9" s="157" t="n">
        <v>23349</v>
      </c>
      <c r="B9" s="19" t="inlineStr">
        <is>
          <t>ออโต้ สมาร์ท เทค</t>
        </is>
      </c>
      <c r="C9" s="26" t="n">
        <v>16138.81</v>
      </c>
      <c r="D9" s="20" t="n">
        <v>202012048</v>
      </c>
      <c r="E9" s="19" t="inlineStr">
        <is>
          <t>กสิกร 18/1/64 # 29776153</t>
        </is>
      </c>
    </row>
    <row r="10">
      <c r="A10" s="157" t="n">
        <v>23354</v>
      </c>
      <c r="B10" s="19" t="inlineStr">
        <is>
          <t>ออโต้ สมาร์ท เทค</t>
        </is>
      </c>
      <c r="C10" s="26" t="n">
        <v>5014.72</v>
      </c>
      <c r="D10" s="20" t="n">
        <v>202012093</v>
      </c>
      <c r="E10" s="19" t="inlineStr">
        <is>
          <t>กสิกร 18/1/64 # 29776153</t>
        </is>
      </c>
    </row>
    <row r="11">
      <c r="A11" s="157" t="n">
        <v>23349</v>
      </c>
      <c r="B11" s="19" t="inlineStr">
        <is>
          <t>ทาเลนท์อินเตอร์เทรด</t>
        </is>
      </c>
      <c r="C11" s="26" t="n">
        <v>5164.89</v>
      </c>
      <c r="D11" s="20" t="inlineStr">
        <is>
          <t>IV2004866</t>
        </is>
      </c>
      <c r="E11" s="19" t="inlineStr">
        <is>
          <t>โอน กสิกร 22/3/64</t>
        </is>
      </c>
    </row>
    <row r="12">
      <c r="A12" s="157" t="n">
        <v>23354</v>
      </c>
      <c r="B12" s="19" t="inlineStr">
        <is>
          <t>ทาเลนท์อินเตอร์เทรด</t>
        </is>
      </c>
      <c r="C12" s="26" t="n">
        <v>10740.66</v>
      </c>
      <c r="D12" s="20" t="inlineStr">
        <is>
          <t>IV2005155</t>
        </is>
      </c>
      <c r="E12" s="19" t="inlineStr">
        <is>
          <t>โอน กสิกร 22/3/64</t>
        </is>
      </c>
    </row>
    <row r="13">
      <c r="A13" s="157" t="n">
        <v>23357</v>
      </c>
      <c r="B13" s="19" t="inlineStr">
        <is>
          <t>ทาเลนท์อินเตอร์เทรด</t>
        </is>
      </c>
      <c r="C13" s="26" t="n">
        <v>3477.5</v>
      </c>
      <c r="D13" s="20" t="inlineStr">
        <is>
          <t>IV2005355</t>
        </is>
      </c>
      <c r="E13" s="19" t="inlineStr">
        <is>
          <t>โอน กสิกร 22/3/64</t>
        </is>
      </c>
    </row>
    <row r="16">
      <c r="B16" s="22" t="inlineStr">
        <is>
          <t>ต้นทุนอะไหล่</t>
        </is>
      </c>
    </row>
    <row r="17">
      <c r="A17" s="157" t="n">
        <v>23366</v>
      </c>
      <c r="B17" s="19" t="inlineStr">
        <is>
          <t xml:space="preserve">กิ๊บน๊อต / ร้านต้นคิด   </t>
        </is>
      </c>
      <c r="C17" s="26" t="n">
        <v>350</v>
      </c>
      <c r="D17" s="20" t="inlineStr">
        <is>
          <t>(บิล 21/12/63)</t>
        </is>
      </c>
      <c r="E17" s="19" t="inlineStr">
        <is>
          <t>โอน BBL 054-716-1281</t>
        </is>
      </c>
    </row>
    <row r="18">
      <c r="A18" s="157" t="n">
        <v>23367</v>
      </c>
      <c r="B18" s="19" t="inlineStr">
        <is>
          <t xml:space="preserve">กิ๊บน๊อต / ร้านต้นคิด   </t>
        </is>
      </c>
      <c r="C18" s="26" t="n">
        <v>1400</v>
      </c>
      <c r="D18" s="20" t="inlineStr">
        <is>
          <t>(บิล 22/12/63)</t>
        </is>
      </c>
      <c r="E18" s="19" t="inlineStr">
        <is>
          <t>โอน BBL 054-716-1281</t>
        </is>
      </c>
    </row>
    <row r="19">
      <c r="A19" s="157" t="n">
        <v>23366</v>
      </c>
      <c r="B19" s="19" t="inlineStr">
        <is>
          <t xml:space="preserve">กิ๊บน๊อต / ร้านต้นคิด   </t>
        </is>
      </c>
      <c r="C19" s="26" t="n">
        <v>1250</v>
      </c>
      <c r="D19" s="20" t="inlineStr">
        <is>
          <t>(บิล 21/12/63)</t>
        </is>
      </c>
      <c r="E19" s="19" t="inlineStr">
        <is>
          <t>โอน BBL 054-716-1281</t>
        </is>
      </c>
    </row>
    <row r="20">
      <c r="B20" s="19" t="inlineStr">
        <is>
          <t>โสภา การยาง เดือน 12/63</t>
        </is>
      </c>
      <c r="C20" s="26" t="n">
        <v>8400</v>
      </c>
      <c r="E20" s="19" t="inlineStr">
        <is>
          <t>โอน 10/2/64</t>
        </is>
      </c>
    </row>
    <row r="23" customFormat="1" s="28">
      <c r="A23" s="102" t="inlineStr">
        <is>
          <t>รายการซื้อสินค้าเข้า ประจำเดือน 1/2564</t>
        </is>
      </c>
      <c r="B23" s="158" t="n"/>
      <c r="C23" s="158" t="n"/>
      <c r="D23" s="158" t="n"/>
      <c r="E23" s="158" t="n"/>
      <c r="F23" s="27" t="n"/>
      <c r="G23" s="27" t="n"/>
      <c r="H23" s="27" t="n"/>
      <c r="I23" s="27" t="n"/>
      <c r="J23" s="27" t="n"/>
    </row>
    <row r="24" customFormat="1" s="20">
      <c r="A24" s="159" t="inlineStr">
        <is>
          <t>ว/ด/ป</t>
        </is>
      </c>
      <c r="B24" s="21" t="inlineStr">
        <is>
          <t>ชื่อร้านค้า</t>
        </is>
      </c>
      <c r="C24" s="25" t="inlineStr">
        <is>
          <t>ยอดรวม</t>
        </is>
      </c>
      <c r="D24" s="21" t="inlineStr">
        <is>
          <t>เลขที่บิล</t>
        </is>
      </c>
      <c r="E24" s="21" t="inlineStr">
        <is>
          <t>หมายเหตุ</t>
        </is>
      </c>
    </row>
    <row r="25">
      <c r="B25" s="22" t="inlineStr">
        <is>
          <t>ต้นทุนสี</t>
        </is>
      </c>
    </row>
    <row r="26">
      <c r="A26" s="157" t="n">
        <v>23380</v>
      </c>
      <c r="B26" s="19" t="inlineStr">
        <is>
          <t>ทาเลนท์ อินเตอร์เทรด</t>
        </is>
      </c>
      <c r="C26" s="26" t="n">
        <v>5558.65</v>
      </c>
      <c r="D26" s="20" t="inlineStr">
        <is>
          <t>IV2106105</t>
        </is>
      </c>
      <c r="E26" s="19" t="inlineStr">
        <is>
          <t>โอน กสิกร 29/4/64</t>
        </is>
      </c>
    </row>
    <row r="27">
      <c r="A27" s="157" t="n">
        <v>23390</v>
      </c>
      <c r="B27" s="19" t="inlineStr">
        <is>
          <t>ทาเลนท์ อินเตอร์เทรด</t>
        </is>
      </c>
      <c r="C27" s="26" t="n">
        <v>5253.7</v>
      </c>
      <c r="D27" s="20" t="inlineStr">
        <is>
          <t>IV2106825</t>
        </is>
      </c>
      <c r="E27" s="19" t="inlineStr">
        <is>
          <t>โอน กสิกร 29/4/64</t>
        </is>
      </c>
    </row>
    <row r="28">
      <c r="A28" s="157" t="n">
        <v>23392</v>
      </c>
      <c r="B28" s="19" t="inlineStr">
        <is>
          <t>ทาเลนท์ อินเตอร์เทรด</t>
        </is>
      </c>
      <c r="C28" s="26" t="n">
        <v>5002.25</v>
      </c>
      <c r="D28" s="20" t="inlineStr">
        <is>
          <t>IV2106982</t>
        </is>
      </c>
      <c r="E28" s="19" t="inlineStr">
        <is>
          <t>โอน กสิกร 29/4/64</t>
        </is>
      </c>
    </row>
    <row r="29">
      <c r="A29" s="157" t="n">
        <v>23395</v>
      </c>
      <c r="B29" s="19" t="inlineStr">
        <is>
          <t>ทาเลนท์ อินเตอร์เทรด</t>
        </is>
      </c>
      <c r="C29" s="26" t="n">
        <v>3557.75</v>
      </c>
      <c r="D29" s="20" t="inlineStr">
        <is>
          <t>IV2107097</t>
        </is>
      </c>
      <c r="E29" s="19" t="inlineStr">
        <is>
          <t>โอน กสิกร 29/4/64</t>
        </is>
      </c>
    </row>
    <row r="30">
      <c r="A30" s="157" t="n">
        <v>23395</v>
      </c>
      <c r="B30" s="19" t="inlineStr">
        <is>
          <t>ทาเลนท์ อินเตอร์เทรด</t>
        </is>
      </c>
      <c r="C30" s="26" t="n">
        <v>4108.8</v>
      </c>
      <c r="D30" s="20" t="inlineStr">
        <is>
          <t>IV2107098</t>
        </is>
      </c>
      <c r="E30" s="19" t="inlineStr">
        <is>
          <t>โอน กสิกร 29/4/64</t>
        </is>
      </c>
    </row>
    <row r="31">
      <c r="A31" s="157" t="n">
        <v>23396</v>
      </c>
      <c r="B31" s="19" t="inlineStr">
        <is>
          <t>ทาเลนท์ อินเตอร์เทรด</t>
        </is>
      </c>
      <c r="C31" s="26" t="n">
        <v>952.3</v>
      </c>
      <c r="D31" s="20" t="inlineStr">
        <is>
          <t>IV2107157</t>
        </is>
      </c>
      <c r="E31" s="19" t="inlineStr">
        <is>
          <t>โอน กสิกร 29/4/64</t>
        </is>
      </c>
    </row>
    <row r="32">
      <c r="A32" s="157" t="n">
        <v>23398</v>
      </c>
      <c r="B32" s="19" t="inlineStr">
        <is>
          <t>ทาเลนท์ อินเตอร์เทรด</t>
        </is>
      </c>
      <c r="C32" s="26" t="n">
        <v>347.75</v>
      </c>
      <c r="D32" s="20" t="inlineStr">
        <is>
          <t>IV2107365</t>
        </is>
      </c>
      <c r="E32" s="19" t="inlineStr">
        <is>
          <t>โอน กสิกร 29/4/64</t>
        </is>
      </c>
    </row>
    <row r="33">
      <c r="A33" s="157" t="n">
        <v>23401</v>
      </c>
      <c r="B33" s="19" t="inlineStr">
        <is>
          <t>ทาเลนท์ อินเตอร์เทรด</t>
        </is>
      </c>
      <c r="C33" s="26" t="n">
        <v>695.5</v>
      </c>
      <c r="D33" s="20" t="inlineStr">
        <is>
          <t>IV2107490</t>
        </is>
      </c>
      <c r="E33" s="19" t="inlineStr">
        <is>
          <t>โอน กสิกร 29/4/64</t>
        </is>
      </c>
    </row>
    <row r="34">
      <c r="A34" s="157" t="n">
        <v>23387</v>
      </c>
      <c r="B34" s="19" t="inlineStr">
        <is>
          <t>ออโต้ สมาร์ท เทค</t>
        </is>
      </c>
      <c r="C34" s="26" t="n">
        <v>7597</v>
      </c>
      <c r="D34" s="20" t="n">
        <v>202101073</v>
      </c>
      <c r="E34" s="19" t="inlineStr">
        <is>
          <t>กสิกร 25/2/64 #29776154</t>
        </is>
      </c>
    </row>
    <row r="35">
      <c r="A35" s="157" t="n">
        <v>23399</v>
      </c>
      <c r="B35" s="19" t="inlineStr">
        <is>
          <t>ออโต้ สมาร์ท เทค</t>
        </is>
      </c>
      <c r="C35" s="26" t="n">
        <v>12358.18</v>
      </c>
      <c r="D35" s="20" t="n">
        <v>202101191</v>
      </c>
    </row>
    <row r="36">
      <c r="A36" s="157" t="n">
        <v>23387</v>
      </c>
      <c r="B36" s="19" t="inlineStr">
        <is>
          <t>ช.ทรัพย์สินไทย</t>
        </is>
      </c>
      <c r="C36" s="26" t="n">
        <v>6509.88</v>
      </c>
      <c r="D36" s="20" t="inlineStr">
        <is>
          <t>IV6401131</t>
        </is>
      </c>
      <c r="G36" s="44">
        <f>SUM(C36+C37+C38+C39)</f>
        <v/>
      </c>
    </row>
    <row r="37">
      <c r="A37" s="157" t="n">
        <v>23398</v>
      </c>
      <c r="B37" s="19" t="inlineStr">
        <is>
          <t>ช.ทรัพย์สินไทย</t>
        </is>
      </c>
      <c r="C37" s="26" t="n">
        <v>50249.34</v>
      </c>
      <c r="D37" s="20" t="inlineStr">
        <is>
          <t>IV6401318</t>
        </is>
      </c>
      <c r="E37" s="19" t="inlineStr">
        <is>
          <t>กสิกร 25/3/64 # 29776189</t>
        </is>
      </c>
    </row>
    <row r="38">
      <c r="A38" s="157" t="n">
        <v>23398</v>
      </c>
      <c r="B38" s="19" t="inlineStr">
        <is>
          <t>ช.ทรัพย์สินไทย</t>
        </is>
      </c>
      <c r="C38" s="26" t="n">
        <v>24353.2</v>
      </c>
      <c r="D38" s="20" t="inlineStr">
        <is>
          <t>IV6401319</t>
        </is>
      </c>
    </row>
    <row r="39">
      <c r="A39" s="157" t="n">
        <v>23403</v>
      </c>
      <c r="B39" s="19" t="inlineStr">
        <is>
          <t>ช.ทรัพย์สินไทย</t>
        </is>
      </c>
      <c r="C39" s="26" t="n">
        <v>17497.71</v>
      </c>
      <c r="D39" s="20" t="inlineStr">
        <is>
          <t>IV6401383</t>
        </is>
      </c>
    </row>
    <row r="40">
      <c r="A40" s="157" t="n">
        <v>23388</v>
      </c>
      <c r="B40" s="19" t="inlineStr">
        <is>
          <t>ไทยนคร</t>
        </is>
      </c>
      <c r="C40" s="26" t="n">
        <v>20009</v>
      </c>
      <c r="D40" s="20" t="inlineStr">
        <is>
          <t>IV6401/0434</t>
        </is>
      </c>
      <c r="E40" s="19" t="inlineStr">
        <is>
          <t xml:space="preserve">กสิกร 13/3/64 #29776190 </t>
        </is>
      </c>
    </row>
    <row r="42">
      <c r="B42" s="22" t="inlineStr">
        <is>
          <t>ต้นทุนอะไหล่</t>
        </is>
      </c>
    </row>
    <row r="43">
      <c r="A43" s="157" t="n">
        <v>23382</v>
      </c>
      <c r="B43" s="19" t="inlineStr">
        <is>
          <t>บุญยาง</t>
        </is>
      </c>
      <c r="C43" s="26" t="n">
        <v>9800</v>
      </c>
      <c r="E43" s="19" t="inlineStr">
        <is>
          <t>บิล 19,21,26/12/63</t>
        </is>
      </c>
    </row>
    <row r="44">
      <c r="A44" s="157" t="n">
        <v>23387</v>
      </c>
      <c r="B44" s="19" t="inlineStr">
        <is>
          <t xml:space="preserve">ร้านจิตต์ อะไหล่ </t>
        </is>
      </c>
      <c r="C44" s="26" t="n">
        <v>18587</v>
      </c>
      <c r="E44" s="19" t="inlineStr">
        <is>
          <t>Due 21/63 - 9/1/2564</t>
        </is>
      </c>
    </row>
    <row r="45">
      <c r="B45" s="19" t="inlineStr">
        <is>
          <t>โสภา เดือน 1/2564</t>
        </is>
      </c>
      <c r="C45" s="26" t="n">
        <v>7400</v>
      </c>
      <c r="E45" s="19" t="inlineStr">
        <is>
          <t>โอน 10/2/64</t>
        </is>
      </c>
    </row>
    <row r="46">
      <c r="B46" s="19" t="inlineStr">
        <is>
          <t>ศรีสยาม (11 - 17/1/2564)</t>
        </is>
      </c>
      <c r="C46" s="26" t="n">
        <v>43266.41</v>
      </c>
      <c r="E46" s="19" t="inlineStr">
        <is>
          <t>กสิกร 17/2/64 #29776181</t>
        </is>
      </c>
    </row>
    <row r="47">
      <c r="B47" s="19" t="inlineStr">
        <is>
          <t>ศรีสยาม (11 - 17/1/2564)</t>
        </is>
      </c>
      <c r="C47" s="26" t="n">
        <v>18745.95</v>
      </c>
      <c r="E47" s="19" t="inlineStr">
        <is>
          <t>กสิกร 17/3/64 #29776182</t>
        </is>
      </c>
    </row>
    <row r="48">
      <c r="B48" s="19" t="inlineStr">
        <is>
          <t>ศรีสยาม (18 - 24/1/2564)</t>
        </is>
      </c>
      <c r="C48" s="26" t="n">
        <v>54337.96</v>
      </c>
      <c r="E48" s="19" t="inlineStr">
        <is>
          <t>กสิกร 24/2/64 #29776183</t>
        </is>
      </c>
    </row>
    <row r="49">
      <c r="B49" s="19" t="inlineStr">
        <is>
          <t>ศรีสยาม (18 - 24/1/2564)</t>
        </is>
      </c>
      <c r="C49" s="26" t="n">
        <v>1171</v>
      </c>
      <c r="E49" s="19" t="inlineStr">
        <is>
          <t>กสิกร 1/3/64 #29776184</t>
        </is>
      </c>
    </row>
    <row r="50">
      <c r="B50" s="19" t="inlineStr">
        <is>
          <t>ศรีสยาม (25 - 31/1/2564)</t>
        </is>
      </c>
      <c r="C50" s="26" t="n">
        <v>50033.1</v>
      </c>
      <c r="E50" s="19" t="inlineStr">
        <is>
          <t>กสิกร 1/3/64 #29776184</t>
        </is>
      </c>
    </row>
    <row r="51">
      <c r="B51" s="19" t="inlineStr">
        <is>
          <t>ศรีสยาม (25 - 31/1/2564)</t>
        </is>
      </c>
      <c r="C51" s="26" t="n">
        <v>26229.24</v>
      </c>
      <c r="E51" s="19" t="inlineStr">
        <is>
          <t>กสิกร 31/3/64 #29776185</t>
        </is>
      </c>
    </row>
    <row r="52">
      <c r="B52" s="19" t="inlineStr">
        <is>
          <t>ร้านจิตต์ อะไหล่ Due 21/63 - 9/1/2564</t>
        </is>
      </c>
      <c r="C52" s="26" t="n">
        <v>18587</v>
      </c>
      <c r="E52" s="19" t="inlineStr">
        <is>
          <t>โอน 11/1/64</t>
        </is>
      </c>
    </row>
    <row r="53">
      <c r="B53" s="19" t="inlineStr">
        <is>
          <t>ร้านจิตต์ อะไหล่ Due 11 - 16/1/2564</t>
        </is>
      </c>
      <c r="C53" s="26" t="n">
        <v>30560</v>
      </c>
      <c r="E53" s="19" t="inlineStr">
        <is>
          <t>โอน 18/1/64</t>
        </is>
      </c>
    </row>
    <row r="54">
      <c r="B54" s="19" t="inlineStr">
        <is>
          <t>ร้านจิตต์ อะไหล่ Due 18 - 23/1/2564</t>
        </is>
      </c>
      <c r="C54" s="26" t="n">
        <v>19727</v>
      </c>
      <c r="E54" s="19" t="inlineStr">
        <is>
          <t>โอน 25/1/64</t>
        </is>
      </c>
    </row>
    <row r="55">
      <c r="B55" s="19" t="inlineStr">
        <is>
          <t>ร้านจิตต์ อะไหล่ Due 25 - 30/1/2564</t>
        </is>
      </c>
      <c r="C55" s="26" t="n">
        <v>18909</v>
      </c>
      <c r="E55" s="19" t="inlineStr">
        <is>
          <t>โอน 1/2/64</t>
        </is>
      </c>
    </row>
    <row r="56">
      <c r="A56" s="157" t="n">
        <v>23396</v>
      </c>
      <c r="B56" s="19" t="inlineStr">
        <is>
          <t xml:space="preserve">กิ๊บน๊อต / ร้านต้นคิด   </t>
        </is>
      </c>
      <c r="C56" s="26" t="n">
        <v>3050</v>
      </c>
      <c r="E56" s="19" t="inlineStr">
        <is>
          <t>โอน BBL 054-716-1281</t>
        </is>
      </c>
    </row>
    <row r="57">
      <c r="A57" s="157" t="n">
        <v>23401</v>
      </c>
      <c r="B57" s="19" t="inlineStr">
        <is>
          <t xml:space="preserve">กิ๊บน๊อต / ร้านต้นคิด   </t>
        </is>
      </c>
      <c r="C57" s="26" t="n">
        <v>1200</v>
      </c>
      <c r="E57" s="19" t="inlineStr">
        <is>
          <t>โอน BBL 054-716-1281</t>
        </is>
      </c>
    </row>
    <row r="58">
      <c r="A58" s="157" t="n">
        <v>23403</v>
      </c>
      <c r="B58" s="19" t="inlineStr">
        <is>
          <t xml:space="preserve">กิ๊บน๊อต / ร้านต้นคิด   </t>
        </is>
      </c>
      <c r="C58" s="26" t="n">
        <v>1200</v>
      </c>
      <c r="E58" s="19" t="inlineStr">
        <is>
          <t>โอน BBL 054-716-1281</t>
        </is>
      </c>
    </row>
    <row r="60" customFormat="1" s="28">
      <c r="A60" s="102" t="inlineStr">
        <is>
          <t>รายการซื้อสินค้าเข้า ประจำเดือน 2/2564</t>
        </is>
      </c>
      <c r="B60" s="158" t="n"/>
      <c r="C60" s="158" t="n"/>
      <c r="D60" s="158" t="n"/>
      <c r="E60" s="158" t="n"/>
      <c r="F60" s="27" t="n"/>
      <c r="G60" s="27" t="n"/>
      <c r="H60" s="27" t="n"/>
      <c r="I60" s="27" t="n"/>
      <c r="J60" s="27" t="n"/>
    </row>
    <row r="61" customFormat="1" s="20">
      <c r="A61" s="159" t="inlineStr">
        <is>
          <t>ว/ด/ป</t>
        </is>
      </c>
      <c r="B61" s="21" t="inlineStr">
        <is>
          <t>ชื่อร้านค้า</t>
        </is>
      </c>
      <c r="C61" s="25" t="inlineStr">
        <is>
          <t>ยอดรวม</t>
        </is>
      </c>
      <c r="D61" s="21" t="inlineStr">
        <is>
          <t>เลขที่บิล</t>
        </is>
      </c>
      <c r="E61" s="21" t="inlineStr">
        <is>
          <t>หมายเหตุ</t>
        </is>
      </c>
    </row>
    <row r="62">
      <c r="B62" s="22" t="inlineStr">
        <is>
          <t>ต้นทุนสี</t>
        </is>
      </c>
    </row>
    <row r="63">
      <c r="A63" s="157" t="n">
        <v>23429</v>
      </c>
      <c r="B63" s="19" t="inlineStr">
        <is>
          <t>ออโต้ สมาร์ท เทค</t>
        </is>
      </c>
      <c r="C63" s="26" t="n">
        <v>16192.31</v>
      </c>
      <c r="D63" s="20" t="n">
        <v>202102219</v>
      </c>
      <c r="E63" s="19" t="inlineStr">
        <is>
          <t>กสิกร 8/4/64 #29776187</t>
        </is>
      </c>
    </row>
    <row r="64">
      <c r="A64" s="157" t="n">
        <v>23411</v>
      </c>
      <c r="B64" s="19" t="inlineStr">
        <is>
          <t>ออโต้ สมาร์ท เทค</t>
        </is>
      </c>
      <c r="C64" s="26" t="n">
        <v>20758</v>
      </c>
      <c r="D64" s="20" t="n">
        <v>202102058</v>
      </c>
    </row>
    <row r="65">
      <c r="A65" s="157" t="n">
        <v>23409</v>
      </c>
      <c r="B65" s="19" t="inlineStr">
        <is>
          <t>ทาเลนท์ อินเตอร์เทรด</t>
        </is>
      </c>
      <c r="C65" s="26" t="n">
        <v>7896.6</v>
      </c>
      <c r="D65" s="20" t="inlineStr">
        <is>
          <t>IV2107962</t>
        </is>
      </c>
      <c r="E65" s="19" t="inlineStr">
        <is>
          <t>โอน กสิกร 26/5/64</t>
        </is>
      </c>
    </row>
    <row r="66">
      <c r="A66" s="157" t="n">
        <v>23415</v>
      </c>
      <c r="B66" s="19" t="inlineStr">
        <is>
          <t>ทาเลนท์ อินเตอร์เทรด</t>
        </is>
      </c>
      <c r="C66" s="26" t="n">
        <v>5562.93</v>
      </c>
      <c r="D66" s="20" t="inlineStr">
        <is>
          <t>IV2108489</t>
        </is>
      </c>
      <c r="E66" s="19" t="inlineStr">
        <is>
          <t>โอน กสิกร 26/5/64</t>
        </is>
      </c>
    </row>
    <row r="67">
      <c r="A67" s="157" t="n">
        <v>23418</v>
      </c>
      <c r="B67" s="19" t="inlineStr">
        <is>
          <t>ทาเลนท์ อินเตอร์เทรด</t>
        </is>
      </c>
      <c r="C67" s="26" t="n">
        <v>410.88</v>
      </c>
      <c r="D67" s="20" t="inlineStr">
        <is>
          <t>IV2108684</t>
        </is>
      </c>
      <c r="E67" s="19" t="inlineStr">
        <is>
          <t>โอน กสิกร 26/5/64</t>
        </is>
      </c>
    </row>
    <row r="68">
      <c r="A68" s="157" t="n">
        <v>23430</v>
      </c>
      <c r="B68" s="19" t="inlineStr">
        <is>
          <t>ทาเลนท์ อินเตอร์เทรด</t>
        </is>
      </c>
      <c r="C68" s="26" t="n">
        <v>25136.44</v>
      </c>
      <c r="D68" s="20" t="inlineStr">
        <is>
          <t>IV2109422</t>
        </is>
      </c>
      <c r="E68" s="19" t="inlineStr">
        <is>
          <t>โอน กสิกร 26/5/64</t>
        </is>
      </c>
    </row>
    <row r="69">
      <c r="A69" s="157" t="n">
        <v>23433</v>
      </c>
      <c r="B69" s="19" t="inlineStr">
        <is>
          <t>ทาเลนท์ อินเตอร์เทรด</t>
        </is>
      </c>
      <c r="C69" s="26" t="n">
        <v>8474.4</v>
      </c>
      <c r="D69" s="20" t="inlineStr">
        <is>
          <t>IV6402402</t>
        </is>
      </c>
    </row>
    <row r="70">
      <c r="A70" s="157" t="n">
        <v>23422</v>
      </c>
      <c r="B70" s="19" t="inlineStr">
        <is>
          <t>ช.ทรัพย์สินไทย</t>
        </is>
      </c>
      <c r="C70" s="26" t="n">
        <v>14233.14</v>
      </c>
      <c r="D70" s="20" t="inlineStr">
        <is>
          <t>IV6402216</t>
        </is>
      </c>
      <c r="G70" s="44">
        <f>SUM(C70+C71+C72+C73)</f>
        <v/>
      </c>
    </row>
    <row r="71">
      <c r="A71" s="157" t="n">
        <v>23430</v>
      </c>
      <c r="B71" s="19" t="inlineStr">
        <is>
          <t>ช.ทรัพย์สินไทย</t>
        </is>
      </c>
      <c r="C71" s="26" t="n">
        <v>98341.56</v>
      </c>
      <c r="D71" s="20" t="inlineStr">
        <is>
          <t>IV6402347</t>
        </is>
      </c>
    </row>
    <row r="72">
      <c r="A72" s="157" t="n">
        <v>23430</v>
      </c>
      <c r="B72" s="19" t="inlineStr">
        <is>
          <t>ช.ทรัพย์สินไทย</t>
        </is>
      </c>
      <c r="C72" s="26" t="n">
        <v>158873.6</v>
      </c>
      <c r="D72" s="20" t="inlineStr">
        <is>
          <t>IV6402348</t>
        </is>
      </c>
    </row>
    <row r="73">
      <c r="A73" s="157" t="n">
        <v>23431</v>
      </c>
      <c r="B73" s="19" t="inlineStr">
        <is>
          <t>ช.ทรัพย์สินไทย</t>
        </is>
      </c>
      <c r="C73" s="26" t="n">
        <v>6509.88</v>
      </c>
      <c r="D73" s="20" t="inlineStr">
        <is>
          <t>IV6402373</t>
        </is>
      </c>
    </row>
    <row r="74">
      <c r="G74" s="26" t="n"/>
    </row>
    <row r="75">
      <c r="B75" s="22" t="inlineStr">
        <is>
          <t>ต้นทุนอะไหล่</t>
        </is>
      </c>
    </row>
    <row r="76">
      <c r="B76" s="19" t="inlineStr">
        <is>
          <t>ศรีสยาม (1 - 7/2/2564)</t>
        </is>
      </c>
      <c r="C76" s="26" t="n">
        <v>72633.69</v>
      </c>
      <c r="E76" s="19" t="inlineStr">
        <is>
          <t>กสิกร 7/3/64 #29776186</t>
        </is>
      </c>
    </row>
    <row r="77">
      <c r="B77" s="19" t="inlineStr">
        <is>
          <t>ร้านจิตต์ อะไหล่ Due 1 - 6/2/2564</t>
        </is>
      </c>
      <c r="C77" s="26" t="n">
        <v>22261</v>
      </c>
      <c r="E77" s="19" t="inlineStr">
        <is>
          <t>โอน 8/2/64</t>
        </is>
      </c>
    </row>
    <row r="78">
      <c r="B78" s="19" t="inlineStr">
        <is>
          <t>ร้านจิตต์ อะไหล่ Due 8 - 13/2/2564</t>
        </is>
      </c>
      <c r="C78" s="26" t="n">
        <v>12978</v>
      </c>
      <c r="E78" s="19" t="inlineStr">
        <is>
          <t>โอน 15/2/64</t>
        </is>
      </c>
    </row>
    <row r="79">
      <c r="B79" s="19" t="inlineStr">
        <is>
          <t>ร้านจิตต์ อะไหล่ Due 15 - 20/2/2564</t>
        </is>
      </c>
      <c r="C79" s="26" t="n">
        <v>25842</v>
      </c>
      <c r="E79" s="19" t="inlineStr">
        <is>
          <t>โอน 22/2/64</t>
        </is>
      </c>
    </row>
    <row r="80">
      <c r="B80" s="19" t="inlineStr">
        <is>
          <t>ร้านจิตต์ อะไหล่ Due 22 - 27/2/2564</t>
        </is>
      </c>
      <c r="C80" s="26" t="n">
        <v>22750</v>
      </c>
      <c r="E80" s="19" t="inlineStr">
        <is>
          <t>โอน 1/3/64</t>
        </is>
      </c>
    </row>
    <row r="81">
      <c r="B81" s="19" t="inlineStr">
        <is>
          <t>ศรีสยาม (8 - 14/2/2564)</t>
        </is>
      </c>
      <c r="C81" s="26" t="n">
        <v>24421.38</v>
      </c>
      <c r="E81" s="19" t="inlineStr">
        <is>
          <t>กสิกร 19/3/64 #29776194</t>
        </is>
      </c>
    </row>
    <row r="82">
      <c r="B82" s="19" t="inlineStr">
        <is>
          <t>ศรีสยาม (8 - 14/2/2564)</t>
        </is>
      </c>
      <c r="C82" s="26" t="n">
        <v>3480</v>
      </c>
      <c r="E82" s="19" t="inlineStr">
        <is>
          <t>กสิกร 14/4/64 #29776195</t>
        </is>
      </c>
    </row>
    <row r="83">
      <c r="B83" s="19" t="inlineStr">
        <is>
          <t>ศรีสยาม (15 - 21/2/2564)</t>
        </is>
      </c>
      <c r="C83" s="26" t="n">
        <v>39053.6</v>
      </c>
      <c r="E83" s="19" t="inlineStr">
        <is>
          <t>กสิกร 19/3/64 #29776194</t>
        </is>
      </c>
    </row>
    <row r="84">
      <c r="B84" s="19" t="inlineStr">
        <is>
          <t>ศรีสยาม (15 - 21/2/2564)</t>
        </is>
      </c>
      <c r="C84" s="26" t="n">
        <v>19550</v>
      </c>
      <c r="E84" s="19" t="inlineStr">
        <is>
          <t>กสิกร 20/4/64 #29776196</t>
        </is>
      </c>
    </row>
    <row r="85">
      <c r="B85" s="19" t="inlineStr">
        <is>
          <t>ศรีสยาม (22 - 28/2/2564)</t>
        </is>
      </c>
      <c r="C85" s="26" t="n">
        <v>65826.53999999999</v>
      </c>
      <c r="E85" s="19" t="inlineStr">
        <is>
          <t>กสิกร 28/3/64 #29776197</t>
        </is>
      </c>
    </row>
    <row r="86">
      <c r="B86" s="19" t="inlineStr">
        <is>
          <t>ศรีสยาม (22 - 28/2/2564)</t>
        </is>
      </c>
      <c r="C86" s="26" t="n">
        <v>14189</v>
      </c>
      <c r="E86" s="19" t="inlineStr">
        <is>
          <t>กสิกร 28/4/64 #29776198</t>
        </is>
      </c>
    </row>
    <row r="87">
      <c r="B87" s="19" t="inlineStr">
        <is>
          <t>ศรีสยาม (1 - 7/3/2564)</t>
        </is>
      </c>
      <c r="C87" s="26" t="n">
        <v>63653.37</v>
      </c>
      <c r="E87" s="19" t="inlineStr">
        <is>
          <t>กสิกร 7/4/64 #29776199</t>
        </is>
      </c>
    </row>
    <row r="88">
      <c r="B88" s="19" t="inlineStr">
        <is>
          <t>ศรีสยาม (1 - 7/3/2564)</t>
        </is>
      </c>
      <c r="C88" s="26" t="n">
        <v>7490</v>
      </c>
      <c r="E88" s="19" t="inlineStr">
        <is>
          <t>กสิกร 7/5/64 #29776200</t>
        </is>
      </c>
    </row>
    <row r="89">
      <c r="B89" s="19" t="inlineStr">
        <is>
          <t>ศรีสยาม (8 - 14/3/2564)</t>
        </is>
      </c>
      <c r="C89" s="26" t="n">
        <v>53247.7</v>
      </c>
      <c r="E89" s="19" t="inlineStr">
        <is>
          <t>กสิกร 14/4/64 #29776195</t>
        </is>
      </c>
    </row>
    <row r="90">
      <c r="B90" s="19" t="inlineStr">
        <is>
          <t>ศรีสยาม (8 - 14/3/2564)</t>
        </is>
      </c>
      <c r="C90" s="26" t="n">
        <v>13210</v>
      </c>
      <c r="E90" s="19" t="inlineStr">
        <is>
          <t>กสิกร 14/5/64 #29776201</t>
        </is>
      </c>
    </row>
    <row r="91">
      <c r="A91" s="157" t="n">
        <v>23431</v>
      </c>
      <c r="B91" s="19" t="inlineStr">
        <is>
          <t xml:space="preserve">กิ๊บน๊อต / ร้านต้นคิด   </t>
        </is>
      </c>
      <c r="C91" s="26" t="n">
        <v>2730</v>
      </c>
    </row>
    <row r="92">
      <c r="A92" s="157" t="n">
        <v>23413</v>
      </c>
      <c r="B92" s="19" t="inlineStr">
        <is>
          <t xml:space="preserve">กิ๊บน๊อต / ร้านต้นคิด   </t>
        </is>
      </c>
      <c r="C92" s="26" t="n">
        <v>450</v>
      </c>
      <c r="E92" s="19" t="inlineStr">
        <is>
          <t>โอน BBL 054-716-1281</t>
        </is>
      </c>
    </row>
    <row r="93">
      <c r="A93" s="157" t="n">
        <v>23431</v>
      </c>
      <c r="B93" s="19" t="inlineStr">
        <is>
          <t xml:space="preserve">กิ๊บน๊อต / ร้านต้นคิด   </t>
        </is>
      </c>
      <c r="C93" s="26" t="n">
        <v>2730</v>
      </c>
      <c r="E93" s="19" t="inlineStr">
        <is>
          <t>โอน BBL 054-716-1281</t>
        </is>
      </c>
    </row>
    <row r="96" customFormat="1" s="28">
      <c r="A96" s="102" t="inlineStr">
        <is>
          <t>รายการซื้อสินค้าเข้า ประจำเดือน 3/2564</t>
        </is>
      </c>
      <c r="B96" s="158" t="n"/>
      <c r="C96" s="158" t="n"/>
      <c r="D96" s="158" t="n"/>
      <c r="E96" s="158" t="n"/>
      <c r="F96" s="27" t="n"/>
      <c r="G96" s="27" t="n"/>
      <c r="H96" s="27" t="n"/>
      <c r="I96" s="27" t="n"/>
      <c r="J96" s="27" t="n"/>
    </row>
    <row r="97" customFormat="1" s="20">
      <c r="A97" s="159" t="inlineStr">
        <is>
          <t>ว/ด/ป</t>
        </is>
      </c>
      <c r="B97" s="21" t="inlineStr">
        <is>
          <t>ชื่อร้านค้า</t>
        </is>
      </c>
      <c r="C97" s="25" t="inlineStr">
        <is>
          <t>ยอดรวม</t>
        </is>
      </c>
      <c r="D97" s="21" t="inlineStr">
        <is>
          <t>เลขที่บิล</t>
        </is>
      </c>
      <c r="E97" s="21" t="inlineStr">
        <is>
          <t>หมายเหตุ</t>
        </is>
      </c>
    </row>
    <row r="98">
      <c r="B98" s="22" t="inlineStr">
        <is>
          <t>ต้นทุนสี</t>
        </is>
      </c>
    </row>
    <row r="99">
      <c r="A99" s="157" t="n">
        <v>23444</v>
      </c>
      <c r="B99" s="19" t="inlineStr">
        <is>
          <t>ห้างหุ้นส่วนจำกัด พี.บี.เพ้นต์</t>
        </is>
      </c>
      <c r="C99" s="26" t="n">
        <v>51360</v>
      </c>
      <c r="D99" s="20" t="inlineStr">
        <is>
          <t>64/143</t>
        </is>
      </c>
      <c r="E99" s="19" t="inlineStr">
        <is>
          <t>กสิกร 8/3/64 #29776191</t>
        </is>
      </c>
    </row>
    <row r="100">
      <c r="A100" s="157" t="n">
        <v>23442</v>
      </c>
      <c r="B100" s="19" t="inlineStr">
        <is>
          <t>ออโต้ สมาร์ท เทค</t>
        </is>
      </c>
      <c r="C100" s="26" t="n">
        <v>9915.32</v>
      </c>
      <c r="D100" s="20" t="n">
        <v>202103064</v>
      </c>
      <c r="E100" s="19" t="inlineStr">
        <is>
          <t>กสิกร 20/4/64 #29776192</t>
        </is>
      </c>
    </row>
    <row r="101">
      <c r="A101" s="157" t="n">
        <v>23455</v>
      </c>
      <c r="B101" s="19" t="inlineStr">
        <is>
          <t>ออโต้ สมาร์ท เทค</t>
        </is>
      </c>
      <c r="C101" s="26" t="n">
        <v>9523</v>
      </c>
      <c r="D101" s="20" t="n">
        <v>202103181</v>
      </c>
      <c r="E101" s="19" t="inlineStr">
        <is>
          <t>กสิกร 3/5/64 #29776193</t>
        </is>
      </c>
    </row>
    <row r="102">
      <c r="A102" s="157" t="n">
        <v>23462</v>
      </c>
      <c r="B102" s="19" t="inlineStr">
        <is>
          <t>ออโต้ สมาร์ท เทค</t>
        </is>
      </c>
      <c r="C102" s="26" t="n">
        <v>16205.79</v>
      </c>
      <c r="D102" s="20" t="n">
        <v>202103247</v>
      </c>
      <c r="E102" s="19" t="inlineStr">
        <is>
          <t>กสิกร 10/5/64 #29776169</t>
        </is>
      </c>
    </row>
    <row r="103">
      <c r="A103" s="157" t="n">
        <v>23438</v>
      </c>
      <c r="B103" s="19" t="inlineStr">
        <is>
          <t>ไทยนครพัฒนา</t>
        </is>
      </c>
      <c r="C103" s="26" t="n">
        <v>22202.5</v>
      </c>
      <c r="D103" s="20" t="inlineStr">
        <is>
          <t>IV6403/0098</t>
        </is>
      </c>
      <c r="E103" s="19" t="inlineStr">
        <is>
          <t>กสิกร 1/5/64 #29776177</t>
        </is>
      </c>
    </row>
    <row r="104">
      <c r="A104" s="157" t="n">
        <v>23460</v>
      </c>
      <c r="B104" s="19" t="inlineStr">
        <is>
          <t>ช.ทรัพย์สินไทย</t>
        </is>
      </c>
      <c r="C104" s="26" t="n">
        <v>164373.4</v>
      </c>
      <c r="D104" s="20" t="inlineStr">
        <is>
          <t>IV6403351</t>
        </is>
      </c>
      <c r="G104" s="44">
        <f>SUM(C104+C105+C106+C107)</f>
        <v/>
      </c>
    </row>
    <row r="105">
      <c r="A105" s="157" t="n">
        <v>23460</v>
      </c>
      <c r="B105" s="19" t="inlineStr">
        <is>
          <t>ช.ทรัพย์สินไทย</t>
        </is>
      </c>
      <c r="C105" s="26" t="n">
        <v>67891.5</v>
      </c>
      <c r="D105" s="20" t="inlineStr">
        <is>
          <t>IV6403349</t>
        </is>
      </c>
    </row>
    <row r="106">
      <c r="A106" s="157" t="n">
        <v>23460</v>
      </c>
      <c r="B106" s="19" t="inlineStr">
        <is>
          <t>ช.ทรัพย์สินไทย</t>
        </is>
      </c>
      <c r="C106" s="26" t="n">
        <v>50470.83</v>
      </c>
      <c r="D106" s="20" t="inlineStr">
        <is>
          <t>IV6403350</t>
        </is>
      </c>
    </row>
    <row r="107">
      <c r="A107" s="157" t="n">
        <v>23465</v>
      </c>
      <c r="B107" s="19" t="inlineStr">
        <is>
          <t>ช.ทรัพย์สินไทย</t>
        </is>
      </c>
      <c r="C107" s="26" t="n">
        <v>10698.93</v>
      </c>
      <c r="D107" s="20" t="inlineStr">
        <is>
          <t>IV6403386</t>
        </is>
      </c>
    </row>
    <row r="108">
      <c r="A108" s="157" t="n">
        <v>23460</v>
      </c>
      <c r="B108" s="19" t="inlineStr">
        <is>
          <t>ซี.เอส. รีฟินิช</t>
        </is>
      </c>
      <c r="C108" s="26" t="n">
        <v>12078.16</v>
      </c>
      <c r="D108" s="20" t="inlineStr">
        <is>
          <t>IV6403067</t>
        </is>
      </c>
    </row>
    <row r="109">
      <c r="A109" s="157" t="n">
        <v>23447</v>
      </c>
      <c r="B109" s="19" t="inlineStr">
        <is>
          <t>ทาเลนท์อินเตอร์เทรด</t>
        </is>
      </c>
      <c r="C109" s="26" t="n">
        <v>2471.7</v>
      </c>
      <c r="D109" s="20" t="inlineStr">
        <is>
          <t>IV6400821</t>
        </is>
      </c>
    </row>
    <row r="110">
      <c r="A110" s="157" t="n">
        <v>23455</v>
      </c>
      <c r="B110" s="19" t="inlineStr">
        <is>
          <t>ทาเลนท์อินเตอร์เทรด</t>
        </is>
      </c>
      <c r="C110" s="26" t="n">
        <v>13738.8</v>
      </c>
      <c r="D110" s="20" t="inlineStr">
        <is>
          <t>IV6401389</t>
        </is>
      </c>
    </row>
    <row r="111">
      <c r="A111" s="157" t="n">
        <v>23465</v>
      </c>
      <c r="B111" s="19" t="inlineStr">
        <is>
          <t>ทาเลนท์อินเตอร์เทรด</t>
        </is>
      </c>
      <c r="C111" s="26" t="n">
        <v>10700</v>
      </c>
      <c r="D111" s="20" t="inlineStr">
        <is>
          <t>IV6402058</t>
        </is>
      </c>
    </row>
    <row r="113">
      <c r="B113" s="22" t="inlineStr">
        <is>
          <t>ต้นทุนอะไหล่</t>
        </is>
      </c>
    </row>
    <row r="114">
      <c r="A114" s="157" t="n">
        <v>23456</v>
      </c>
      <c r="B114" s="19" t="inlineStr">
        <is>
          <t xml:space="preserve">กิ๊บน๊อต / ร้านต้นคิด   </t>
        </is>
      </c>
      <c r="C114" s="26" t="n">
        <v>1200</v>
      </c>
      <c r="E114" s="19" t="inlineStr">
        <is>
          <t>โอน 15/7/64</t>
        </is>
      </c>
    </row>
    <row r="115">
      <c r="B115" s="19" t="inlineStr">
        <is>
          <t>ร้านจิตต์ อะไหล่ Due 1 - 6/3/2564</t>
        </is>
      </c>
      <c r="C115" s="26" t="n">
        <v>14565</v>
      </c>
      <c r="E115" s="19" t="inlineStr">
        <is>
          <t>โอน 10/3/64</t>
        </is>
      </c>
    </row>
    <row r="116">
      <c r="B116" s="19" t="inlineStr">
        <is>
          <t>ร้านจิตต์ อะไหล่ Due 8 - 13/3/2564</t>
        </is>
      </c>
      <c r="C116" s="26" t="n">
        <v>20092</v>
      </c>
      <c r="E116" s="19" t="inlineStr">
        <is>
          <t>โอน 15/3/64</t>
        </is>
      </c>
    </row>
    <row r="117">
      <c r="B117" s="19" t="inlineStr">
        <is>
          <t>ศรีสยาม Due 15 - 21/3/2564</t>
        </is>
      </c>
      <c r="C117" s="26" t="n">
        <v>47140</v>
      </c>
      <c r="E117" s="19" t="inlineStr">
        <is>
          <t>กสิกร 21/4/64 # 29776171</t>
        </is>
      </c>
    </row>
    <row r="118">
      <c r="B118" s="19" t="inlineStr">
        <is>
          <t>ศรีสยาม Due 15 - 21/3/2564</t>
        </is>
      </c>
      <c r="C118" s="26" t="n">
        <v>18624</v>
      </c>
      <c r="E118" s="19" t="inlineStr">
        <is>
          <t>กสิกร 21/5/64 # 29776172</t>
        </is>
      </c>
    </row>
    <row r="119">
      <c r="B119" s="19" t="inlineStr">
        <is>
          <t>ศรีสยาม Due 22 - 28/3/2564</t>
        </is>
      </c>
      <c r="C119" s="26" t="n">
        <v>51491</v>
      </c>
      <c r="E119" s="19" t="inlineStr">
        <is>
          <t>กสิกร 28/4/64 # 29776173</t>
        </is>
      </c>
    </row>
    <row r="120">
      <c r="B120" s="19" t="inlineStr">
        <is>
          <t>ศรีสยาม Due 22 - 28/3/2564</t>
        </is>
      </c>
      <c r="C120" s="26" t="n">
        <v>8396</v>
      </c>
      <c r="E120" s="19" t="inlineStr">
        <is>
          <t>กสิกร 28/5/64 # 29776174</t>
        </is>
      </c>
    </row>
    <row r="121">
      <c r="B121" s="19" t="inlineStr">
        <is>
          <t>ศรีสยาม Due 29/3 - 4/4/2564</t>
        </is>
      </c>
      <c r="C121" s="26" t="n">
        <v>70580</v>
      </c>
      <c r="E121" s="19" t="inlineStr">
        <is>
          <t>กสิกร 4/5/64 # 29776175</t>
        </is>
      </c>
    </row>
    <row r="122">
      <c r="B122" s="19" t="inlineStr">
        <is>
          <t>ศรีสยาม Due 29/3 - 4/4/2564</t>
        </is>
      </c>
      <c r="C122" s="26" t="n">
        <v>7034</v>
      </c>
      <c r="E122" s="19" t="inlineStr">
        <is>
          <t>กสิกร 4/6/64 # 29776176</t>
        </is>
      </c>
    </row>
    <row r="123">
      <c r="A123" s="157" t="n">
        <v>23446</v>
      </c>
      <c r="B123" s="19" t="inlineStr">
        <is>
          <t xml:space="preserve">กิ๊บน๊อต / ร้านต้นคิด   </t>
        </is>
      </c>
      <c r="C123" s="26" t="n">
        <v>2400</v>
      </c>
      <c r="E123" s="19" t="inlineStr">
        <is>
          <t>โอน BBL 054-716-1281</t>
        </is>
      </c>
    </row>
    <row r="124">
      <c r="A124" s="157" t="n">
        <v>23447</v>
      </c>
      <c r="B124" s="19" t="inlineStr">
        <is>
          <t>ทาเลนท์อินเตอร์เทรด</t>
        </is>
      </c>
      <c r="C124" s="26" t="n">
        <v>2471.7</v>
      </c>
      <c r="D124" s="20" t="inlineStr">
        <is>
          <t>IV6400821</t>
        </is>
      </c>
      <c r="E124" s="19" t="inlineStr">
        <is>
          <t>โอน 27/6/64</t>
        </is>
      </c>
    </row>
    <row r="125">
      <c r="A125" s="157" t="n">
        <v>23455</v>
      </c>
      <c r="B125" s="19" t="inlineStr">
        <is>
          <t>ทาเลนท์อินเตอร์เทรด</t>
        </is>
      </c>
      <c r="C125" s="26" t="n">
        <v>13738.8</v>
      </c>
      <c r="D125" s="20" t="inlineStr">
        <is>
          <t>IV6401389</t>
        </is>
      </c>
      <c r="E125" s="19" t="inlineStr">
        <is>
          <t>โอน 27/6/64</t>
        </is>
      </c>
    </row>
    <row r="126">
      <c r="A126" s="157" t="n">
        <v>23465</v>
      </c>
      <c r="B126" s="19" t="inlineStr">
        <is>
          <t>ทาเลนท์อินเตอร์เทรด</t>
        </is>
      </c>
      <c r="C126" s="26" t="n">
        <v>10700</v>
      </c>
      <c r="D126" s="20" t="inlineStr">
        <is>
          <t>IV6402058</t>
        </is>
      </c>
      <c r="E126" s="19" t="inlineStr">
        <is>
          <t>โอน 27/6/64</t>
        </is>
      </c>
    </row>
    <row r="128" customFormat="1" s="28">
      <c r="A128" s="102" t="inlineStr">
        <is>
          <t>รายการซื้อสินค้าเข้า ประจำเดือน 4/2564</t>
        </is>
      </c>
      <c r="B128" s="158" t="n"/>
      <c r="C128" s="158" t="n"/>
      <c r="D128" s="158" t="n"/>
      <c r="E128" s="158" t="n"/>
      <c r="F128" s="27" t="n"/>
      <c r="G128" s="27" t="n"/>
      <c r="H128" s="27" t="n"/>
      <c r="I128" s="27" t="n"/>
      <c r="J128" s="27" t="n"/>
    </row>
    <row r="129" customFormat="1" s="20">
      <c r="A129" s="159" t="inlineStr">
        <is>
          <t>ว/ด/ป</t>
        </is>
      </c>
      <c r="B129" s="21" t="inlineStr">
        <is>
          <t>ชื่อร้านค้า</t>
        </is>
      </c>
      <c r="C129" s="25" t="inlineStr">
        <is>
          <t>ยอดรวม</t>
        </is>
      </c>
      <c r="D129" s="21" t="inlineStr">
        <is>
          <t>เลขที่บิล</t>
        </is>
      </c>
      <c r="E129" s="21" t="inlineStr">
        <is>
          <t>หมายเหตุ</t>
        </is>
      </c>
    </row>
    <row r="130">
      <c r="B130" s="22" t="inlineStr">
        <is>
          <t>ต้นทุนสี</t>
        </is>
      </c>
    </row>
    <row r="131">
      <c r="A131" s="157" t="n">
        <v>23472</v>
      </c>
      <c r="B131" s="19" t="inlineStr">
        <is>
          <t>ห้างหุ้นส่วนจำกัด พี.บี.เพ้นต์</t>
        </is>
      </c>
      <c r="C131" s="26" t="n">
        <v>82176</v>
      </c>
      <c r="D131" s="20" t="inlineStr">
        <is>
          <t>64/210</t>
        </is>
      </c>
      <c r="E131" s="19" t="inlineStr">
        <is>
          <t>กสิกร 30/6/64 #29776170</t>
        </is>
      </c>
    </row>
    <row r="132">
      <c r="A132" s="157" t="n">
        <v>23468</v>
      </c>
      <c r="B132" s="19" t="inlineStr">
        <is>
          <t>ไทยนครพัฒนา (1982)</t>
        </is>
      </c>
      <c r="C132" s="26" t="n">
        <v>20009</v>
      </c>
      <c r="D132" s="20" t="inlineStr">
        <is>
          <t>IV6404/0086</t>
        </is>
      </c>
      <c r="E132" s="19" t="inlineStr">
        <is>
          <t>โอน กสิกร 21/5/64</t>
        </is>
      </c>
    </row>
    <row r="133">
      <c r="A133" s="157" t="n">
        <v>23493</v>
      </c>
      <c r="B133" s="19" t="inlineStr">
        <is>
          <t>ช.ทรัพย์สินไทย</t>
        </is>
      </c>
      <c r="C133" s="26" t="n">
        <v>23853.51</v>
      </c>
      <c r="D133" s="20" t="inlineStr">
        <is>
          <t>IV6404284</t>
        </is>
      </c>
      <c r="G133" s="44">
        <f>SUM(C133+C134)</f>
        <v/>
      </c>
    </row>
    <row r="134">
      <c r="A134" s="157" t="n">
        <v>23493</v>
      </c>
      <c r="B134" s="19" t="inlineStr">
        <is>
          <t>ช.ทรัพย์สินไทย</t>
        </is>
      </c>
      <c r="C134" s="26" t="n">
        <v>4494</v>
      </c>
      <c r="D134" s="20" t="inlineStr">
        <is>
          <t>IV6404285</t>
        </is>
      </c>
    </row>
    <row r="136">
      <c r="B136" s="22" t="inlineStr">
        <is>
          <t>ต้นทุนอะไหล่</t>
        </is>
      </c>
    </row>
    <row r="137">
      <c r="B137" s="19" t="inlineStr">
        <is>
          <t>ร้านจิตต์ อะไหล่ Due 29/3 - 3/4/2564</t>
        </is>
      </c>
      <c r="C137" s="26" t="n">
        <v>16246</v>
      </c>
      <c r="E137" s="19" t="inlineStr">
        <is>
          <t>โอน 5/4/2564</t>
        </is>
      </c>
    </row>
    <row r="138">
      <c r="B138" s="19" t="inlineStr">
        <is>
          <t>ร้านจิตต์ อะไหล่ Due 5 - 17/4/2564</t>
        </is>
      </c>
      <c r="C138" s="26" t="n">
        <v>10842</v>
      </c>
      <c r="E138" s="19" t="inlineStr">
        <is>
          <t>โอน 19/4/2564</t>
        </is>
      </c>
    </row>
    <row r="139">
      <c r="B139" s="19" t="inlineStr">
        <is>
          <t>ร้านจิตต์ อะไหล่ Due 19 - 24/4/2564</t>
        </is>
      </c>
      <c r="C139" s="26" t="n">
        <v>24898</v>
      </c>
      <c r="E139" s="19" t="inlineStr">
        <is>
          <t>โอน 26/4/2564</t>
        </is>
      </c>
    </row>
    <row r="140">
      <c r="B140" s="19" t="inlineStr">
        <is>
          <t>ร้านจิตต์ อะไหล่ Due 26/4 - 1/5/2564</t>
        </is>
      </c>
      <c r="C140" s="26" t="n">
        <v>30325</v>
      </c>
      <c r="E140" s="19" t="inlineStr">
        <is>
          <t>โอน 3/5/64</t>
        </is>
      </c>
    </row>
    <row r="141">
      <c r="A141" s="157" t="n">
        <v>23489</v>
      </c>
      <c r="B141" s="19" t="inlineStr">
        <is>
          <t>ฟิลเตอร์ใยกรองห้องพ่นสี (ปูพื้น) / พีซี แมชชีนเนอรี่ แอนด์ ทูลส์    (930*10ม้วน)+VAT 7%  ปูพื้น  -- ขนาด 0.75 m *20 m * (T) 70 mm</t>
        </is>
      </c>
      <c r="C141" s="26" t="n">
        <v>9951</v>
      </c>
      <c r="E141" s="19" t="inlineStr">
        <is>
          <t>โอน 22/4/2564</t>
        </is>
      </c>
    </row>
    <row r="142">
      <c r="A142" s="157" t="n">
        <v>23469</v>
      </c>
      <c r="B142" s="19" t="inlineStr">
        <is>
          <t>ทาเลนท์อินเตอร์เทรด</t>
        </is>
      </c>
      <c r="C142" s="26" t="n">
        <v>3017.4</v>
      </c>
      <c r="D142" s="20" t="inlineStr">
        <is>
          <t>IV6402375</t>
        </is>
      </c>
      <c r="E142" s="19" t="inlineStr">
        <is>
          <t>โอน 9/8/64</t>
        </is>
      </c>
    </row>
    <row r="145" customFormat="1" s="28">
      <c r="A145" s="102" t="inlineStr">
        <is>
          <t>รายการซื้อสินค้าเข้า ประจำเดือน 5/2564</t>
        </is>
      </c>
      <c r="B145" s="158" t="n"/>
      <c r="C145" s="158" t="n"/>
      <c r="D145" s="158" t="n"/>
      <c r="E145" s="158" t="n"/>
      <c r="F145" s="27" t="n"/>
      <c r="G145" s="27" t="n"/>
      <c r="H145" s="27" t="n"/>
      <c r="I145" s="27" t="n"/>
      <c r="J145" s="27" t="n"/>
    </row>
    <row r="146" customFormat="1" s="20">
      <c r="A146" s="159" t="inlineStr">
        <is>
          <t>ว/ด/ป</t>
        </is>
      </c>
      <c r="B146" s="21" t="inlineStr">
        <is>
          <t>ชื่อร้านค้า</t>
        </is>
      </c>
      <c r="C146" s="25" t="inlineStr">
        <is>
          <t>ยอดรวม</t>
        </is>
      </c>
      <c r="D146" s="21" t="inlineStr">
        <is>
          <t>เลขที่บิล</t>
        </is>
      </c>
      <c r="E146" s="21" t="inlineStr">
        <is>
          <t>หมายเหตุ</t>
        </is>
      </c>
    </row>
    <row r="147">
      <c r="B147" s="22" t="inlineStr">
        <is>
          <t>ต้นทุนสี</t>
        </is>
      </c>
    </row>
    <row r="148">
      <c r="A148" s="157" t="n">
        <v>23503</v>
      </c>
      <c r="B148" s="19" t="inlineStr">
        <is>
          <t>ออโต้ สมาร์ท เทค</t>
        </is>
      </c>
      <c r="C148" s="26" t="n">
        <v>8560</v>
      </c>
      <c r="D148" s="20" t="n">
        <v>202105055</v>
      </c>
      <c r="E148" s="19" t="inlineStr">
        <is>
          <t>กสิกร 20/6/64 #29776203</t>
        </is>
      </c>
    </row>
    <row r="149">
      <c r="A149" s="157" t="n">
        <v>23500</v>
      </c>
      <c r="B149" s="19" t="inlineStr">
        <is>
          <t>ทาเลนท์อินเตอร์เทรด</t>
        </is>
      </c>
      <c r="C149" s="26" t="n">
        <v>18081.93</v>
      </c>
      <c r="D149" s="20" t="inlineStr">
        <is>
          <t>IV6403799</t>
        </is>
      </c>
      <c r="E149" s="19" t="inlineStr">
        <is>
          <t>โอน 23/8/64</t>
        </is>
      </c>
      <c r="G149" s="26" t="n"/>
    </row>
    <row r="150">
      <c r="A150" s="157" t="n">
        <v>23501</v>
      </c>
      <c r="B150" s="19" t="inlineStr">
        <is>
          <t>ทาเลนท์อินเตอร์เทรด</t>
        </is>
      </c>
      <c r="C150" s="26" t="n">
        <v>1043.25</v>
      </c>
      <c r="D150" s="20" t="inlineStr">
        <is>
          <t>IV6403907</t>
        </is>
      </c>
      <c r="E150" s="19" t="inlineStr">
        <is>
          <t>โอน 23/8/64</t>
        </is>
      </c>
    </row>
    <row r="151">
      <c r="A151" s="157" t="n">
        <v>23521</v>
      </c>
      <c r="B151" s="19" t="inlineStr">
        <is>
          <t>ทาเลนท์อินเตอร์เทรด</t>
        </is>
      </c>
      <c r="C151" s="26" t="n">
        <v>9416</v>
      </c>
      <c r="D151" s="20" t="inlineStr">
        <is>
          <t>IV6405125</t>
        </is>
      </c>
      <c r="E151" s="19" t="inlineStr">
        <is>
          <t>โอน 23/8/64</t>
        </is>
      </c>
    </row>
    <row r="152">
      <c r="A152" s="157" t="n">
        <v>23521</v>
      </c>
      <c r="B152" s="19" t="inlineStr">
        <is>
          <t>ออโต้ สมาร์ท เทค</t>
        </is>
      </c>
      <c r="C152" s="26" t="n">
        <v>12718.72</v>
      </c>
      <c r="D152" s="20" t="n">
        <v>202105215</v>
      </c>
    </row>
    <row r="153">
      <c r="A153" s="157" t="n">
        <v>23518</v>
      </c>
      <c r="B153" s="19" t="inlineStr">
        <is>
          <t>ช.ทรัพย์สินไทย</t>
        </is>
      </c>
      <c r="C153" s="26" t="n">
        <v>9360.360000000001</v>
      </c>
      <c r="D153" s="20" t="inlineStr">
        <is>
          <t>IV6405324</t>
        </is>
      </c>
      <c r="G153" s="44">
        <f>SUM(C153+C154+C155+C156+C157+C158+C159+C160)</f>
        <v/>
      </c>
    </row>
    <row r="154">
      <c r="A154" s="157" t="n">
        <v>23518</v>
      </c>
      <c r="B154" s="19" t="inlineStr">
        <is>
          <t>ช.ทรัพย์สินไทย</t>
        </is>
      </c>
      <c r="C154" s="26" t="n">
        <v>145883.8</v>
      </c>
      <c r="D154" s="20" t="inlineStr">
        <is>
          <t>IV6405334</t>
        </is>
      </c>
    </row>
    <row r="155">
      <c r="A155" s="157" t="n">
        <v>23518</v>
      </c>
      <c r="B155" s="19" t="inlineStr">
        <is>
          <t>ช.ทรัพย์สินไทย</t>
        </is>
      </c>
      <c r="C155" s="26" t="n">
        <v>44336.52</v>
      </c>
      <c r="D155" s="20" t="inlineStr">
        <is>
          <t>IV6405333</t>
        </is>
      </c>
    </row>
    <row r="156">
      <c r="A156" s="157" t="n">
        <v>23518</v>
      </c>
      <c r="B156" s="19" t="inlineStr">
        <is>
          <t>ช.ทรัพย์สินไทย</t>
        </is>
      </c>
      <c r="C156" s="26" t="n">
        <v>57279.24</v>
      </c>
      <c r="D156" s="20" t="inlineStr">
        <is>
          <t>IV6405332</t>
        </is>
      </c>
    </row>
    <row r="157">
      <c r="A157" s="157" t="n">
        <v>23521</v>
      </c>
      <c r="B157" s="19" t="inlineStr">
        <is>
          <t>ช.ทรัพย์สินไทย</t>
        </is>
      </c>
      <c r="C157" s="26" t="n">
        <v>1637.1</v>
      </c>
      <c r="D157" s="20" t="inlineStr">
        <is>
          <t>IV6405340</t>
        </is>
      </c>
    </row>
    <row r="158">
      <c r="A158" s="157" t="n">
        <v>23521</v>
      </c>
      <c r="B158" s="19" t="inlineStr">
        <is>
          <t>ช.ทรัพย์สินไทย</t>
        </is>
      </c>
      <c r="C158" s="26" t="n">
        <v>7447.2</v>
      </c>
      <c r="D158" s="20" t="inlineStr">
        <is>
          <t>IV6405341</t>
        </is>
      </c>
    </row>
    <row r="159">
      <c r="A159" s="157" t="n">
        <v>23525</v>
      </c>
      <c r="B159" s="19" t="inlineStr">
        <is>
          <t>ช.ทรัพย์สินไทย</t>
        </is>
      </c>
      <c r="C159" s="26" t="n">
        <v>16050</v>
      </c>
      <c r="D159" s="20" t="inlineStr">
        <is>
          <t>IV6405437</t>
        </is>
      </c>
    </row>
    <row r="160">
      <c r="A160" s="157" t="n">
        <v>23528</v>
      </c>
      <c r="B160" s="19" t="inlineStr">
        <is>
          <t>ช.ทรัพย์สินไทย</t>
        </is>
      </c>
      <c r="C160" s="26" t="n">
        <v>2455.65</v>
      </c>
      <c r="D160" s="20" t="inlineStr">
        <is>
          <t>IV6405455</t>
        </is>
      </c>
    </row>
    <row r="162">
      <c r="B162" s="22" t="inlineStr">
        <is>
          <t>ต้นทุนอะไหล่</t>
        </is>
      </c>
    </row>
    <row r="163">
      <c r="B163" s="19" t="inlineStr">
        <is>
          <t>ร้านจิตต์ อะไหล่ Due 3 - 8/5/2564</t>
        </is>
      </c>
      <c r="C163" s="26" t="n">
        <v>22049</v>
      </c>
      <c r="E163" s="19" t="inlineStr">
        <is>
          <t>โอน 10/5/64</t>
        </is>
      </c>
    </row>
    <row r="164">
      <c r="B164" s="19" t="inlineStr">
        <is>
          <t>ร้านจิตต์ อะไหล่ Due 10 - 15/5/2564</t>
        </is>
      </c>
      <c r="C164" s="26" t="n">
        <v>25341</v>
      </c>
      <c r="E164" s="19" t="inlineStr">
        <is>
          <t>โอน 17/5/64</t>
        </is>
      </c>
    </row>
    <row r="165">
      <c r="B165" s="19" t="inlineStr">
        <is>
          <t>ร้านจิตต์ อะไหล่ Due 17 - 22/5/2564</t>
        </is>
      </c>
      <c r="C165" s="26" t="n">
        <v>39670</v>
      </c>
      <c r="E165" s="19" t="inlineStr">
        <is>
          <t>โอน 24/5/64</t>
        </is>
      </c>
    </row>
    <row r="166">
      <c r="B166" s="19" t="inlineStr">
        <is>
          <t>ร้านจิตต์ อะไหล่ Due 24 - 29/5/2564</t>
        </is>
      </c>
      <c r="C166" s="26" t="n">
        <v>15375</v>
      </c>
      <c r="E166" s="19" t="inlineStr">
        <is>
          <t>โอน 31/5/64</t>
        </is>
      </c>
    </row>
    <row r="167">
      <c r="B167" s="19" t="inlineStr">
        <is>
          <t>ศรีสยาม Due 10/5/64 - 16/5/64</t>
        </is>
      </c>
      <c r="C167" s="26" t="n">
        <v>48999</v>
      </c>
      <c r="E167" s="19" t="inlineStr">
        <is>
          <t>เช็ค KB 16/6/64 #29776215</t>
        </is>
      </c>
    </row>
    <row r="168">
      <c r="B168" s="19" t="inlineStr">
        <is>
          <t>ศรีสยาม Due 10/5/64 - 16/5/64</t>
        </is>
      </c>
      <c r="C168" s="26" t="n">
        <v>13517</v>
      </c>
      <c r="E168" s="19" t="inlineStr">
        <is>
          <t>เช็ค KB 16/7/64 #29776216</t>
        </is>
      </c>
    </row>
    <row r="169">
      <c r="B169" s="19" t="inlineStr">
        <is>
          <t>ศรีสยาม Due 17/5/64 - 23/5/64</t>
        </is>
      </c>
      <c r="C169" s="26" t="n">
        <v>20604</v>
      </c>
      <c r="E169" s="19" t="inlineStr">
        <is>
          <t>เช็ค KB 23/6/64 #29776217</t>
        </is>
      </c>
    </row>
    <row r="170">
      <c r="B170" s="19" t="inlineStr">
        <is>
          <t>ศรีสยาม Due 17/5/64 - 23/5/64</t>
        </is>
      </c>
      <c r="C170" s="26" t="n">
        <v>16096</v>
      </c>
      <c r="E170" s="19" t="inlineStr">
        <is>
          <t>เช็ค KB 23/7/64 #29776218</t>
        </is>
      </c>
    </row>
    <row r="171">
      <c r="B171" s="19" t="inlineStr">
        <is>
          <t>ศรีสยาม Due 24/5/64 - 30/5/64</t>
        </is>
      </c>
      <c r="C171" s="26" t="n">
        <v>26133</v>
      </c>
      <c r="E171" s="19" t="inlineStr">
        <is>
          <t>เช็ค KB 30/6/64 #29776219</t>
        </is>
      </c>
    </row>
    <row r="172">
      <c r="B172" s="19" t="inlineStr">
        <is>
          <t>ศรีสยาม Due 24/5/64 - 30/5/64</t>
        </is>
      </c>
      <c r="C172" s="26" t="n">
        <v>31453</v>
      </c>
      <c r="E172" s="19" t="inlineStr">
        <is>
          <t>เช็ค KB 30/7/64 #29776220</t>
        </is>
      </c>
    </row>
    <row r="173">
      <c r="B173" s="19" t="inlineStr">
        <is>
          <t>ศรีสยาม Due 31/5/64 - 6/6/64</t>
        </is>
      </c>
      <c r="C173" s="26" t="n">
        <v>26014</v>
      </c>
      <c r="E173" s="19" t="inlineStr">
        <is>
          <t>เช็ค KB 6/7/64 #29776221</t>
        </is>
      </c>
    </row>
    <row r="174">
      <c r="B174" s="19" t="inlineStr">
        <is>
          <t>ศรีสยาม Due 31/5/64 - 6/6/64</t>
        </is>
      </c>
      <c r="C174" s="26" t="n">
        <v>17970</v>
      </c>
      <c r="E174" s="19" t="inlineStr">
        <is>
          <t>เช็ค KB 6/8/64 #29776222</t>
        </is>
      </c>
    </row>
    <row r="175">
      <c r="A175" s="157" t="n">
        <v>23502</v>
      </c>
      <c r="B175" s="19" t="inlineStr">
        <is>
          <t xml:space="preserve">กิ๊บน๊อต / ร้านต้นคิด   </t>
        </is>
      </c>
      <c r="C175" s="26" t="n">
        <v>2050</v>
      </c>
      <c r="E175" s="19" t="inlineStr">
        <is>
          <t>โอน 15/7/64</t>
        </is>
      </c>
    </row>
    <row r="179" customFormat="1" s="28">
      <c r="A179" s="102" t="inlineStr">
        <is>
          <t>รายการซื้อสินค้าเข้า ประจำเดือน 6/2564</t>
        </is>
      </c>
      <c r="B179" s="158" t="n"/>
      <c r="C179" s="158" t="n"/>
      <c r="D179" s="158" t="n"/>
      <c r="E179" s="158" t="n"/>
      <c r="F179" s="27" t="n"/>
      <c r="G179" s="27" t="n"/>
      <c r="H179" s="27" t="n"/>
      <c r="I179" s="27" t="n"/>
      <c r="J179" s="27" t="n"/>
    </row>
    <row r="180" customFormat="1" s="20">
      <c r="A180" s="159" t="inlineStr">
        <is>
          <t>ว/ด/ป</t>
        </is>
      </c>
      <c r="B180" s="21" t="inlineStr">
        <is>
          <t>ชื่อร้านค้า</t>
        </is>
      </c>
      <c r="C180" s="25" t="inlineStr">
        <is>
          <t>ยอดรวม</t>
        </is>
      </c>
      <c r="D180" s="21" t="inlineStr">
        <is>
          <t>เลขที่บิล</t>
        </is>
      </c>
      <c r="E180" s="21" t="inlineStr">
        <is>
          <t>หมายเหตุ</t>
        </is>
      </c>
    </row>
    <row r="181">
      <c r="B181" s="22" t="inlineStr">
        <is>
          <t>ต้นทุนสี</t>
        </is>
      </c>
    </row>
    <row r="182">
      <c r="A182" s="157" t="n">
        <v>23533</v>
      </c>
      <c r="B182" s="35" t="inlineStr">
        <is>
          <t>ไทยนครพัฒนา (1982)</t>
        </is>
      </c>
      <c r="C182" s="26" t="n">
        <v>20881.05</v>
      </c>
      <c r="D182" s="20" t="inlineStr">
        <is>
          <t>IV6406/0342</t>
        </is>
      </c>
      <c r="E182" s="19" t="inlineStr">
        <is>
          <t>โอน 14/7/64</t>
        </is>
      </c>
    </row>
    <row r="183">
      <c r="A183" s="157" t="n">
        <v>23551</v>
      </c>
      <c r="B183" s="35" t="inlineStr">
        <is>
          <t>ออโต้ สมาร์ท เทค</t>
        </is>
      </c>
      <c r="C183" s="26" t="n">
        <v>9523</v>
      </c>
      <c r="D183" s="20" t="n">
        <v>202106204</v>
      </c>
    </row>
    <row r="184">
      <c r="A184" s="157" t="n">
        <v>23556</v>
      </c>
      <c r="B184" s="35" t="inlineStr">
        <is>
          <t>ออโต้ สมาร์ท เทค</t>
        </is>
      </c>
      <c r="C184" s="26" t="n">
        <v>2710.63</v>
      </c>
      <c r="D184" s="20" t="n">
        <v>202106252</v>
      </c>
    </row>
    <row r="185">
      <c r="A185" s="157" t="n">
        <v>23546</v>
      </c>
      <c r="B185" s="35" t="inlineStr">
        <is>
          <t>ช.ทรัพย์สินไทย</t>
        </is>
      </c>
      <c r="C185" s="26" t="n">
        <v>164919.1</v>
      </c>
      <c r="D185" s="20" t="inlineStr">
        <is>
          <t>IV6406287</t>
        </is>
      </c>
      <c r="E185" s="19" t="inlineStr">
        <is>
          <t>กสิกร 25/8/64 #29776246</t>
        </is>
      </c>
      <c r="G185" s="44">
        <f>SUM(C185+C186+C187+C188+C189)</f>
        <v/>
      </c>
    </row>
    <row r="186">
      <c r="A186" s="157" t="n">
        <v>23546</v>
      </c>
      <c r="B186" s="35" t="inlineStr">
        <is>
          <t>ช.ทรัพย์สินไทย</t>
        </is>
      </c>
      <c r="C186" s="26" t="n">
        <v>78657.84</v>
      </c>
      <c r="D186" s="20" t="inlineStr">
        <is>
          <t>IV6406286</t>
        </is>
      </c>
      <c r="E186" s="19" t="inlineStr">
        <is>
          <t>กสิกร 25/8/64 #29776246</t>
        </is>
      </c>
    </row>
    <row r="187">
      <c r="A187" s="157" t="n">
        <v>23549</v>
      </c>
      <c r="B187" s="35" t="inlineStr">
        <is>
          <t>ช.ทรัพย์สินไทย</t>
        </is>
      </c>
      <c r="C187" s="26" t="n">
        <v>12840</v>
      </c>
      <c r="D187" s="20" t="inlineStr">
        <is>
          <t>IV6406292</t>
        </is>
      </c>
      <c r="E187" s="19" t="inlineStr">
        <is>
          <t>กสิกร 25/8/64 #29776246</t>
        </is>
      </c>
    </row>
    <row r="188">
      <c r="A188" s="157" t="n">
        <v>23550</v>
      </c>
      <c r="B188" s="35" t="inlineStr">
        <is>
          <t>ช.ทรัพย์สินไทย</t>
        </is>
      </c>
      <c r="C188" s="26" t="n">
        <v>2942.5</v>
      </c>
      <c r="D188" s="20" t="inlineStr">
        <is>
          <t>IV6406314</t>
        </is>
      </c>
      <c r="E188" s="19" t="inlineStr">
        <is>
          <t>กสิกร 25/8/64 #29776246</t>
        </is>
      </c>
    </row>
    <row r="189">
      <c r="A189" s="157" t="n">
        <v>23550</v>
      </c>
      <c r="B189" s="35" t="inlineStr">
        <is>
          <t>ช.ทรัพย์สินไทย</t>
        </is>
      </c>
      <c r="C189" s="26" t="n">
        <v>9360.360000000001</v>
      </c>
      <c r="D189" s="20" t="inlineStr">
        <is>
          <t>IV6406313</t>
        </is>
      </c>
      <c r="E189" s="19" t="inlineStr">
        <is>
          <t>กสิกร 25/8/64 #29776246</t>
        </is>
      </c>
    </row>
    <row r="190">
      <c r="A190" s="157" t="n">
        <v>23533</v>
      </c>
      <c r="B190" s="35" t="inlineStr">
        <is>
          <t>ทาเลนท์ อินเตอร์เทรด</t>
        </is>
      </c>
      <c r="C190" s="26" t="n">
        <v>10734.24</v>
      </c>
      <c r="D190" s="20" t="inlineStr">
        <is>
          <t>IV6405945</t>
        </is>
      </c>
      <c r="E190" s="19" t="inlineStr">
        <is>
          <t>โอน 23/9/64</t>
        </is>
      </c>
      <c r="H190" s="26" t="n"/>
    </row>
    <row r="191">
      <c r="A191" s="157" t="n">
        <v>23545</v>
      </c>
      <c r="B191" s="35" t="inlineStr">
        <is>
          <t>ทาเลนท์ อินเตอร์เทรด</t>
        </is>
      </c>
      <c r="C191" s="26" t="n">
        <v>13285.12</v>
      </c>
      <c r="D191" s="20" t="inlineStr">
        <is>
          <t>IV6406631</t>
        </is>
      </c>
      <c r="E191" s="19" t="inlineStr">
        <is>
          <t>โอน 23/9/64</t>
        </is>
      </c>
    </row>
    <row r="192">
      <c r="B192" s="35" t="n"/>
    </row>
    <row r="193">
      <c r="B193" s="22" t="inlineStr">
        <is>
          <t>ต้นทุนอะไหล่</t>
        </is>
      </c>
    </row>
    <row r="194">
      <c r="A194" s="157" t="n">
        <v>23547</v>
      </c>
      <c r="B194" s="19" t="inlineStr">
        <is>
          <t xml:space="preserve">กิ๊บน๊อต / ร้านต้นคิด   </t>
        </is>
      </c>
      <c r="C194" s="26" t="n">
        <v>1750</v>
      </c>
      <c r="E194" s="19" t="inlineStr">
        <is>
          <t>โอน 15/7/64</t>
        </is>
      </c>
    </row>
    <row r="195">
      <c r="B195" s="19" t="inlineStr">
        <is>
          <t>ร้านจิตต์ อะไหล่ Due 31/5 - 5/6/2564</t>
        </is>
      </c>
      <c r="C195" s="26" t="n">
        <v>24413</v>
      </c>
      <c r="E195" s="19" t="inlineStr">
        <is>
          <t>โอน 7/6/64</t>
        </is>
      </c>
    </row>
    <row r="196">
      <c r="B196" s="19" t="inlineStr">
        <is>
          <t>ร้านจิตต์ อะไหล่ Due 7 - 12/6/2564</t>
        </is>
      </c>
      <c r="C196" s="26" t="n">
        <v>16248</v>
      </c>
      <c r="E196" s="19" t="inlineStr">
        <is>
          <t>โอน 14/6/64</t>
        </is>
      </c>
    </row>
    <row r="197">
      <c r="B197" s="19" t="inlineStr">
        <is>
          <t>ร้านจิตต์ อะไหล่ Due 14 - 19/6/2564</t>
        </is>
      </c>
      <c r="C197" s="26" t="n">
        <v>11427</v>
      </c>
      <c r="E197" s="19" t="inlineStr">
        <is>
          <t>โอน 21/6/64</t>
        </is>
      </c>
    </row>
    <row r="198">
      <c r="B198" s="19" t="inlineStr">
        <is>
          <t>ร้านจิตต์ อะไหล่ Due 21 - 26/6/2564</t>
        </is>
      </c>
      <c r="C198" s="26" t="n">
        <v>28924</v>
      </c>
      <c r="E198" s="19" t="inlineStr">
        <is>
          <t>โอน 28/6/64</t>
        </is>
      </c>
    </row>
    <row r="199">
      <c r="B199" s="19" t="inlineStr">
        <is>
          <t>ร้านจิตต์ อะไหล่ Due 28/6 - 3/7/2564</t>
        </is>
      </c>
      <c r="C199" s="26" t="n">
        <v>24359</v>
      </c>
      <c r="E199" s="19" t="inlineStr">
        <is>
          <t>โอน 5/7/64</t>
        </is>
      </c>
    </row>
    <row r="202" customFormat="1" s="28">
      <c r="A202" s="102" t="inlineStr">
        <is>
          <t>รายการซื้อสินค้าเข้า ประจำเดือน 7/2564</t>
        </is>
      </c>
      <c r="B202" s="158" t="n"/>
      <c r="C202" s="158" t="n"/>
      <c r="D202" s="158" t="n"/>
      <c r="E202" s="158" t="n"/>
      <c r="F202" s="27" t="n"/>
      <c r="G202" s="27" t="n"/>
      <c r="H202" s="27" t="n"/>
      <c r="I202" s="27" t="n"/>
      <c r="J202" s="27" t="n"/>
    </row>
    <row r="203" customFormat="1" s="20">
      <c r="A203" s="159" t="inlineStr">
        <is>
          <t>ว/ด/ป</t>
        </is>
      </c>
      <c r="B203" s="21" t="inlineStr">
        <is>
          <t>ชื่อร้านค้า</t>
        </is>
      </c>
      <c r="C203" s="25" t="inlineStr">
        <is>
          <t>ยอดรวม</t>
        </is>
      </c>
      <c r="D203" s="21" t="inlineStr">
        <is>
          <t>เลขที่บิล</t>
        </is>
      </c>
      <c r="E203" s="21" t="inlineStr">
        <is>
          <t>หมายเหตุ</t>
        </is>
      </c>
    </row>
    <row r="204">
      <c r="B204" s="22" t="inlineStr">
        <is>
          <t>ต้นทุนสี</t>
        </is>
      </c>
    </row>
    <row r="205">
      <c r="A205" s="157" t="n">
        <v>23562</v>
      </c>
      <c r="B205" s="19" t="inlineStr">
        <is>
          <t>ทาเลนท์ อินเตอร์เทรด</t>
        </is>
      </c>
      <c r="C205" s="26" t="n">
        <v>17847.6</v>
      </c>
      <c r="D205" s="20" t="inlineStr">
        <is>
          <t>IV6407743</t>
        </is>
      </c>
      <c r="E205" s="19" t="inlineStr">
        <is>
          <t>โอน 8/10/64</t>
        </is>
      </c>
    </row>
    <row r="206">
      <c r="A206" s="157" t="n">
        <v>23566</v>
      </c>
      <c r="B206" s="19" t="inlineStr">
        <is>
          <t>ทาเลนท์ อินเตอร์เทรด</t>
        </is>
      </c>
      <c r="C206" s="26" t="n">
        <v>10700</v>
      </c>
      <c r="D206" s="20" t="inlineStr">
        <is>
          <t>IV6407883</t>
        </is>
      </c>
      <c r="E206" s="19" t="inlineStr">
        <is>
          <t>โอน 8/10/64</t>
        </is>
      </c>
    </row>
    <row r="207">
      <c r="A207" s="157" t="n">
        <v>23565</v>
      </c>
      <c r="B207" s="19" t="inlineStr">
        <is>
          <t>ไทยนคร</t>
        </is>
      </c>
      <c r="C207" s="26" t="n">
        <v>20009</v>
      </c>
      <c r="D207" s="20" t="inlineStr">
        <is>
          <t>IV6407/0408</t>
        </is>
      </c>
      <c r="E207" s="19" t="inlineStr">
        <is>
          <t>โอน 18/8/64</t>
        </is>
      </c>
    </row>
    <row r="208">
      <c r="A208" s="157" t="n">
        <v>23568</v>
      </c>
      <c r="B208" s="19" t="inlineStr">
        <is>
          <t>หจก. ไทยออโต้โคท (น้ำยาป้องกันสนิม ออโต้โคท สีดำ)</t>
        </is>
      </c>
      <c r="C208" s="26" t="n">
        <v>6500</v>
      </c>
      <c r="D208" s="20" t="n">
        <v>192</v>
      </c>
      <c r="E208" s="19" t="inlineStr">
        <is>
          <t>โอน 18/8/64</t>
        </is>
      </c>
    </row>
    <row r="209">
      <c r="A209" s="157" t="n">
        <v>23570</v>
      </c>
      <c r="B209" s="35" t="inlineStr">
        <is>
          <t>ช.ทรัพย์สินไทย</t>
        </is>
      </c>
      <c r="C209" s="26" t="n">
        <v>40628.97</v>
      </c>
      <c r="D209" s="20" t="inlineStr">
        <is>
          <t>IV6407157</t>
        </is>
      </c>
      <c r="E209" s="19" t="inlineStr">
        <is>
          <t>กสิกร 25/9/64 #29776247</t>
        </is>
      </c>
      <c r="G209" s="44">
        <f>SUM(C209+C210+C211+C212)</f>
        <v/>
      </c>
    </row>
    <row r="210">
      <c r="A210" s="157" t="n">
        <v>23570</v>
      </c>
      <c r="B210" s="35" t="inlineStr">
        <is>
          <t>ช.ทรัพย์สินไทย</t>
        </is>
      </c>
      <c r="C210" s="26" t="n">
        <v>5842.2</v>
      </c>
      <c r="D210" s="20" t="inlineStr">
        <is>
          <t>IV6407158</t>
        </is>
      </c>
      <c r="E210" s="19" t="inlineStr">
        <is>
          <t>กสิกร 25/9/64 #29776247</t>
        </is>
      </c>
    </row>
    <row r="211">
      <c r="A211" s="157" t="n">
        <v>23584</v>
      </c>
      <c r="B211" s="35" t="inlineStr">
        <is>
          <t>ช.ทรัพย์สินไทย</t>
        </is>
      </c>
      <c r="C211" s="26" t="n">
        <v>93757.67999999999</v>
      </c>
      <c r="D211" s="20" t="inlineStr">
        <is>
          <t>IV6407308</t>
        </is>
      </c>
      <c r="E211" s="19" t="inlineStr">
        <is>
          <t>กสิกร 25/9/64 #29776247</t>
        </is>
      </c>
    </row>
    <row r="212">
      <c r="A212" s="157" t="n">
        <v>23584</v>
      </c>
      <c r="B212" s="35" t="inlineStr">
        <is>
          <t>ช.ทรัพย์สินไทย</t>
        </is>
      </c>
      <c r="C212" s="26" t="n">
        <v>68180.39999999999</v>
      </c>
      <c r="D212" s="20" t="inlineStr">
        <is>
          <t>IV6407309</t>
        </is>
      </c>
      <c r="E212" s="19" t="inlineStr">
        <is>
          <t>กสิกร 25/9/64 #29776247</t>
        </is>
      </c>
    </row>
    <row r="213">
      <c r="A213" s="157" t="n">
        <v>23572</v>
      </c>
      <c r="B213" s="19" t="inlineStr">
        <is>
          <t>ห้างหุ้นส่วนจำกัด พี.บี.เพ้นต์</t>
        </is>
      </c>
      <c r="C213" s="26" t="n">
        <v>77724.8</v>
      </c>
      <c r="D213" s="20" t="inlineStr">
        <is>
          <t>64/436</t>
        </is>
      </c>
      <c r="E213" s="19" t="inlineStr">
        <is>
          <t>KB 30/9/64 #29776235 (ยกเลิกเช็ค/เปลี่ยนเป็นโอนจ่าย 1/10/64)</t>
        </is>
      </c>
    </row>
    <row r="216">
      <c r="B216" s="22" t="inlineStr">
        <is>
          <t>ต้นทุนอะไหล่</t>
        </is>
      </c>
    </row>
    <row r="217">
      <c r="B217" s="19" t="inlineStr">
        <is>
          <t>ร้านจิตต์ อะไหล่ Due 5 - 10/7/2564</t>
        </is>
      </c>
      <c r="C217" s="26" t="n">
        <v>21404</v>
      </c>
      <c r="E217" s="19" t="inlineStr">
        <is>
          <t>โอน 12/7/64</t>
        </is>
      </c>
    </row>
    <row r="218">
      <c r="B218" s="19" t="inlineStr">
        <is>
          <t>ร้านจิตต์ อะไหล่ Due 12 - 17/7/2564</t>
        </is>
      </c>
      <c r="C218" s="26" t="n">
        <v>9119</v>
      </c>
      <c r="E218" s="19" t="inlineStr">
        <is>
          <t>โอน 19/7/64</t>
        </is>
      </c>
    </row>
    <row r="219">
      <c r="B219" s="19" t="inlineStr">
        <is>
          <t>ร้านจิตต์ อะไหล่ Due 19 - 24/7/2564</t>
        </is>
      </c>
      <c r="C219" s="26" t="n">
        <v>30375</v>
      </c>
      <c r="E219" s="19" t="inlineStr">
        <is>
          <t>โอน 26/7/64</t>
        </is>
      </c>
    </row>
    <row r="220">
      <c r="B220" s="19" t="inlineStr">
        <is>
          <t>ร้านจิตต์ อะไหล่ Due 26 - 31/7/2564</t>
        </is>
      </c>
      <c r="C220" s="26" t="n">
        <v>10394</v>
      </c>
      <c r="E220" s="19" t="inlineStr">
        <is>
          <t>โอน 2/8/64</t>
        </is>
      </c>
    </row>
    <row r="224" customFormat="1" s="28">
      <c r="A224" s="102" t="inlineStr">
        <is>
          <t>รายการซื้อสินค้าเข้า ประจำเดือน 8/2564</t>
        </is>
      </c>
      <c r="B224" s="158" t="n"/>
      <c r="C224" s="158" t="n"/>
      <c r="D224" s="158" t="n"/>
      <c r="E224" s="158" t="n"/>
      <c r="F224" s="27" t="n"/>
      <c r="G224" s="27" t="n"/>
      <c r="H224" s="27" t="n"/>
      <c r="I224" s="27" t="n"/>
      <c r="J224" s="27" t="n"/>
    </row>
    <row r="225" customFormat="1" s="20">
      <c r="A225" s="159" t="inlineStr">
        <is>
          <t>ว/ด/ป</t>
        </is>
      </c>
      <c r="B225" s="21" t="inlineStr">
        <is>
          <t>ชื่อร้านค้า</t>
        </is>
      </c>
      <c r="C225" s="25" t="inlineStr">
        <is>
          <t>ยอดรวม</t>
        </is>
      </c>
      <c r="D225" s="21" t="inlineStr">
        <is>
          <t>เลขที่บิล</t>
        </is>
      </c>
      <c r="E225" s="21" t="inlineStr">
        <is>
          <t>หมายเหตุ</t>
        </is>
      </c>
    </row>
    <row r="226">
      <c r="B226" s="22" t="inlineStr">
        <is>
          <t>ต้นทุนสี</t>
        </is>
      </c>
    </row>
    <row r="227">
      <c r="A227" s="157" t="n">
        <v>23605</v>
      </c>
      <c r="B227" s="19" t="inlineStr">
        <is>
          <t>ทาเลนท์อินเตอร์เทรด</t>
        </is>
      </c>
      <c r="C227" s="26" t="n">
        <v>10935.4</v>
      </c>
      <c r="D227" s="20" t="inlineStr">
        <is>
          <t>IV6410019</t>
        </is>
      </c>
      <c r="E227" s="19" t="inlineStr">
        <is>
          <t>โอน 16/11/64</t>
        </is>
      </c>
      <c r="H227" s="26" t="n"/>
    </row>
    <row r="228">
      <c r="A228" s="157" t="n">
        <v>23606</v>
      </c>
      <c r="B228" s="19" t="inlineStr">
        <is>
          <t>ทาเลนท์อินเตอร์เทรด</t>
        </is>
      </c>
      <c r="C228" s="26" t="n">
        <v>1487.3</v>
      </c>
      <c r="D228" s="20" t="inlineStr">
        <is>
          <t>IV6410086</t>
        </is>
      </c>
      <c r="E228" s="19" t="inlineStr">
        <is>
          <t>โอน 16/11/64</t>
        </is>
      </c>
    </row>
    <row r="229">
      <c r="A229" s="157" t="n">
        <v>23613</v>
      </c>
      <c r="B229" s="19" t="inlineStr">
        <is>
          <t>ทาเลนท์อินเตอร์เทรด</t>
        </is>
      </c>
      <c r="C229" s="26" t="n">
        <v>5350</v>
      </c>
      <c r="D229" s="20" t="inlineStr">
        <is>
          <t>IV6410479</t>
        </is>
      </c>
      <c r="E229" s="19" t="inlineStr">
        <is>
          <t>โอน 16/11/64</t>
        </is>
      </c>
    </row>
    <row r="230">
      <c r="A230" s="157" t="n">
        <v>23613</v>
      </c>
      <c r="B230" s="19" t="inlineStr">
        <is>
          <t>ทาเลนท์อินเตอร์เทรด</t>
        </is>
      </c>
      <c r="C230" s="26" t="n">
        <v>7318.8</v>
      </c>
      <c r="D230" s="20" t="inlineStr">
        <is>
          <t>IV6410433</t>
        </is>
      </c>
      <c r="E230" s="19" t="inlineStr">
        <is>
          <t>โอน 16/11/64</t>
        </is>
      </c>
    </row>
    <row r="231">
      <c r="A231" s="157" t="n">
        <v>23608</v>
      </c>
      <c r="B231" s="19" t="inlineStr">
        <is>
          <t>ทาเลนท์อินเตอร์เทรด</t>
        </is>
      </c>
      <c r="C231" s="26" t="n">
        <v>3445.4</v>
      </c>
      <c r="D231" s="20" t="inlineStr">
        <is>
          <t>IV6410260</t>
        </is>
      </c>
      <c r="E231" s="19" t="inlineStr">
        <is>
          <t>โอน 16/11/64</t>
        </is>
      </c>
    </row>
    <row r="232">
      <c r="A232" s="157" t="n">
        <v>23616</v>
      </c>
      <c r="B232" s="19" t="inlineStr">
        <is>
          <t>ทาเลนท์อินเตอร์เทรด</t>
        </is>
      </c>
      <c r="C232" s="26" t="n">
        <v>4108.8</v>
      </c>
      <c r="D232" s="20" t="inlineStr">
        <is>
          <t>IV6410644</t>
        </is>
      </c>
      <c r="E232" s="19" t="inlineStr">
        <is>
          <t>โอน 16/11/64</t>
        </is>
      </c>
    </row>
    <row r="233">
      <c r="A233" s="157" t="n">
        <v>23603</v>
      </c>
      <c r="B233" s="19" t="inlineStr">
        <is>
          <t>ไทยนครพัฒนา</t>
        </is>
      </c>
      <c r="C233" s="26" t="n">
        <v>17976</v>
      </c>
      <c r="D233" s="20" t="inlineStr">
        <is>
          <t>IV6408/0573</t>
        </is>
      </c>
      <c r="E233" s="19" t="inlineStr">
        <is>
          <t>โอน 27/10/64</t>
        </is>
      </c>
    </row>
    <row r="234">
      <c r="A234" s="157" t="n">
        <v>23615</v>
      </c>
      <c r="B234" s="19" t="inlineStr">
        <is>
          <t>หจก. ไทยออโต้โคท (น้ำยาป้องกันสนิม ออโต้โคท สีดำ)</t>
        </is>
      </c>
      <c r="C234" s="26" t="n">
        <v>6500</v>
      </c>
      <c r="D234" s="20" t="n">
        <v>195</v>
      </c>
      <c r="E234" s="19" t="inlineStr">
        <is>
          <t>โอน 26/8/64</t>
        </is>
      </c>
    </row>
    <row r="235">
      <c r="A235" s="157" t="n">
        <v>23620</v>
      </c>
      <c r="B235" s="19" t="inlineStr">
        <is>
          <t>ออโต้ สมาร์ทเทค</t>
        </is>
      </c>
      <c r="C235" s="26" t="n">
        <v>10539.5</v>
      </c>
      <c r="D235" s="20" t="n">
        <v>202108203</v>
      </c>
      <c r="E235" s="19" t="inlineStr">
        <is>
          <t>KB 15/10/64 #29776248</t>
        </is>
      </c>
    </row>
    <row r="236">
      <c r="A236" s="157" t="n">
        <v>23598</v>
      </c>
      <c r="B236" s="19" t="inlineStr">
        <is>
          <t>ออโต้ สมาร์ทเทค</t>
        </is>
      </c>
      <c r="C236" s="26" t="n">
        <v>7597</v>
      </c>
      <c r="D236" s="20" t="n">
        <v>202108070</v>
      </c>
      <c r="E236" s="19" t="inlineStr">
        <is>
          <t>KB 23/9/64 #29776244</t>
        </is>
      </c>
    </row>
    <row r="237">
      <c r="A237" s="157" t="n">
        <v>23613</v>
      </c>
      <c r="B237" s="19" t="inlineStr">
        <is>
          <t>ช.ทรัพย์สินไทย</t>
        </is>
      </c>
      <c r="C237" s="26" t="n">
        <v>38789.64</v>
      </c>
      <c r="D237" s="20" t="inlineStr">
        <is>
          <t>IV6408251</t>
        </is>
      </c>
      <c r="E237" s="19" t="inlineStr">
        <is>
          <t>KB 25/10/64 #29776261</t>
        </is>
      </c>
      <c r="G237" s="44">
        <f>SUM(C237+C238+C239+C240+C241)</f>
        <v/>
      </c>
    </row>
    <row r="238">
      <c r="A238" s="157" t="n">
        <v>23613</v>
      </c>
      <c r="B238" s="19" t="inlineStr">
        <is>
          <t>ช.ทรัพย์สินไทย</t>
        </is>
      </c>
      <c r="C238" s="26" t="n">
        <v>8410.200000000001</v>
      </c>
      <c r="D238" s="20" t="inlineStr">
        <is>
          <t>IV6408252</t>
        </is>
      </c>
      <c r="E238" s="19" t="inlineStr">
        <is>
          <t>KB 25/10/64 #29776261</t>
        </is>
      </c>
    </row>
    <row r="239">
      <c r="A239" s="157" t="n">
        <v>23615</v>
      </c>
      <c r="B239" s="19" t="inlineStr">
        <is>
          <t>ช.ทรัพย์สินไทย</t>
        </is>
      </c>
      <c r="C239" s="26" t="n">
        <v>27965.52</v>
      </c>
      <c r="D239" s="20" t="inlineStr">
        <is>
          <t>IV6408281</t>
        </is>
      </c>
      <c r="E239" s="19" t="inlineStr">
        <is>
          <t>KB 25/10/64 #29776261</t>
        </is>
      </c>
    </row>
    <row r="240">
      <c r="A240" s="157" t="n">
        <v>23615</v>
      </c>
      <c r="B240" s="19" t="inlineStr">
        <is>
          <t>ช.ทรัพย์สินไทย</t>
        </is>
      </c>
      <c r="C240" s="26" t="n">
        <v>8474.4</v>
      </c>
      <c r="D240" s="20" t="inlineStr">
        <is>
          <t>IV6408282</t>
        </is>
      </c>
      <c r="E240" s="19" t="inlineStr">
        <is>
          <t>KB 25/10/64 #29776261</t>
        </is>
      </c>
    </row>
    <row r="241">
      <c r="A241" s="157" t="n">
        <v>23615</v>
      </c>
      <c r="B241" s="19" t="inlineStr">
        <is>
          <t>ช.ทรัพย์สินไทย</t>
        </is>
      </c>
      <c r="C241" s="26" t="n">
        <v>19789.65</v>
      </c>
      <c r="D241" s="20" t="inlineStr">
        <is>
          <t>IV6408285</t>
        </is>
      </c>
      <c r="E241" s="19" t="inlineStr">
        <is>
          <t>KB 25/10/64 #29776261</t>
        </is>
      </c>
    </row>
    <row r="243">
      <c r="B243" s="22" t="inlineStr">
        <is>
          <t>ต้นทุนอะไหล่</t>
        </is>
      </c>
    </row>
    <row r="244">
      <c r="B244" s="19" t="inlineStr">
        <is>
          <t>ร้านจิตต์ อะไหล่ Due 2 - 7/8/2564</t>
        </is>
      </c>
      <c r="C244" s="26" t="n">
        <v>47061</v>
      </c>
      <c r="E244" s="19" t="inlineStr">
        <is>
          <t>โอน 9/8/64</t>
        </is>
      </c>
    </row>
    <row r="245">
      <c r="B245" s="19" t="inlineStr">
        <is>
          <t>ร้านจิตต์ อะไหล่ Due 9 - 14/8/2564</t>
        </is>
      </c>
      <c r="C245" s="26" t="n">
        <v>14588.4</v>
      </c>
      <c r="E245" s="19" t="inlineStr">
        <is>
          <t>โอน 16/8/64</t>
        </is>
      </c>
    </row>
    <row r="246">
      <c r="B246" s="19" t="inlineStr">
        <is>
          <t>ร้านจิตต์ อะไหล่ Due 16 - 21/8/2564</t>
        </is>
      </c>
      <c r="C246" s="26" t="n">
        <v>15385</v>
      </c>
      <c r="E246" s="19" t="inlineStr">
        <is>
          <t>โอน 23/8/64</t>
        </is>
      </c>
    </row>
    <row r="247">
      <c r="B247" s="19" t="inlineStr">
        <is>
          <t>ร้านจิตต์ อะไหล่ Due 23 - 28/8/2564</t>
        </is>
      </c>
      <c r="C247" s="26" t="n">
        <v>7029</v>
      </c>
      <c r="E247" s="19" t="inlineStr">
        <is>
          <t>โอน 30/8/64</t>
        </is>
      </c>
    </row>
    <row r="248">
      <c r="B248" s="19" t="inlineStr">
        <is>
          <t>ศรีสยาม Due 2-8/8/64</t>
        </is>
      </c>
      <c r="C248" s="26" t="n">
        <v>34241.33</v>
      </c>
      <c r="E248" s="19" t="inlineStr">
        <is>
          <t>KB 9/9/64 #29776249</t>
        </is>
      </c>
    </row>
    <row r="249">
      <c r="B249" s="19" t="inlineStr">
        <is>
          <t>ศรีสยาม Due 2-8/8/64</t>
        </is>
      </c>
      <c r="C249" s="26" t="n">
        <v>20212</v>
      </c>
      <c r="E249" s="19" t="inlineStr">
        <is>
          <t>KB 9/10/64 #29776254</t>
        </is>
      </c>
    </row>
    <row r="250">
      <c r="B250" s="19" t="inlineStr">
        <is>
          <t>ศรีสยาม Due 9-15/8/64</t>
        </is>
      </c>
      <c r="C250" s="26" t="n">
        <v>20283.54</v>
      </c>
      <c r="E250" s="19" t="inlineStr">
        <is>
          <t>KB 16/9/64 #29776250</t>
        </is>
      </c>
    </row>
    <row r="251">
      <c r="B251" s="19" t="inlineStr">
        <is>
          <t>ศรีสยาม Due 9-15/8/64</t>
        </is>
      </c>
      <c r="C251" s="26" t="n">
        <v>13285</v>
      </c>
      <c r="E251" s="19" t="inlineStr">
        <is>
          <t>KB 16/10/64 #29776255</t>
        </is>
      </c>
    </row>
    <row r="252">
      <c r="B252" s="19" t="inlineStr">
        <is>
          <t>ศรีสยาม Due 16-22/8/64</t>
        </is>
      </c>
      <c r="C252" s="26" t="n">
        <v>28855.77</v>
      </c>
      <c r="E252" s="19" t="inlineStr">
        <is>
          <t>KB 23/9/64 #29776251</t>
        </is>
      </c>
    </row>
    <row r="253">
      <c r="B253" s="19" t="inlineStr">
        <is>
          <t>ศรีสยาม Due 16-22/8/64</t>
        </is>
      </c>
      <c r="C253" s="26" t="n">
        <v>11866.01</v>
      </c>
      <c r="E253" s="19" t="inlineStr">
        <is>
          <t>KB 23/10/64 #29776256</t>
        </is>
      </c>
    </row>
    <row r="254">
      <c r="B254" s="19" t="inlineStr">
        <is>
          <t>ศรีสยาม Due 23-29/8/64</t>
        </is>
      </c>
      <c r="C254" s="26" t="n">
        <v>32191.94</v>
      </c>
      <c r="E254" s="19" t="inlineStr">
        <is>
          <t>KB 30/9/64 #29776252</t>
        </is>
      </c>
    </row>
    <row r="255">
      <c r="B255" s="19" t="inlineStr">
        <is>
          <t>ศรีสยาม Due 23-29/8/64</t>
        </is>
      </c>
      <c r="C255" s="26" t="n">
        <v>6482</v>
      </c>
      <c r="E255" s="19" t="inlineStr">
        <is>
          <t>KB 30/10/64 #29776257</t>
        </is>
      </c>
    </row>
    <row r="256">
      <c r="B256" s="19" t="inlineStr">
        <is>
          <t>ศรีสยาม Due 30/8-5/9/64</t>
        </is>
      </c>
      <c r="C256" s="26" t="n">
        <v>44174.35</v>
      </c>
      <c r="E256" s="19" t="inlineStr">
        <is>
          <t>KB 6/10/64 #29776253</t>
        </is>
      </c>
    </row>
    <row r="257">
      <c r="B257" s="19" t="inlineStr">
        <is>
          <t>ทาเลนท์อินเตอร์เทรด</t>
        </is>
      </c>
      <c r="C257" s="26" t="n">
        <v>1487.3</v>
      </c>
      <c r="D257" s="20" t="inlineStr">
        <is>
          <t>IV6410086</t>
        </is>
      </c>
    </row>
    <row r="258">
      <c r="B258" s="19" t="inlineStr">
        <is>
          <t>ร้านเจ๊แอน</t>
        </is>
      </c>
      <c r="C258" s="26" t="n">
        <v>18830</v>
      </c>
      <c r="E258" s="19" t="inlineStr">
        <is>
          <t>โอน 2/9/64</t>
        </is>
      </c>
    </row>
    <row r="259">
      <c r="A259" s="157" t="n">
        <v>23619</v>
      </c>
      <c r="B259" s="19" t="inlineStr">
        <is>
          <t xml:space="preserve">กิ๊บน๊อต / ร้านต้นคิด   </t>
        </is>
      </c>
      <c r="C259" s="26" t="n">
        <v>1884</v>
      </c>
      <c r="D259" s="20" t="inlineStr">
        <is>
          <t>EMS</t>
        </is>
      </c>
      <c r="E259" s="19" t="inlineStr">
        <is>
          <t>โอน 9/11/64</t>
        </is>
      </c>
    </row>
    <row r="263" customFormat="1" s="28">
      <c r="A263" s="102" t="inlineStr">
        <is>
          <t>รายการซื้อสินค้าเข้า ประจำเดือน 9/2564</t>
        </is>
      </c>
      <c r="B263" s="158" t="n"/>
      <c r="C263" s="158" t="n"/>
      <c r="D263" s="158" t="n"/>
      <c r="E263" s="158" t="n"/>
      <c r="F263" s="27" t="n"/>
      <c r="G263" s="27" t="n"/>
      <c r="H263" s="27" t="n"/>
      <c r="I263" s="27" t="n"/>
      <c r="J263" s="27" t="n"/>
    </row>
    <row r="264" customFormat="1" s="20">
      <c r="A264" s="159" t="inlineStr">
        <is>
          <t>ว/ด/ป</t>
        </is>
      </c>
      <c r="B264" s="21" t="inlineStr">
        <is>
          <t>ชื่อร้านค้า</t>
        </is>
      </c>
      <c r="C264" s="25" t="inlineStr">
        <is>
          <t>ยอดรวม</t>
        </is>
      </c>
      <c r="D264" s="21" t="inlineStr">
        <is>
          <t>เลขที่บิล</t>
        </is>
      </c>
      <c r="E264" s="21" t="inlineStr">
        <is>
          <t>หมายเหตุ</t>
        </is>
      </c>
    </row>
    <row r="265">
      <c r="B265" s="22" t="inlineStr">
        <is>
          <t>ต้นทุนสี</t>
        </is>
      </c>
    </row>
    <row r="266">
      <c r="A266" s="157" t="n">
        <v>23629</v>
      </c>
      <c r="B266" s="19" t="inlineStr">
        <is>
          <t>ช.ทรัพย์สินไทย</t>
        </is>
      </c>
      <c r="C266" s="26" t="n">
        <v>7447.2</v>
      </c>
      <c r="D266" s="20" t="inlineStr">
        <is>
          <t>IV6409115</t>
        </is>
      </c>
      <c r="E266" s="19" t="inlineStr">
        <is>
          <t>KB 25/11/64 #29776262</t>
        </is>
      </c>
      <c r="G266" s="44">
        <f>SUM(C266+C267+C268+C269)</f>
        <v/>
      </c>
    </row>
    <row r="267">
      <c r="A267" s="157" t="n">
        <v>23642</v>
      </c>
      <c r="B267" s="19" t="inlineStr">
        <is>
          <t>ช.ทรัพย์สินไทย</t>
        </is>
      </c>
      <c r="C267" s="26" t="n">
        <v>116159.2</v>
      </c>
      <c r="D267" s="20" t="inlineStr">
        <is>
          <t>IV6409286</t>
        </is>
      </c>
      <c r="E267" s="19" t="inlineStr">
        <is>
          <t>KB 25/11/64 #29776262</t>
        </is>
      </c>
    </row>
    <row r="268">
      <c r="A268" s="157" t="n">
        <v>23642</v>
      </c>
      <c r="B268" s="19" t="inlineStr">
        <is>
          <t>ช.ทรัพย์สินไทย</t>
        </is>
      </c>
      <c r="C268" s="26" t="n">
        <v>56085.12</v>
      </c>
      <c r="D268" s="20" t="inlineStr">
        <is>
          <t>IV6409285</t>
        </is>
      </c>
      <c r="E268" s="19" t="inlineStr">
        <is>
          <t>KB 25/11/64 #29776262</t>
        </is>
      </c>
    </row>
    <row r="269">
      <c r="A269" s="157" t="n">
        <v>23643</v>
      </c>
      <c r="B269" s="19" t="inlineStr">
        <is>
          <t>ช.ทรัพย์สินไทย</t>
        </is>
      </c>
      <c r="C269" s="26" t="n">
        <v>11793.54</v>
      </c>
      <c r="D269" s="20" t="inlineStr">
        <is>
          <t>IV6409299</t>
        </is>
      </c>
      <c r="E269" s="19" t="inlineStr">
        <is>
          <t>KB 25/11/64 #29776262</t>
        </is>
      </c>
    </row>
    <row r="270">
      <c r="B270" s="19" t="inlineStr">
        <is>
          <t>ห้างหุ้นส่วนจำกัด พี.บี.เพ้นต์</t>
        </is>
      </c>
      <c r="C270" s="26" t="n">
        <v>51360</v>
      </c>
      <c r="D270" s="20" t="inlineStr">
        <is>
          <t>64/569</t>
        </is>
      </c>
      <c r="E270" s="19" t="inlineStr">
        <is>
          <t>KB 30/11/64 #29776258</t>
        </is>
      </c>
    </row>
    <row r="271">
      <c r="A271" s="157" t="n">
        <v>23643</v>
      </c>
      <c r="B271" s="19" t="inlineStr">
        <is>
          <t>ออโต้ สมาร์ทเทค</t>
        </is>
      </c>
      <c r="C271" s="26" t="n">
        <v>11071.93</v>
      </c>
      <c r="D271" s="20" t="n">
        <v>202109165</v>
      </c>
      <c r="E271" s="19" t="inlineStr">
        <is>
          <t>KB 7/11/64 #29776259</t>
        </is>
      </c>
    </row>
    <row r="272">
      <c r="A272" s="157" t="n">
        <v>23648</v>
      </c>
      <c r="B272" s="19" t="inlineStr">
        <is>
          <t>ซี.เอส. รีฟินิช</t>
        </is>
      </c>
      <c r="C272" s="26" t="n">
        <v>4711.21</v>
      </c>
      <c r="D272" s="20" t="inlineStr">
        <is>
          <t>IV6409065</t>
        </is>
      </c>
      <c r="E272" s="19" t="inlineStr">
        <is>
          <t>KB 25/11/64 #29776263</t>
        </is>
      </c>
    </row>
    <row r="273">
      <c r="A273" s="157" t="n">
        <v>23635</v>
      </c>
      <c r="B273" s="19" t="inlineStr">
        <is>
          <t>ทาเลนท์อินเตอร์เทรด</t>
        </is>
      </c>
      <c r="C273" s="26" t="n">
        <v>8647.74</v>
      </c>
      <c r="D273" s="20" t="inlineStr">
        <is>
          <t>IV6411764</t>
        </is>
      </c>
      <c r="E273" s="19" t="inlineStr">
        <is>
          <t>โอน 12/12/64</t>
        </is>
      </c>
    </row>
    <row r="275">
      <c r="B275" s="22" t="inlineStr">
        <is>
          <t>ต้นทุนอะไหล่</t>
        </is>
      </c>
    </row>
    <row r="276">
      <c r="B276" s="19" t="inlineStr">
        <is>
          <t>ร้านจิตต์ อะไหล่ Due 30/8 - 4/9/2564</t>
        </is>
      </c>
      <c r="C276" s="26" t="n">
        <v>12564</v>
      </c>
      <c r="E276" s="19" t="inlineStr">
        <is>
          <t>โอน 6/9/64</t>
        </is>
      </c>
    </row>
    <row r="277">
      <c r="B277" s="19" t="inlineStr">
        <is>
          <t>ร้านจิตต์ อะไหล่ Due 6 - 11/9/2564</t>
        </is>
      </c>
      <c r="C277" s="26" t="n">
        <v>7007</v>
      </c>
      <c r="E277" s="19" t="inlineStr">
        <is>
          <t>โอน 13/9/64</t>
        </is>
      </c>
    </row>
    <row r="278">
      <c r="B278" s="19" t="inlineStr">
        <is>
          <t>ร้านจิตต์ อะไหล่ Due 13 - 18/9/2564</t>
        </is>
      </c>
      <c r="C278" s="26" t="n">
        <v>7319</v>
      </c>
      <c r="E278" s="19" t="inlineStr">
        <is>
          <t>โอน 20/9/64</t>
        </is>
      </c>
    </row>
    <row r="279">
      <c r="B279" s="19" t="inlineStr">
        <is>
          <t>ร้านจิตต์ อะไหล่ Due 20 - 25/9/2564</t>
        </is>
      </c>
      <c r="C279" s="26" t="n">
        <v>14246</v>
      </c>
      <c r="E279" s="19" t="inlineStr">
        <is>
          <t>โอน 27/9/64</t>
        </is>
      </c>
    </row>
    <row r="280">
      <c r="B280" s="19" t="inlineStr">
        <is>
          <t>ร้านจิตต์ อะไหล่ Due 27/9 - 2/10/2564</t>
        </is>
      </c>
      <c r="C280" s="26" t="n">
        <v>26424</v>
      </c>
      <c r="E280" s="19" t="inlineStr">
        <is>
          <t>โอน 4/10/64</t>
        </is>
      </c>
    </row>
    <row r="281">
      <c r="B281" s="19" t="inlineStr">
        <is>
          <t>ร้านเจ๊แอน</t>
        </is>
      </c>
      <c r="C281" s="26" t="n">
        <v>14600</v>
      </c>
      <c r="E281" s="19" t="inlineStr">
        <is>
          <t>โอน 4/10/64</t>
        </is>
      </c>
    </row>
    <row r="282">
      <c r="B282" s="19" t="inlineStr">
        <is>
          <t>ศรีสยาม Due 6 - 12/9/2564</t>
        </is>
      </c>
      <c r="C282" s="26" t="n">
        <v>56117</v>
      </c>
      <c r="E282" s="19" t="inlineStr">
        <is>
          <t>โอน 8/10/64</t>
        </is>
      </c>
    </row>
    <row r="283">
      <c r="B283" s="19" t="inlineStr">
        <is>
          <t>ศรีสยาม Due 13 - 19/9/2564</t>
        </is>
      </c>
      <c r="C283" s="26" t="n">
        <v>34002</v>
      </c>
      <c r="E283" s="19" t="inlineStr">
        <is>
          <t>โอน 18/10/64</t>
        </is>
      </c>
    </row>
    <row r="284">
      <c r="B284" s="19" t="inlineStr">
        <is>
          <t>ศรีสยาม Due 20 - 26/9/2564</t>
        </is>
      </c>
      <c r="C284" s="26" t="n">
        <v>31991</v>
      </c>
      <c r="E284" s="19" t="inlineStr">
        <is>
          <t>โอน 26/10/64</t>
        </is>
      </c>
    </row>
    <row r="285">
      <c r="A285" s="157" t="n">
        <v>23636</v>
      </c>
      <c r="B285" s="19" t="inlineStr">
        <is>
          <t xml:space="preserve">กิ๊บน๊อต / ร้านต้นคิด   </t>
        </is>
      </c>
      <c r="C285" s="26" t="n">
        <v>1250</v>
      </c>
      <c r="D285" s="20" t="inlineStr">
        <is>
          <t>EMS</t>
        </is>
      </c>
      <c r="E285" s="19" t="inlineStr">
        <is>
          <t>โอน 9/11/64</t>
        </is>
      </c>
    </row>
    <row r="288" customFormat="1" s="28">
      <c r="A288" s="102" t="inlineStr">
        <is>
          <t>รายการซื้อสินค้าเข้า ประจำเดือน 10/2564</t>
        </is>
      </c>
      <c r="B288" s="158" t="n"/>
      <c r="C288" s="158" t="n"/>
      <c r="D288" s="158" t="n"/>
      <c r="E288" s="158" t="n"/>
      <c r="F288" s="27" t="n"/>
      <c r="G288" s="27" t="n"/>
      <c r="H288" s="27" t="n"/>
      <c r="I288" s="27" t="n"/>
      <c r="J288" s="27" t="n"/>
    </row>
    <row r="289" customFormat="1" s="20">
      <c r="A289" s="159" t="inlineStr">
        <is>
          <t>ว/ด/ป</t>
        </is>
      </c>
      <c r="B289" s="21" t="inlineStr">
        <is>
          <t>ชื่อร้านค้า</t>
        </is>
      </c>
      <c r="C289" s="25" t="inlineStr">
        <is>
          <t>ยอดรวม</t>
        </is>
      </c>
      <c r="D289" s="21" t="inlineStr">
        <is>
          <t>เลขที่บิล</t>
        </is>
      </c>
      <c r="E289" s="21" t="inlineStr">
        <is>
          <t>หมายเหตุ</t>
        </is>
      </c>
    </row>
    <row r="290">
      <c r="B290" s="22" t="inlineStr">
        <is>
          <t>ต้นทุนสี</t>
        </is>
      </c>
    </row>
    <row r="291">
      <c r="A291" s="157" t="n">
        <v>23661</v>
      </c>
      <c r="B291" s="19" t="inlineStr">
        <is>
          <t>ออโต้ สมาร์ทเทค</t>
        </is>
      </c>
      <c r="C291" s="26" t="n">
        <v>10108.93</v>
      </c>
      <c r="D291" s="20" t="n">
        <v>202110080</v>
      </c>
      <c r="E291" s="19" t="inlineStr">
        <is>
          <t>KB 25/11/64 #29776260</t>
        </is>
      </c>
    </row>
    <row r="292">
      <c r="B292" s="19" t="inlineStr">
        <is>
          <t>ออโต้ สมาร์ทเทค</t>
        </is>
      </c>
      <c r="C292" s="26" t="n">
        <v>4437.93</v>
      </c>
      <c r="D292" s="20" t="n">
        <v>202110201</v>
      </c>
      <c r="E292" s="19" t="inlineStr">
        <is>
          <t>KB 12/12/64 #29776264</t>
        </is>
      </c>
      <c r="G292" s="26">
        <f>SUM(C293+C294)</f>
        <v/>
      </c>
    </row>
    <row r="293">
      <c r="A293" s="157" t="n">
        <v>23658</v>
      </c>
      <c r="B293" s="19" t="inlineStr">
        <is>
          <t>ทาเลนท์อินเตอร์เทรด</t>
        </is>
      </c>
      <c r="C293" s="26" t="n">
        <v>6398.6</v>
      </c>
      <c r="D293" s="20" t="inlineStr">
        <is>
          <t>IV6413092</t>
        </is>
      </c>
      <c r="E293" s="19" t="inlineStr">
        <is>
          <t>โอน 13/1/65</t>
        </is>
      </c>
    </row>
    <row r="294">
      <c r="A294" s="157" t="n">
        <v>23666</v>
      </c>
      <c r="B294" s="19" t="inlineStr">
        <is>
          <t>ทาเลนท์อินเตอร์เทรด</t>
        </is>
      </c>
      <c r="C294" s="26" t="n">
        <v>1872.5</v>
      </c>
      <c r="D294" s="20" t="inlineStr">
        <is>
          <t>IV6413516</t>
        </is>
      </c>
      <c r="E294" s="19" t="inlineStr">
        <is>
          <t>โอน 13/1/65</t>
        </is>
      </c>
    </row>
    <row r="295">
      <c r="A295" s="157" t="n">
        <v>23675</v>
      </c>
      <c r="B295" s="19" t="inlineStr">
        <is>
          <t>หจก. ไทยออโต้โคท (น้ำยาป้องกันสนิม ออโต้โคท/ทัฟโค้ท สีดำ)</t>
        </is>
      </c>
      <c r="C295" s="26" t="n">
        <v>6500</v>
      </c>
      <c r="D295" s="20" t="n">
        <v>200</v>
      </c>
      <c r="E295" s="19" t="inlineStr">
        <is>
          <t>โอน 25/10/64</t>
        </is>
      </c>
    </row>
    <row r="296">
      <c r="A296" s="157" t="n">
        <v>23669</v>
      </c>
      <c r="B296" s="19" t="inlineStr">
        <is>
          <t>ช.ทรัพย์สินไทย</t>
        </is>
      </c>
      <c r="C296" s="26" t="n">
        <v>3274.2</v>
      </c>
      <c r="D296" s="20" t="inlineStr">
        <is>
          <t>IV6410254</t>
        </is>
      </c>
      <c r="E296" s="19" t="inlineStr">
        <is>
          <t>โอน 23/12/64</t>
        </is>
      </c>
      <c r="G296" s="44">
        <f>SUM(C296+C297+C298)</f>
        <v/>
      </c>
      <c r="H296" s="26" t="n"/>
    </row>
    <row r="297">
      <c r="A297" s="157" t="n">
        <v>23676</v>
      </c>
      <c r="B297" s="19" t="inlineStr">
        <is>
          <t>ช.ทรัพย์สินไทย</t>
        </is>
      </c>
      <c r="C297" s="26" t="n">
        <v>49787.1</v>
      </c>
      <c r="D297" s="20" t="inlineStr">
        <is>
          <t>IV6410364</t>
        </is>
      </c>
      <c r="E297" s="19" t="inlineStr">
        <is>
          <t>โอน 23/12/64</t>
        </is>
      </c>
    </row>
    <row r="298">
      <c r="A298" s="157" t="n">
        <v>23676</v>
      </c>
      <c r="B298" s="19" t="inlineStr">
        <is>
          <t>ช.ทรัพย์สินไทย</t>
        </is>
      </c>
      <c r="C298" s="26" t="n">
        <v>141026</v>
      </c>
      <c r="D298" s="20" t="inlineStr">
        <is>
          <t>IV6410365</t>
        </is>
      </c>
      <c r="E298" s="19" t="inlineStr">
        <is>
          <t>โอน 23/12/64</t>
        </is>
      </c>
    </row>
    <row r="301">
      <c r="B301" s="22" t="inlineStr">
        <is>
          <t>ต้นทุนอะไหล่</t>
        </is>
      </c>
    </row>
    <row r="302">
      <c r="B302" s="19" t="inlineStr">
        <is>
          <t>ร้านจิตต์ อะไหล่ Due 4 - 9/10/2564</t>
        </is>
      </c>
      <c r="C302" s="26" t="n">
        <v>16000</v>
      </c>
      <c r="E302" s="19" t="inlineStr">
        <is>
          <t>โอน 11/10/64</t>
        </is>
      </c>
    </row>
    <row r="303">
      <c r="B303" s="19" t="inlineStr">
        <is>
          <t>ร้านจิตต์ อะไหล่ Due 11 - 16/10/2564</t>
        </is>
      </c>
      <c r="C303" s="26" t="n">
        <v>22038</v>
      </c>
      <c r="E303" s="19" t="inlineStr">
        <is>
          <t>โอน 18/10/64</t>
        </is>
      </c>
    </row>
    <row r="304">
      <c r="B304" s="19" t="inlineStr">
        <is>
          <t>ร้านจิตต์ อะไหล่ Due 18 - 23/10/2564</t>
        </is>
      </c>
      <c r="C304" s="26" t="n">
        <v>21429</v>
      </c>
      <c r="E304" s="19" t="inlineStr">
        <is>
          <t>โอน 25/10/64</t>
        </is>
      </c>
    </row>
    <row r="305">
      <c r="B305" s="19" t="inlineStr">
        <is>
          <t>ร้านจิตต์ อะไหล่ Due 25 - 30/10/2564</t>
        </is>
      </c>
      <c r="C305" s="26" t="n">
        <v>28765</v>
      </c>
      <c r="E305" s="19" t="inlineStr">
        <is>
          <t>โอน 1/11/64</t>
        </is>
      </c>
    </row>
    <row r="306">
      <c r="B306" s="19" t="inlineStr">
        <is>
          <t>ศรีสยาม Due 13 - 19/9/2564</t>
        </is>
      </c>
      <c r="C306" s="26" t="n">
        <v>34002</v>
      </c>
      <c r="E306" s="19" t="inlineStr">
        <is>
          <t>โอน 18/10/64</t>
        </is>
      </c>
    </row>
    <row r="307">
      <c r="B307" s="19" t="inlineStr">
        <is>
          <t>ศรีสยาม Due 27/9 - 3/10/2564</t>
        </is>
      </c>
      <c r="C307" s="26" t="n">
        <v>39584</v>
      </c>
      <c r="E307" s="19" t="inlineStr">
        <is>
          <t>โอน 3/11/64</t>
        </is>
      </c>
    </row>
    <row r="308">
      <c r="B308" s="19" t="inlineStr">
        <is>
          <t>ศรีสยาม Due 4 - 10/10/2564</t>
        </is>
      </c>
      <c r="C308" s="26" t="n">
        <v>60778</v>
      </c>
      <c r="E308" s="19" t="inlineStr">
        <is>
          <t>โอน 10/11/64</t>
        </is>
      </c>
    </row>
    <row r="309">
      <c r="B309" s="19" t="inlineStr">
        <is>
          <t>ศรีสยาม Due 11 - 17/10/2564</t>
        </is>
      </c>
      <c r="C309" s="26" t="n">
        <v>24047.85</v>
      </c>
      <c r="E309" s="19" t="inlineStr">
        <is>
          <t>โอน 16/11/64</t>
        </is>
      </c>
    </row>
    <row r="310">
      <c r="B310" s="19" t="inlineStr">
        <is>
          <t>ศรีสยาม Due 18 - 24/10/2564</t>
        </is>
      </c>
      <c r="C310" s="26" t="n">
        <v>60348.84</v>
      </c>
      <c r="E310" s="19" t="inlineStr">
        <is>
          <t>โอน 24/11/64</t>
        </is>
      </c>
    </row>
    <row r="311">
      <c r="B311" s="19" t="inlineStr">
        <is>
          <t>ศรีสยาม Due 25/10 - 31/10/2564</t>
        </is>
      </c>
      <c r="C311" s="26" t="n">
        <v>54684.58</v>
      </c>
      <c r="E311" s="19" t="inlineStr">
        <is>
          <t>โอน 1/12/64</t>
        </is>
      </c>
    </row>
    <row r="312">
      <c r="B312" s="19" t="inlineStr">
        <is>
          <t>ร้านเจ๊แอน</t>
        </is>
      </c>
      <c r="C312" s="26" t="n">
        <v>13530</v>
      </c>
      <c r="E312" s="19" t="inlineStr">
        <is>
          <t>โอน 2/11/64</t>
        </is>
      </c>
    </row>
    <row r="315" customFormat="1" s="28">
      <c r="A315" s="102" t="inlineStr">
        <is>
          <t>รายการซื้อสินค้าเข้า ประจำเดือน 11/2564</t>
        </is>
      </c>
      <c r="B315" s="158" t="n"/>
      <c r="C315" s="158" t="n"/>
      <c r="D315" s="158" t="n"/>
      <c r="E315" s="158" t="n"/>
      <c r="F315" s="27" t="n"/>
      <c r="G315" s="27" t="n"/>
      <c r="H315" s="27" t="n"/>
      <c r="I315" s="27" t="n"/>
      <c r="J315" s="27" t="n"/>
    </row>
    <row r="316" customFormat="1" s="20">
      <c r="A316" s="159" t="inlineStr">
        <is>
          <t>ว/ด/ป</t>
        </is>
      </c>
      <c r="B316" s="21" t="inlineStr">
        <is>
          <t>ชื่อร้านค้า</t>
        </is>
      </c>
      <c r="C316" s="25" t="inlineStr">
        <is>
          <t>ยอดรวม</t>
        </is>
      </c>
      <c r="D316" s="21" t="inlineStr">
        <is>
          <t>เลขที่บิล</t>
        </is>
      </c>
      <c r="E316" s="21" t="inlineStr">
        <is>
          <t>หมายเหตุ</t>
        </is>
      </c>
    </row>
    <row r="317">
      <c r="B317" s="22" t="inlineStr">
        <is>
          <t>ต้นทุนสี</t>
        </is>
      </c>
    </row>
    <row r="318">
      <c r="A318" s="157" t="n">
        <v>23682</v>
      </c>
      <c r="B318" s="19" t="inlineStr">
        <is>
          <t>ทาเลนท์อินเตอร์เทรด</t>
        </is>
      </c>
      <c r="C318" s="26" t="n">
        <v>4617.05</v>
      </c>
      <c r="D318" s="20" t="inlineStr">
        <is>
          <t>IV6414395</t>
        </is>
      </c>
      <c r="E318" s="19" t="inlineStr">
        <is>
          <t>โอน 26/2/65</t>
        </is>
      </c>
    </row>
    <row r="319">
      <c r="A319" s="157" t="n">
        <v>23690</v>
      </c>
      <c r="B319" s="19" t="inlineStr">
        <is>
          <t>ทาเลนท์อินเตอร์เทรด</t>
        </is>
      </c>
      <c r="C319" s="26" t="n">
        <v>6109.7</v>
      </c>
      <c r="D319" s="20" t="inlineStr">
        <is>
          <t>IV6415061</t>
        </is>
      </c>
      <c r="E319" s="19" t="inlineStr">
        <is>
          <t>โอน 26/2/65</t>
        </is>
      </c>
    </row>
    <row r="320">
      <c r="A320" s="157" t="n">
        <v>23691</v>
      </c>
      <c r="B320" s="19" t="inlineStr">
        <is>
          <t>ทาเลนท์อินเตอร์เทรด</t>
        </is>
      </c>
      <c r="C320" s="26" t="n">
        <v>1070</v>
      </c>
      <c r="D320" s="20" t="inlineStr">
        <is>
          <t>IV6415146</t>
        </is>
      </c>
      <c r="E320" s="19" t="inlineStr">
        <is>
          <t>โอน 26/2/65</t>
        </is>
      </c>
    </row>
    <row r="321">
      <c r="A321" s="157" t="n">
        <v>23710</v>
      </c>
      <c r="B321" s="19" t="inlineStr">
        <is>
          <t>ทาเลนท์อินเตอร์เทรด</t>
        </is>
      </c>
      <c r="C321" s="26" t="n">
        <v>8795.4</v>
      </c>
      <c r="D321" s="20" t="inlineStr">
        <is>
          <t>IV6416224</t>
        </is>
      </c>
      <c r="E321" s="19" t="inlineStr">
        <is>
          <t>โอน 26/2/65</t>
        </is>
      </c>
    </row>
    <row r="322">
      <c r="A322" s="157" t="n">
        <v>23686</v>
      </c>
      <c r="B322" s="19" t="inlineStr">
        <is>
          <t>ออโต้ สมาร์ทเทค</t>
        </is>
      </c>
      <c r="C322" s="26" t="n">
        <v>1926</v>
      </c>
      <c r="D322" s="20" t="n">
        <v>202111060</v>
      </c>
      <c r="E322" s="19" t="inlineStr">
        <is>
          <t>โอน 20/12/64</t>
        </is>
      </c>
    </row>
    <row r="323">
      <c r="A323" s="157" t="n">
        <v>23691</v>
      </c>
      <c r="B323" s="19" t="inlineStr">
        <is>
          <t>ออโต้ สมาร์ทเทค</t>
        </is>
      </c>
      <c r="C323" s="26" t="n">
        <v>5293.93</v>
      </c>
      <c r="D323" s="20" t="n">
        <v>202111095</v>
      </c>
      <c r="E323" s="19" t="inlineStr">
        <is>
          <t>โอน 25/12/64</t>
        </is>
      </c>
    </row>
    <row r="324">
      <c r="A324" s="157" t="n">
        <v>23706</v>
      </c>
      <c r="B324" s="19" t="inlineStr">
        <is>
          <t>ออโต้ สมาร์ทเทค</t>
        </is>
      </c>
      <c r="C324" s="26" t="n">
        <v>3852</v>
      </c>
      <c r="D324" s="20" t="n">
        <v>202111223</v>
      </c>
      <c r="E324" s="19" t="inlineStr">
        <is>
          <t>โอน 11/1/65</t>
        </is>
      </c>
    </row>
    <row r="325">
      <c r="A325" s="157" t="n">
        <v>23691</v>
      </c>
      <c r="B325" s="19" t="inlineStr">
        <is>
          <t>ห้างหุ้นส่วนจำกัด พี.บี. เพ้นต์</t>
        </is>
      </c>
      <c r="C325" s="26" t="n">
        <v>51360</v>
      </c>
      <c r="D325" s="20" t="inlineStr">
        <is>
          <t>64/690</t>
        </is>
      </c>
      <c r="E325" s="19" t="inlineStr">
        <is>
          <t>โอน 1/2/65</t>
        </is>
      </c>
    </row>
    <row r="326">
      <c r="A326" s="157" t="n">
        <v>23692</v>
      </c>
      <c r="B326" s="19" t="inlineStr">
        <is>
          <t>ช.ทรัพย์สินไทย</t>
        </is>
      </c>
      <c r="C326" s="26" t="n">
        <v>18855.54</v>
      </c>
      <c r="D326" s="20" t="inlineStr">
        <is>
          <t>IV6411168</t>
        </is>
      </c>
      <c r="E326" s="19" t="inlineStr">
        <is>
          <t>โอน 24/1/65</t>
        </is>
      </c>
    </row>
    <row r="327">
      <c r="A327" s="157" t="n">
        <v>23696</v>
      </c>
      <c r="B327" s="19" t="inlineStr">
        <is>
          <t>ช.ทรัพย์สินไทย</t>
        </is>
      </c>
      <c r="C327" s="26" t="n">
        <v>5842.2</v>
      </c>
      <c r="D327" s="20" t="inlineStr">
        <is>
          <t>IV6411213</t>
        </is>
      </c>
      <c r="E327" s="19" t="inlineStr">
        <is>
          <t>โอน 24/1/65</t>
        </is>
      </c>
      <c r="G327" s="44">
        <f>SUM(C326+C327+C328+C329+C330+C331+C332)</f>
        <v/>
      </c>
    </row>
    <row r="328">
      <c r="A328" s="157" t="n">
        <v>23704</v>
      </c>
      <c r="B328" s="19" t="inlineStr">
        <is>
          <t>ช.ทรัพย์สินไทย</t>
        </is>
      </c>
      <c r="C328" s="26" t="n">
        <v>63344</v>
      </c>
      <c r="D328" s="20" t="inlineStr">
        <is>
          <t>IV6411321</t>
        </is>
      </c>
      <c r="E328" s="19" t="inlineStr">
        <is>
          <t>โอน 24/1/65</t>
        </is>
      </c>
    </row>
    <row r="329">
      <c r="A329" s="157" t="n">
        <v>23704</v>
      </c>
      <c r="B329" s="19" t="inlineStr">
        <is>
          <t>ช.ทรัพย์สินไทย</t>
        </is>
      </c>
      <c r="C329" s="26" t="n">
        <v>43797.24</v>
      </c>
      <c r="D329" s="20" t="inlineStr">
        <is>
          <t>IV6411319</t>
        </is>
      </c>
      <c r="E329" s="19" t="inlineStr">
        <is>
          <t>โอน 24/1/65</t>
        </is>
      </c>
    </row>
    <row r="330">
      <c r="A330" s="157" t="n">
        <v>23704</v>
      </c>
      <c r="B330" s="19" t="inlineStr">
        <is>
          <t>ช.ทรัพย์สินไทย</t>
        </is>
      </c>
      <c r="C330" s="26" t="n">
        <v>40407.48</v>
      </c>
      <c r="D330" s="20" t="inlineStr">
        <is>
          <t>IV6411320</t>
        </is>
      </c>
      <c r="E330" s="19" t="inlineStr">
        <is>
          <t>โอน 24/1/65</t>
        </is>
      </c>
    </row>
    <row r="331">
      <c r="A331" s="157" t="n">
        <v>23707</v>
      </c>
      <c r="B331" s="19" t="inlineStr">
        <is>
          <t>ช.ทรัพย์สินไทย</t>
        </is>
      </c>
      <c r="C331" s="26" t="n">
        <v>222560</v>
      </c>
      <c r="D331" s="20" t="inlineStr">
        <is>
          <t>IV6411357</t>
        </is>
      </c>
      <c r="E331" s="19" t="inlineStr">
        <is>
          <t>โอน 24/1/65</t>
        </is>
      </c>
    </row>
    <row r="332">
      <c r="A332" s="157" t="n">
        <v>23710</v>
      </c>
      <c r="B332" s="19" t="inlineStr">
        <is>
          <t>ช.ทรัพย์สินไทย</t>
        </is>
      </c>
      <c r="C332" s="26" t="n">
        <v>11556</v>
      </c>
      <c r="D332" s="20" t="inlineStr">
        <is>
          <t>IV6411367</t>
        </is>
      </c>
      <c r="E332" s="19" t="inlineStr">
        <is>
          <t>โอน 24/1/65</t>
        </is>
      </c>
    </row>
    <row r="334">
      <c r="B334" s="22" t="inlineStr">
        <is>
          <t>ต้นทุนอะไหล่</t>
        </is>
      </c>
    </row>
    <row r="335">
      <c r="B335" s="19" t="inlineStr">
        <is>
          <t>ร้านจิตต์ อะไหล่ Due 1 - 6/11/2564</t>
        </is>
      </c>
      <c r="C335" s="26" t="n">
        <v>36094</v>
      </c>
      <c r="E335" s="19" t="inlineStr">
        <is>
          <t>โอน 8/11/64</t>
        </is>
      </c>
    </row>
    <row r="336">
      <c r="B336" s="19" t="inlineStr">
        <is>
          <t>ร้านจิตต์ อะไหล่ Due 8 - 13/11/2564</t>
        </is>
      </c>
      <c r="C336" s="26" t="n">
        <v>10708</v>
      </c>
      <c r="E336" s="19" t="inlineStr">
        <is>
          <t>โอน 15/11/64</t>
        </is>
      </c>
    </row>
    <row r="337">
      <c r="B337" s="19" t="inlineStr">
        <is>
          <t>ร้านจิตต์ อะไหล่ Due 15 - 20/11/2564</t>
        </is>
      </c>
      <c r="C337" s="26" t="n">
        <v>19691</v>
      </c>
      <c r="E337" s="19" t="inlineStr">
        <is>
          <t>โอน 22/11/64</t>
        </is>
      </c>
    </row>
    <row r="338">
      <c r="B338" s="19" t="inlineStr">
        <is>
          <t>ร้านจิตต์ อะไหล่ Due 22 - 27/11/2564</t>
        </is>
      </c>
      <c r="C338" s="26" t="n">
        <v>39621</v>
      </c>
      <c r="E338" s="19" t="inlineStr">
        <is>
          <t>โอน 29/11/64</t>
        </is>
      </c>
    </row>
    <row r="339">
      <c r="B339" s="19" t="inlineStr">
        <is>
          <t>ศรีสยาม Due 1 - 7/11/2564</t>
        </is>
      </c>
      <c r="C339" s="26" t="n">
        <v>68921.13</v>
      </c>
      <c r="E339" s="19" t="inlineStr">
        <is>
          <t>โอน 8/12/64</t>
        </is>
      </c>
    </row>
    <row r="340">
      <c r="B340" s="19" t="inlineStr">
        <is>
          <t>ศรีสยาม Due 8 - 14/11/2564</t>
        </is>
      </c>
      <c r="C340" s="26" t="n">
        <v>57159.41</v>
      </c>
      <c r="E340" s="19" t="inlineStr">
        <is>
          <t>โอน 14/12/64</t>
        </is>
      </c>
    </row>
    <row r="341">
      <c r="B341" s="19" t="inlineStr">
        <is>
          <t>ศรีสยาม Due 15 - 21/11/2564</t>
        </is>
      </c>
      <c r="C341" s="26" t="n">
        <v>37961</v>
      </c>
      <c r="E341" s="19" t="inlineStr">
        <is>
          <t>โอน 22/12/64</t>
        </is>
      </c>
    </row>
    <row r="342">
      <c r="B342" s="19" t="inlineStr">
        <is>
          <t>ศรีสยาม Due 22 - 28/11/2564</t>
        </is>
      </c>
      <c r="C342" s="26" t="n">
        <v>57155.33</v>
      </c>
      <c r="E342" s="19" t="inlineStr">
        <is>
          <t>โอน 28/12/64</t>
        </is>
      </c>
    </row>
    <row r="343">
      <c r="B343" s="19" t="inlineStr">
        <is>
          <t>ร้านเจ๊แอน</t>
        </is>
      </c>
      <c r="C343" s="26" t="n">
        <v>4380</v>
      </c>
      <c r="E343" s="19" t="inlineStr">
        <is>
          <t>โอน 1/12/64</t>
        </is>
      </c>
    </row>
    <row r="344">
      <c r="B344" s="19" t="inlineStr">
        <is>
          <t>ร้านโสภา</t>
        </is>
      </c>
      <c r="C344" s="26" t="n">
        <v>7550</v>
      </c>
      <c r="E344" s="19" t="inlineStr">
        <is>
          <t>โอน 25/1/65</t>
        </is>
      </c>
    </row>
    <row r="346" customFormat="1" s="28">
      <c r="A346" s="102" t="inlineStr">
        <is>
          <t>รายการซื้อสินค้าเข้า ประจำเดือน 12/2564</t>
        </is>
      </c>
      <c r="B346" s="158" t="n"/>
      <c r="C346" s="158" t="n"/>
      <c r="D346" s="158" t="n"/>
      <c r="E346" s="158" t="n"/>
      <c r="F346" s="27" t="n"/>
      <c r="G346" s="27" t="n"/>
      <c r="H346" s="27" t="n"/>
      <c r="I346" s="27" t="n"/>
      <c r="J346" s="27" t="n"/>
    </row>
    <row r="347" customFormat="1" s="20">
      <c r="A347" s="159" t="inlineStr">
        <is>
          <t>ว/ด/ป</t>
        </is>
      </c>
      <c r="B347" s="21" t="inlineStr">
        <is>
          <t>ชื่อร้านค้า</t>
        </is>
      </c>
      <c r="C347" s="25" t="inlineStr">
        <is>
          <t>ยอดรวม</t>
        </is>
      </c>
      <c r="D347" s="21" t="inlineStr">
        <is>
          <t>เลขที่บิล</t>
        </is>
      </c>
      <c r="E347" s="21" t="inlineStr">
        <is>
          <t>หมายเหตุ</t>
        </is>
      </c>
    </row>
    <row r="348">
      <c r="B348" s="22" t="inlineStr">
        <is>
          <t>ต้นทุนสี</t>
        </is>
      </c>
    </row>
    <row r="349">
      <c r="A349" s="157" t="n">
        <v>24083</v>
      </c>
      <c r="B349" s="19" t="inlineStr">
        <is>
          <t>ออโต้ สมาร์ทเทค</t>
        </is>
      </c>
      <c r="C349" s="26" t="n">
        <v>14659</v>
      </c>
      <c r="D349" s="20" t="n">
        <v>202112058</v>
      </c>
      <c r="E349" s="19" t="inlineStr">
        <is>
          <t>โอน 21/1/65</t>
        </is>
      </c>
    </row>
    <row r="350">
      <c r="A350" s="157" t="n">
        <v>23733</v>
      </c>
      <c r="B350" s="19" t="inlineStr">
        <is>
          <t>ช.ทรัพย์สินไทย</t>
        </is>
      </c>
      <c r="C350" s="26" t="n">
        <v>241691.6</v>
      </c>
      <c r="D350" s="20" t="inlineStr">
        <is>
          <t>IV6412301</t>
        </is>
      </c>
      <c r="E350" s="19" t="inlineStr">
        <is>
          <t>โอน 23/2/65</t>
        </is>
      </c>
      <c r="G350" s="44">
        <f>SUM(C350+C351)</f>
        <v/>
      </c>
    </row>
    <row r="351">
      <c r="A351" s="157" t="n">
        <v>23733</v>
      </c>
      <c r="B351" s="19" t="inlineStr">
        <is>
          <t>ช.ทรัพย์สินไทย</t>
        </is>
      </c>
      <c r="C351" s="26" t="n">
        <v>60611.22</v>
      </c>
      <c r="D351" s="20" t="inlineStr">
        <is>
          <t>IV6412302</t>
        </is>
      </c>
      <c r="E351" s="19" t="inlineStr">
        <is>
          <t>โอน 23/2/65</t>
        </is>
      </c>
      <c r="F351" s="26" t="n"/>
      <c r="G351" s="26" t="n"/>
    </row>
    <row r="352">
      <c r="A352" s="157" t="n">
        <v>23720</v>
      </c>
      <c r="B352" s="19" t="inlineStr">
        <is>
          <t>ห้างหุ้นส่วนจำกัด พี.บี. เพ้นต์</t>
        </is>
      </c>
      <c r="C352" s="26" t="n">
        <v>61632</v>
      </c>
      <c r="D352" s="20" t="inlineStr">
        <is>
          <t>64/756</t>
        </is>
      </c>
      <c r="E352" s="19" t="inlineStr">
        <is>
          <t>โอน 6/3/65</t>
        </is>
      </c>
    </row>
    <row r="353">
      <c r="A353" s="157" t="n">
        <v>23714</v>
      </c>
      <c r="B353" s="19" t="inlineStr">
        <is>
          <t>ทาเลนท์อินเตอร์เทรด</t>
        </is>
      </c>
      <c r="C353" s="26" t="n">
        <v>2214.9</v>
      </c>
      <c r="D353" s="20" t="inlineStr">
        <is>
          <t>IV6416686</t>
        </is>
      </c>
      <c r="E353" s="19" t="inlineStr">
        <is>
          <t>โอน 23/3/65</t>
        </is>
      </c>
      <c r="F353" s="19" t="inlineStr">
        <is>
          <t>ได้ใบเสร็จแล้ว 30/3/65</t>
        </is>
      </c>
    </row>
    <row r="354">
      <c r="A354" s="157" t="n">
        <v>23718</v>
      </c>
      <c r="B354" s="19" t="inlineStr">
        <is>
          <t>ทาเลนท์อินเตอร์เทรด</t>
        </is>
      </c>
      <c r="C354" s="26" t="n">
        <v>5339.3</v>
      </c>
      <c r="D354" s="20" t="inlineStr">
        <is>
          <t>IV6416831</t>
        </is>
      </c>
      <c r="E354" s="19" t="inlineStr">
        <is>
          <t>โอน 23/3/65</t>
        </is>
      </c>
      <c r="F354" s="19" t="inlineStr">
        <is>
          <t>ได้ใบเสร็จแล้ว 30/3/65</t>
        </is>
      </c>
    </row>
    <row r="356">
      <c r="B356" s="22" t="inlineStr">
        <is>
          <t>ต้นทุนอะไหล่</t>
        </is>
      </c>
    </row>
    <row r="357">
      <c r="B357" s="19" t="inlineStr">
        <is>
          <t>ร้านจิตต์ อะไหล่ Due 29 - 4/12/2564</t>
        </is>
      </c>
      <c r="C357" s="26" t="n">
        <v>31539</v>
      </c>
      <c r="E357" s="19" t="inlineStr">
        <is>
          <t>โอน 6/12/64</t>
        </is>
      </c>
    </row>
    <row r="358">
      <c r="B358" s="19" t="inlineStr">
        <is>
          <t>ร้านจิตต์ อะไหล่ Due 6 - 11/12/2564</t>
        </is>
      </c>
      <c r="C358" s="26" t="n">
        <v>36809</v>
      </c>
      <c r="E358" s="19" t="inlineStr">
        <is>
          <t>โอน 13/12/64</t>
        </is>
      </c>
    </row>
    <row r="359">
      <c r="B359" s="19" t="inlineStr">
        <is>
          <t>ร้านจิตต์ อะไหล่ Due 13 - 18/12/2564</t>
        </is>
      </c>
      <c r="C359" s="26" t="n">
        <v>20734</v>
      </c>
      <c r="E359" s="19" t="inlineStr">
        <is>
          <t>โอน 20/12/64</t>
        </is>
      </c>
    </row>
    <row r="360">
      <c r="B360" s="19" t="inlineStr">
        <is>
          <t>ร้านจิตต์ อะไหล่ Due 20 - 25/12/2564</t>
        </is>
      </c>
      <c r="C360" s="26" t="n">
        <v>7084</v>
      </c>
      <c r="E360" s="19" t="inlineStr">
        <is>
          <t>โอน 27/12/64</t>
        </is>
      </c>
    </row>
    <row r="361">
      <c r="B361" s="19" t="inlineStr">
        <is>
          <t>ศรีสยาม Due 29/11 - 5/12/2564</t>
        </is>
      </c>
      <c r="C361" s="26" t="n">
        <v>92900.81</v>
      </c>
      <c r="E361" s="19" t="inlineStr">
        <is>
          <t>โอน 11/1/65</t>
        </is>
      </c>
    </row>
    <row r="362">
      <c r="B362" s="19" t="inlineStr">
        <is>
          <t>ศรีสยาม Due 6 - 12/12/2564</t>
        </is>
      </c>
      <c r="C362" s="26" t="n">
        <v>42747.37</v>
      </c>
      <c r="E362" s="19" t="inlineStr">
        <is>
          <t>โอน 11/1/65</t>
        </is>
      </c>
    </row>
    <row r="363">
      <c r="B363" s="19" t="inlineStr">
        <is>
          <t>ศรีสยาม Due 13 - 19/12/2564</t>
        </is>
      </c>
      <c r="C363" s="26" t="n">
        <v>32044.6</v>
      </c>
      <c r="E363" s="19" t="inlineStr">
        <is>
          <t>โอน 20/1/65</t>
        </is>
      </c>
    </row>
    <row r="364">
      <c r="B364" s="19" t="inlineStr">
        <is>
          <t>ศรีสยาม Due 20 - 26/12/2564</t>
        </is>
      </c>
      <c r="C364" s="26" t="n">
        <v>21857.53</v>
      </c>
      <c r="E364" s="19" t="inlineStr">
        <is>
          <t>โอน 29/1/65</t>
        </is>
      </c>
    </row>
    <row r="365">
      <c r="B365" s="19" t="inlineStr">
        <is>
          <t>ศรีสยาม Due 27/12 - 2/1/2565</t>
        </is>
      </c>
      <c r="C365" s="41" t="n">
        <v>-3367.74</v>
      </c>
      <c r="E365" s="19" t="inlineStr">
        <is>
          <t>โอน 9/2/65</t>
        </is>
      </c>
    </row>
    <row r="366">
      <c r="B366" s="19" t="inlineStr">
        <is>
          <t>ร้านเจ๊แอน</t>
        </is>
      </c>
      <c r="C366" s="26" t="n">
        <v>7750</v>
      </c>
      <c r="E366" s="19" t="inlineStr">
        <is>
          <t>โอน 25/12/64</t>
        </is>
      </c>
    </row>
    <row r="367">
      <c r="B367" s="19" t="inlineStr">
        <is>
          <t>ร้านโสภา</t>
        </is>
      </c>
      <c r="C367" s="26" t="n">
        <v>5250</v>
      </c>
      <c r="E367" s="19" t="inlineStr">
        <is>
          <t>โอน 25/1/65</t>
        </is>
      </c>
    </row>
    <row r="369" customFormat="1" s="28">
      <c r="A369" s="102" t="inlineStr">
        <is>
          <t>รายการซื้อสินค้าเข้า ประจำเดือน 1/2565</t>
        </is>
      </c>
      <c r="B369" s="158" t="n"/>
      <c r="C369" s="158" t="n"/>
      <c r="D369" s="158" t="n"/>
      <c r="E369" s="158" t="n"/>
      <c r="F369" s="27" t="n"/>
      <c r="G369" s="27" t="n"/>
      <c r="H369" s="27" t="n"/>
      <c r="I369" s="27" t="n"/>
      <c r="J369" s="27" t="n"/>
    </row>
    <row r="370" customFormat="1" s="20">
      <c r="A370" s="159" t="inlineStr">
        <is>
          <t>ว/ด/ป</t>
        </is>
      </c>
      <c r="B370" s="21" t="inlineStr">
        <is>
          <t>ชื่อร้านค้า</t>
        </is>
      </c>
      <c r="C370" s="25" t="inlineStr">
        <is>
          <t>ยอดรวม</t>
        </is>
      </c>
      <c r="D370" s="21" t="inlineStr">
        <is>
          <t>เลขที่บิล</t>
        </is>
      </c>
      <c r="E370" s="21" t="inlineStr">
        <is>
          <t>หมายเหตุ</t>
        </is>
      </c>
    </row>
    <row r="371">
      <c r="B371" s="22" t="inlineStr">
        <is>
          <t>ต้นทุนสี</t>
        </is>
      </c>
    </row>
    <row r="372">
      <c r="A372" s="157" t="n">
        <v>23764</v>
      </c>
      <c r="B372" s="19" t="inlineStr">
        <is>
          <t>ทาเลนท์อินเตอร์เทรด</t>
        </is>
      </c>
      <c r="C372" s="26" t="n">
        <v>10700</v>
      </c>
      <c r="D372" s="20" t="inlineStr">
        <is>
          <t>IV6501434</t>
        </is>
      </c>
      <c r="E372" s="19" t="inlineStr">
        <is>
          <t>โอน 22/4/65</t>
        </is>
      </c>
    </row>
    <row r="373">
      <c r="A373" s="157" t="n">
        <v>23749</v>
      </c>
      <c r="B373" s="19" t="inlineStr">
        <is>
          <t>ทาเลนท์อินเตอร์เทรด</t>
        </is>
      </c>
      <c r="C373" s="26" t="n">
        <v>1016.5</v>
      </c>
      <c r="D373" s="20" t="inlineStr">
        <is>
          <t>IV6500379</t>
        </is>
      </c>
      <c r="E373" s="19" t="inlineStr">
        <is>
          <t>โอน 22/4/65</t>
        </is>
      </c>
    </row>
    <row r="374">
      <c r="A374" s="157" t="n">
        <v>23760</v>
      </c>
      <c r="B374" s="19" t="inlineStr">
        <is>
          <t>ทาเลนท์อินเตอร์เทรด</t>
        </is>
      </c>
      <c r="C374" s="26" t="n">
        <v>8859.6</v>
      </c>
      <c r="D374" s="20" t="inlineStr">
        <is>
          <t>IV6501154</t>
        </is>
      </c>
      <c r="E374" s="19" t="inlineStr">
        <is>
          <t>โอน 22/4/65</t>
        </is>
      </c>
    </row>
    <row r="375">
      <c r="A375" s="157" t="n">
        <v>23753</v>
      </c>
      <c r="B375" s="19" t="inlineStr">
        <is>
          <t>ออโต้ สมาร์ทเทค</t>
        </is>
      </c>
      <c r="C375" s="26" t="n">
        <v>6021.75</v>
      </c>
      <c r="D375" s="20" t="n">
        <v>202201071</v>
      </c>
      <c r="E375" s="19" t="inlineStr">
        <is>
          <t>โอน 26/2/65</t>
        </is>
      </c>
    </row>
    <row r="376">
      <c r="A376" s="157" t="n">
        <v>23762</v>
      </c>
      <c r="B376" s="19" t="inlineStr">
        <is>
          <t>ออโต้ สมาร์ทเทค</t>
        </is>
      </c>
      <c r="C376" s="26" t="n">
        <v>9041.5</v>
      </c>
      <c r="D376" s="20" t="n">
        <v>202201143</v>
      </c>
      <c r="E376" s="19" t="inlineStr">
        <is>
          <t>โอน 8/3/65</t>
        </is>
      </c>
    </row>
    <row r="377">
      <c r="A377" s="157" t="n">
        <v>23763</v>
      </c>
      <c r="B377" s="19" t="inlineStr">
        <is>
          <t>ช.ทรัพย์สินไทย</t>
        </is>
      </c>
      <c r="C377" s="26" t="n">
        <v>48429.27</v>
      </c>
      <c r="D377" s="20" t="inlineStr">
        <is>
          <t>IV6501224</t>
        </is>
      </c>
      <c r="E377" s="19" t="inlineStr">
        <is>
          <t>โอน 25/3/65</t>
        </is>
      </c>
    </row>
    <row r="378">
      <c r="A378" s="157" t="n">
        <v>23763</v>
      </c>
      <c r="B378" s="19" t="inlineStr">
        <is>
          <t>ช.ทรัพย์สินไทย</t>
        </is>
      </c>
      <c r="C378" s="26" t="n">
        <v>38539.26</v>
      </c>
      <c r="D378" s="20" t="inlineStr">
        <is>
          <t>IV6501225</t>
        </is>
      </c>
      <c r="E378" s="19" t="inlineStr">
        <is>
          <t>โอน 25/3/65</t>
        </is>
      </c>
    </row>
    <row r="379">
      <c r="A379" s="157" t="n">
        <v>23763</v>
      </c>
      <c r="B379" s="19" t="inlineStr">
        <is>
          <t>ช.ทรัพย์สินไทย</t>
        </is>
      </c>
      <c r="C379" s="26" t="n">
        <v>25294.8</v>
      </c>
      <c r="D379" s="20" t="inlineStr">
        <is>
          <t>IV6501226</t>
        </is>
      </c>
      <c r="E379" s="19" t="inlineStr">
        <is>
          <t>โอน 25/3/65</t>
        </is>
      </c>
    </row>
    <row r="380">
      <c r="H380" s="26" t="n"/>
    </row>
    <row r="381">
      <c r="B381" s="22" t="inlineStr">
        <is>
          <t>ต้นทุนอะไหล่</t>
        </is>
      </c>
    </row>
    <row r="382">
      <c r="B382" s="19" t="inlineStr">
        <is>
          <t>ร้านจิตต์ อะไหล่ Due 28/12 - 8/1/2565</t>
        </is>
      </c>
      <c r="C382" s="26" t="n">
        <v>18657</v>
      </c>
      <c r="E382" s="19" t="inlineStr">
        <is>
          <t>โอน 11/1/65</t>
        </is>
      </c>
    </row>
    <row r="383">
      <c r="B383" s="19" t="inlineStr">
        <is>
          <t>ร้านจิตต์ อะไหล่ Due 10 - 15/1/2565</t>
        </is>
      </c>
      <c r="C383" s="26" t="n">
        <v>23859</v>
      </c>
      <c r="E383" s="19" t="inlineStr">
        <is>
          <t>โอน 17/1/65</t>
        </is>
      </c>
    </row>
    <row r="384">
      <c r="B384" s="19" t="inlineStr">
        <is>
          <t>ร้านจิตต์ อะไหล่ Due 16 - 22/1/2565</t>
        </is>
      </c>
      <c r="C384" s="26" t="n">
        <v>29732</v>
      </c>
      <c r="E384" s="19" t="inlineStr">
        <is>
          <t>โอน 24/1/65</t>
        </is>
      </c>
    </row>
    <row r="385">
      <c r="B385" s="19" t="inlineStr">
        <is>
          <t>ร้านจิตต์ อะไหล่ Due 24 - 29/1/2565</t>
        </is>
      </c>
      <c r="C385" s="26" t="n">
        <v>34397</v>
      </c>
      <c r="E385" s="19" t="inlineStr">
        <is>
          <t>โอน 2/2/65</t>
        </is>
      </c>
    </row>
    <row r="386">
      <c r="B386" s="19" t="inlineStr">
        <is>
          <t>ศรีสยาม Due 3 - 9/1/2565</t>
        </is>
      </c>
      <c r="C386" s="26" t="n">
        <v>38579.46</v>
      </c>
      <c r="E386" s="19" t="inlineStr">
        <is>
          <t>โอน 9/2/65</t>
        </is>
      </c>
    </row>
    <row r="387">
      <c r="B387" s="19" t="inlineStr">
        <is>
          <t>ศรีสยาม Due 10 - 16/1/2565</t>
        </is>
      </c>
      <c r="C387" s="26" t="n">
        <v>107263.33</v>
      </c>
      <c r="E387" s="19" t="inlineStr">
        <is>
          <t>โอน 16/2/65</t>
        </is>
      </c>
    </row>
    <row r="388">
      <c r="B388" s="19" t="inlineStr">
        <is>
          <t>ศรีสยาม Due 17 - 23/1/2565</t>
        </is>
      </c>
      <c r="C388" s="26" t="n">
        <v>42358.03</v>
      </c>
      <c r="E388" s="19" t="inlineStr">
        <is>
          <t>โอน 23/2/65</t>
        </is>
      </c>
    </row>
    <row r="389">
      <c r="B389" s="19" t="inlineStr">
        <is>
          <t>ศรีสยาม Due 24 - 30/1/2565</t>
        </is>
      </c>
      <c r="C389" s="26" t="n">
        <v>28483.14</v>
      </c>
      <c r="E389" s="19" t="inlineStr">
        <is>
          <t>โอน 7/3/65</t>
        </is>
      </c>
    </row>
    <row r="390">
      <c r="B390" s="19" t="inlineStr">
        <is>
          <t>ร้านเจ๊แอน</t>
        </is>
      </c>
      <c r="C390" s="26" t="n">
        <v>6970</v>
      </c>
      <c r="E390" s="19" t="inlineStr">
        <is>
          <t>โอน 2/2/65</t>
        </is>
      </c>
    </row>
    <row r="391">
      <c r="B391" s="19" t="inlineStr">
        <is>
          <t>ร้านโสภา</t>
        </is>
      </c>
      <c r="C391" s="26" t="n">
        <v>3500</v>
      </c>
      <c r="E391" s="19" t="inlineStr">
        <is>
          <t>โอน 3/5/65</t>
        </is>
      </c>
    </row>
    <row r="393" customFormat="1" s="28">
      <c r="A393" s="102" t="inlineStr">
        <is>
          <t>รายการซื้อสินค้าเข้า ประจำเดือน 2/2565</t>
        </is>
      </c>
      <c r="B393" s="158" t="n"/>
      <c r="C393" s="158" t="n"/>
      <c r="D393" s="158" t="n"/>
      <c r="E393" s="158" t="n"/>
      <c r="F393" s="27" t="n"/>
      <c r="G393" s="27" t="n"/>
      <c r="H393" s="27" t="n"/>
      <c r="I393" s="27" t="n"/>
      <c r="J393" s="27" t="n"/>
    </row>
    <row r="394" customFormat="1" s="20">
      <c r="A394" s="159" t="inlineStr">
        <is>
          <t>ว/ด/ป</t>
        </is>
      </c>
      <c r="B394" s="21" t="inlineStr">
        <is>
          <t>ชื่อร้านค้า</t>
        </is>
      </c>
      <c r="C394" s="25" t="inlineStr">
        <is>
          <t>ยอดรวม</t>
        </is>
      </c>
      <c r="D394" s="21" t="inlineStr">
        <is>
          <t>เลขที่บิล</t>
        </is>
      </c>
      <c r="E394" s="21" t="inlineStr">
        <is>
          <t>หมายเหตุ</t>
        </is>
      </c>
    </row>
    <row r="395">
      <c r="B395" s="22" t="inlineStr">
        <is>
          <t>ต้นทุนสี</t>
        </is>
      </c>
    </row>
    <row r="396">
      <c r="A396" s="157" t="n">
        <v>23775</v>
      </c>
      <c r="B396" s="19" t="inlineStr">
        <is>
          <t>ทาเลนท์อินเตอร์เทรด</t>
        </is>
      </c>
      <c r="C396" s="26" t="n">
        <v>3017.4</v>
      </c>
      <c r="D396" s="20" t="inlineStr">
        <is>
          <t>IV6502098</t>
        </is>
      </c>
      <c r="E396" s="19" t="inlineStr">
        <is>
          <t>โอน 25/5/65</t>
        </is>
      </c>
    </row>
    <row r="397">
      <c r="A397" s="157" t="n">
        <v>23789</v>
      </c>
      <c r="B397" s="19" t="inlineStr">
        <is>
          <t>ทาเลนท์อินเตอร์เทรด</t>
        </is>
      </c>
      <c r="C397" s="26" t="n">
        <v>5519.06</v>
      </c>
      <c r="D397" s="20" t="inlineStr">
        <is>
          <t>IV6503189</t>
        </is>
      </c>
      <c r="E397" s="19" t="inlineStr">
        <is>
          <t>โอน 25/5/65</t>
        </is>
      </c>
    </row>
    <row r="398">
      <c r="A398" s="157" t="n">
        <v>23801</v>
      </c>
      <c r="B398" s="19" t="inlineStr">
        <is>
          <t>ทาเลนท์อินเตอร์เทรด</t>
        </is>
      </c>
      <c r="C398" s="26" t="n">
        <v>4804.3</v>
      </c>
      <c r="D398" s="20" t="inlineStr">
        <is>
          <t>IV6503899</t>
        </is>
      </c>
      <c r="E398" s="19" t="inlineStr">
        <is>
          <t>โอน 25/5/65</t>
        </is>
      </c>
    </row>
    <row r="399">
      <c r="A399" s="157" t="n">
        <v>23784</v>
      </c>
      <c r="B399" s="19" t="inlineStr">
        <is>
          <t>ไทยนครพัฒนา</t>
        </is>
      </c>
      <c r="C399" s="26" t="n">
        <v>405.53</v>
      </c>
      <c r="D399" s="20" t="inlineStr">
        <is>
          <t>INV22020427</t>
        </is>
      </c>
      <c r="E399" s="19" t="inlineStr">
        <is>
          <t>โอน 9/4/65</t>
        </is>
      </c>
    </row>
    <row r="400">
      <c r="A400" s="157" t="n">
        <v>23784</v>
      </c>
      <c r="B400" s="19" t="inlineStr">
        <is>
          <t>ไทยนครพัฒนา</t>
        </is>
      </c>
      <c r="C400" s="26" t="n">
        <v>405.53</v>
      </c>
      <c r="D400" s="20" t="inlineStr">
        <is>
          <t>INN22020466</t>
        </is>
      </c>
      <c r="E400" s="19" t="inlineStr">
        <is>
          <t>โอน 9/4/65</t>
        </is>
      </c>
    </row>
    <row r="401">
      <c r="A401" s="157" t="n">
        <v>23789</v>
      </c>
      <c r="B401" s="19" t="inlineStr">
        <is>
          <t>ไทยนครพัฒนา</t>
        </is>
      </c>
      <c r="C401" s="26" t="n">
        <v>27729.05</v>
      </c>
      <c r="D401" s="20" t="inlineStr">
        <is>
          <t>INV22020634</t>
        </is>
      </c>
      <c r="E401" s="19" t="inlineStr">
        <is>
          <t>โอน 9/4/65</t>
        </is>
      </c>
    </row>
    <row r="402">
      <c r="A402" s="157" t="n">
        <v>23794</v>
      </c>
      <c r="B402" s="19" t="inlineStr">
        <is>
          <t>ห้างหุ้นส่วนจำกัด พี.บี. เพ้นต์</t>
        </is>
      </c>
      <c r="C402" s="26" t="n">
        <v>61632</v>
      </c>
      <c r="D402" s="20" t="inlineStr">
        <is>
          <t>65/113</t>
        </is>
      </c>
      <c r="E402" s="19" t="inlineStr">
        <is>
          <t>โอน 30/4/65</t>
        </is>
      </c>
    </row>
    <row r="403">
      <c r="A403" s="157" t="n">
        <v>23787</v>
      </c>
      <c r="B403" s="19" t="inlineStr">
        <is>
          <t>ออโต้ สมาร์ทเทค</t>
        </is>
      </c>
      <c r="C403" s="26" t="n">
        <v>4708</v>
      </c>
      <c r="D403" s="20" t="n">
        <v>202202131</v>
      </c>
      <c r="E403" s="19" t="inlineStr">
        <is>
          <t>โอน 31/3/65</t>
        </is>
      </c>
    </row>
    <row r="404">
      <c r="A404" s="157" t="n">
        <v>23796</v>
      </c>
      <c r="B404" s="19" t="inlineStr">
        <is>
          <t>ออโต้ สมาร์ทเทค</t>
        </is>
      </c>
      <c r="C404" s="26" t="n">
        <v>3287.36</v>
      </c>
      <c r="D404" s="20" t="n">
        <v>202202199</v>
      </c>
      <c r="E404" s="19" t="inlineStr">
        <is>
          <t>โอน 9/4/65</t>
        </is>
      </c>
    </row>
    <row r="405">
      <c r="A405" s="157" t="n">
        <v>23795</v>
      </c>
      <c r="B405" s="19" t="inlineStr">
        <is>
          <t>ช.ทรัพย์สินไทย</t>
        </is>
      </c>
      <c r="C405" s="26" t="n">
        <v>23047.8</v>
      </c>
      <c r="D405" s="20" t="inlineStr">
        <is>
          <t>IV6502260</t>
        </is>
      </c>
      <c r="E405" s="19" t="inlineStr">
        <is>
          <t>โอน 20/4/65</t>
        </is>
      </c>
    </row>
    <row r="406">
      <c r="A406" s="157" t="n">
        <v>23795</v>
      </c>
      <c r="B406" s="19" t="inlineStr">
        <is>
          <t>ช.ทรัพย์สินไทย</t>
        </is>
      </c>
      <c r="C406" s="26" t="n">
        <v>41620.86</v>
      </c>
      <c r="D406" s="20" t="inlineStr">
        <is>
          <t>IV6502258</t>
        </is>
      </c>
      <c r="E406" s="19" t="inlineStr">
        <is>
          <t>โอน 20/4/65</t>
        </is>
      </c>
    </row>
    <row r="407">
      <c r="A407" s="157" t="n">
        <v>23795</v>
      </c>
      <c r="B407" s="19" t="inlineStr">
        <is>
          <t>ช.ทรัพย์สินไทย</t>
        </is>
      </c>
      <c r="C407" s="26" t="n">
        <v>28485.54</v>
      </c>
      <c r="D407" s="20" t="inlineStr">
        <is>
          <t>IV6502259</t>
        </is>
      </c>
      <c r="E407" s="19" t="inlineStr">
        <is>
          <t>โอน 20/4/65</t>
        </is>
      </c>
    </row>
    <row r="409">
      <c r="B409" s="22" t="inlineStr">
        <is>
          <t>ต้นทุนอะไหล่</t>
        </is>
      </c>
    </row>
    <row r="410">
      <c r="B410" s="19" t="inlineStr">
        <is>
          <t>ร้านจิตต์ อะไหล่ Due 31/1 - 5/2/2565</t>
        </is>
      </c>
      <c r="C410" s="26" t="n">
        <v>27488</v>
      </c>
      <c r="E410" s="19" t="inlineStr">
        <is>
          <t>โอน 7/2/65</t>
        </is>
      </c>
    </row>
    <row r="411">
      <c r="B411" s="19" t="inlineStr">
        <is>
          <t>ร้านจิตต์ อะไหล่ Due 7 - 12/2/2565</t>
        </is>
      </c>
      <c r="C411" s="26" t="n">
        <v>15692</v>
      </c>
      <c r="E411" s="19" t="inlineStr">
        <is>
          <t>โอน 14/2/65</t>
        </is>
      </c>
    </row>
    <row r="412">
      <c r="B412" s="19" t="inlineStr">
        <is>
          <t>ร้านจิตต์ อะไหล่ Due 13 - 19/2/2565</t>
        </is>
      </c>
      <c r="C412" s="26" t="n">
        <v>19950</v>
      </c>
      <c r="E412" s="19" t="inlineStr">
        <is>
          <t>โอน 21/2/65</t>
        </is>
      </c>
    </row>
    <row r="413">
      <c r="B413" s="19" t="inlineStr">
        <is>
          <t>ร้านจิตต์ อะไหล่ Due 21 - 26/2/2565</t>
        </is>
      </c>
      <c r="C413" s="26" t="n">
        <v>36193</v>
      </c>
      <c r="E413" s="19" t="inlineStr">
        <is>
          <t>โอน 28/2/65</t>
        </is>
      </c>
    </row>
    <row r="414">
      <c r="B414" s="19" t="inlineStr">
        <is>
          <t>ศรีสยาม Due 31/1 - 6/2/2565</t>
        </is>
      </c>
      <c r="C414" s="26" t="n">
        <v>52128.47</v>
      </c>
      <c r="E414" s="19" t="inlineStr">
        <is>
          <t>โอน 7/3/65</t>
        </is>
      </c>
    </row>
    <row r="415">
      <c r="B415" s="19" t="inlineStr">
        <is>
          <t>ศรีสยาม Due 7 - 13/2/2565</t>
        </is>
      </c>
      <c r="C415" s="26" t="n">
        <v>24797.25</v>
      </c>
      <c r="E415" s="19" t="inlineStr">
        <is>
          <t>โอน 14/3/65</t>
        </is>
      </c>
    </row>
    <row r="416">
      <c r="B416" s="19" t="inlineStr">
        <is>
          <t>ศรีสยาม Due 14 - 20/2/2565</t>
        </is>
      </c>
      <c r="C416" s="26" t="n">
        <v>19115.38</v>
      </c>
      <c r="E416" s="19" t="inlineStr">
        <is>
          <t>โอน 22/3/65</t>
        </is>
      </c>
    </row>
    <row r="417">
      <c r="B417" s="19" t="inlineStr">
        <is>
          <t>ศรีสยาม Due 21 - 27/2/2565</t>
        </is>
      </c>
      <c r="C417" s="26" t="n">
        <v>45299.88</v>
      </c>
      <c r="E417" s="19" t="inlineStr">
        <is>
          <t>โอน 27/3/65</t>
        </is>
      </c>
    </row>
    <row r="418">
      <c r="B418" s="19" t="inlineStr">
        <is>
          <t>ศรีสยาม Due 28/2 - 6/3/2565</t>
        </is>
      </c>
      <c r="C418" s="26" t="n">
        <v>42859.68</v>
      </c>
      <c r="E418" s="19" t="inlineStr">
        <is>
          <t>โอน 6/4/65</t>
        </is>
      </c>
    </row>
    <row r="419">
      <c r="B419" s="19" t="inlineStr">
        <is>
          <t>ร้านเจ๊แอน</t>
        </is>
      </c>
      <c r="C419" s="26" t="n">
        <v>14220</v>
      </c>
      <c r="E419" s="19" t="inlineStr">
        <is>
          <t>โอน 1/3/65</t>
        </is>
      </c>
    </row>
    <row r="420">
      <c r="B420" s="19" t="inlineStr">
        <is>
          <t>ร้านโสภา</t>
        </is>
      </c>
      <c r="C420" s="26" t="n">
        <v>5600</v>
      </c>
      <c r="E420" s="19" t="inlineStr">
        <is>
          <t>โอน 3/5/65</t>
        </is>
      </c>
    </row>
    <row r="422" customFormat="1" s="28">
      <c r="A422" s="102" t="inlineStr">
        <is>
          <t>รายการซื้อสินค้าเข้า ประจำเดือน 3/2565</t>
        </is>
      </c>
      <c r="B422" s="158" t="n"/>
      <c r="C422" s="158" t="n"/>
      <c r="D422" s="158" t="n"/>
      <c r="E422" s="158" t="n"/>
      <c r="F422" s="27" t="n"/>
      <c r="G422" s="27" t="n"/>
      <c r="H422" s="27" t="n"/>
      <c r="I422" s="27" t="n"/>
      <c r="J422" s="27" t="n"/>
    </row>
    <row r="423" customFormat="1" s="20">
      <c r="A423" s="159" t="inlineStr">
        <is>
          <t>ว/ด/ป</t>
        </is>
      </c>
      <c r="B423" s="21" t="inlineStr">
        <is>
          <t>ชื่อร้านค้า</t>
        </is>
      </c>
      <c r="C423" s="25" t="inlineStr">
        <is>
          <t>ยอดรวม</t>
        </is>
      </c>
      <c r="D423" s="21" t="inlineStr">
        <is>
          <t>เลขที่บิล</t>
        </is>
      </c>
      <c r="E423" s="21" t="inlineStr">
        <is>
          <t>หมายเหตุ</t>
        </is>
      </c>
    </row>
    <row r="424">
      <c r="B424" s="22" t="inlineStr">
        <is>
          <t>ต้นทุนสี</t>
        </is>
      </c>
    </row>
    <row r="425">
      <c r="A425" s="157" t="n">
        <v>23826</v>
      </c>
      <c r="B425" s="19" t="inlineStr">
        <is>
          <t>ไทยนครพัฒนา</t>
        </is>
      </c>
      <c r="C425" s="26" t="n">
        <v>26857</v>
      </c>
      <c r="D425" s="20" t="inlineStr">
        <is>
          <t>INV22031033</t>
        </is>
      </c>
      <c r="E425" s="19" t="inlineStr">
        <is>
          <t>โอน 3/6/65</t>
        </is>
      </c>
    </row>
    <row r="426">
      <c r="A426" s="157" t="n">
        <v>23809</v>
      </c>
      <c r="B426" s="19" t="inlineStr">
        <is>
          <t xml:space="preserve">ทาเลนท์อินเตอร์เทรด </t>
        </is>
      </c>
      <c r="C426" s="26" t="n">
        <v>8941.99</v>
      </c>
      <c r="D426" s="20" t="inlineStr">
        <is>
          <t>IV6504527</t>
        </is>
      </c>
      <c r="E426" s="19" t="inlineStr">
        <is>
          <t>โอน 13/6/65</t>
        </is>
      </c>
    </row>
    <row r="427">
      <c r="A427" s="157" t="n">
        <v>23812</v>
      </c>
      <c r="B427" s="19" t="inlineStr">
        <is>
          <t xml:space="preserve">ทาเลนท์อินเตอร์เทรด </t>
        </is>
      </c>
      <c r="C427" s="26" t="n">
        <v>6644.7</v>
      </c>
      <c r="D427" s="20" t="inlineStr">
        <is>
          <t>IV6504806</t>
        </is>
      </c>
      <c r="E427" s="19" t="inlineStr">
        <is>
          <t>โอน 13/6/65</t>
        </is>
      </c>
    </row>
    <row r="428">
      <c r="A428" s="157" t="n">
        <v>23813</v>
      </c>
      <c r="B428" s="19" t="inlineStr">
        <is>
          <t xml:space="preserve">ทาเลนท์อินเตอร์เทรด </t>
        </is>
      </c>
      <c r="C428" s="26" t="n">
        <v>1391</v>
      </c>
      <c r="D428" s="20" t="inlineStr">
        <is>
          <t>IV6504851</t>
        </is>
      </c>
      <c r="E428" s="19" t="inlineStr">
        <is>
          <t>โอน 13/6/65</t>
        </is>
      </c>
    </row>
    <row r="429">
      <c r="A429" s="157" t="n">
        <v>23827</v>
      </c>
      <c r="B429" s="19" t="inlineStr">
        <is>
          <t xml:space="preserve">ทาเลนท์อินเตอร์เทรด </t>
        </is>
      </c>
      <c r="C429" s="26" t="n">
        <v>4665.2</v>
      </c>
      <c r="D429" s="20" t="inlineStr">
        <is>
          <t>IV6505765</t>
        </is>
      </c>
      <c r="E429" s="19" t="inlineStr">
        <is>
          <t>โอน 28/3/65 (กระดาษกาว/จ่ายสด)</t>
        </is>
      </c>
    </row>
    <row r="430">
      <c r="A430" s="157" t="n">
        <v>23829</v>
      </c>
      <c r="B430" s="19" t="inlineStr">
        <is>
          <t xml:space="preserve">ทาเลนท์อินเตอร์เทรด </t>
        </is>
      </c>
      <c r="C430" s="26" t="n">
        <v>1508.7</v>
      </c>
      <c r="D430" s="20" t="inlineStr">
        <is>
          <t>IV6505825</t>
        </is>
      </c>
      <c r="E430" s="19" t="inlineStr">
        <is>
          <t>โอน 13/6/65</t>
        </is>
      </c>
    </row>
    <row r="431">
      <c r="A431" s="157" t="n">
        <v>23811</v>
      </c>
      <c r="B431" s="19" t="inlineStr">
        <is>
          <t>ออโต้ สมาร์ทเทค</t>
        </is>
      </c>
      <c r="C431" s="26" t="n">
        <v>7522.21</v>
      </c>
      <c r="D431" s="20" t="n">
        <v>202203091</v>
      </c>
      <c r="E431" s="19" t="inlineStr">
        <is>
          <t>โอน 25/4/65</t>
        </is>
      </c>
    </row>
    <row r="432">
      <c r="A432" s="157" t="n">
        <v>23829</v>
      </c>
      <c r="B432" s="19" t="inlineStr">
        <is>
          <t>ออโต้ สมาร์ทเทค</t>
        </is>
      </c>
      <c r="C432" s="26" t="n">
        <v>7139.36</v>
      </c>
      <c r="D432" s="20" t="n">
        <v>202203217</v>
      </c>
      <c r="E432" s="19" t="inlineStr">
        <is>
          <t>โอน 12/5/65</t>
        </is>
      </c>
    </row>
    <row r="433">
      <c r="A433" s="157" t="n">
        <v>23803</v>
      </c>
      <c r="B433" s="19" t="inlineStr">
        <is>
          <t>ช.ทรัพย์สินไทย</t>
        </is>
      </c>
      <c r="C433" s="26" t="n">
        <v>23574.24</v>
      </c>
      <c r="D433" s="20" t="inlineStr">
        <is>
          <t>IV6503046</t>
        </is>
      </c>
      <c r="E433" s="19" t="inlineStr">
        <is>
          <t>โอน 25/5/65</t>
        </is>
      </c>
    </row>
    <row r="434">
      <c r="A434" s="157" t="n">
        <v>23819</v>
      </c>
      <c r="B434" s="19" t="inlineStr">
        <is>
          <t>ช.ทรัพย์สินไทย</t>
        </is>
      </c>
      <c r="C434" s="26" t="n">
        <v>15051.69</v>
      </c>
      <c r="D434" s="20" t="inlineStr">
        <is>
          <t>IV6503253</t>
        </is>
      </c>
      <c r="E434" s="19" t="inlineStr">
        <is>
          <t>โอน 25/5/65</t>
        </is>
      </c>
    </row>
    <row r="435">
      <c r="A435" s="157" t="n">
        <v>23819</v>
      </c>
      <c r="B435" s="19" t="inlineStr">
        <is>
          <t>ช.ทรัพย์สินไทย</t>
        </is>
      </c>
      <c r="C435" s="26" t="n">
        <v>2824.8</v>
      </c>
      <c r="D435" s="20" t="inlineStr">
        <is>
          <t>IV6503254</t>
        </is>
      </c>
      <c r="E435" s="19" t="inlineStr">
        <is>
          <t>โอน 25/5/65</t>
        </is>
      </c>
    </row>
    <row r="436">
      <c r="A436" s="157" t="n">
        <v>23819</v>
      </c>
      <c r="B436" s="19" t="inlineStr">
        <is>
          <t>ช.ทรัพย์สินไทย</t>
        </is>
      </c>
      <c r="C436" s="26" t="n">
        <v>0</v>
      </c>
      <c r="D436" s="20" t="inlineStr">
        <is>
          <t>IV6503255</t>
        </is>
      </c>
      <c r="E436" s="19" t="inlineStr">
        <is>
          <t>ฟรี</t>
        </is>
      </c>
    </row>
    <row r="437">
      <c r="A437" s="157" t="n">
        <v>23824</v>
      </c>
      <c r="B437" s="19" t="inlineStr">
        <is>
          <t>ช.ทรัพย์สินไทย</t>
        </is>
      </c>
      <c r="C437" s="26" t="n">
        <v>107770.4</v>
      </c>
      <c r="D437" s="20" t="inlineStr">
        <is>
          <t>IV6503299</t>
        </is>
      </c>
      <c r="E437" s="19" t="inlineStr">
        <is>
          <t>โอน 25/5/65</t>
        </is>
      </c>
    </row>
    <row r="438">
      <c r="A438" s="157" t="n">
        <v>23824</v>
      </c>
      <c r="B438" s="19" t="inlineStr">
        <is>
          <t>ช.ทรัพย์สินไทย</t>
        </is>
      </c>
      <c r="C438" s="26" t="n">
        <v>52059.78</v>
      </c>
      <c r="D438" s="20" t="inlineStr">
        <is>
          <t>IV6503300</t>
        </is>
      </c>
      <c r="E438" s="19" t="inlineStr">
        <is>
          <t>โอน 25/5/65</t>
        </is>
      </c>
    </row>
    <row r="439">
      <c r="A439" s="157" t="n">
        <v>23824</v>
      </c>
      <c r="B439" s="19" t="inlineStr">
        <is>
          <t>ช.ทรัพย์สินไทย</t>
        </is>
      </c>
      <c r="C439" s="26" t="n">
        <v>38645.19</v>
      </c>
      <c r="D439" s="20" t="inlineStr">
        <is>
          <t>IV6503301</t>
        </is>
      </c>
      <c r="E439" s="19" t="inlineStr">
        <is>
          <t>โอน 25/5/65</t>
        </is>
      </c>
    </row>
    <row r="440">
      <c r="A440" s="157" t="n">
        <v>23829</v>
      </c>
      <c r="B440" s="19" t="inlineStr">
        <is>
          <t>ช.ทรัพย์สินไทย</t>
        </is>
      </c>
      <c r="C440" s="26" t="n">
        <v>10564.11</v>
      </c>
      <c r="D440" s="20" t="inlineStr">
        <is>
          <t>IV6503340</t>
        </is>
      </c>
      <c r="E440" s="19" t="inlineStr">
        <is>
          <t>โอน 25/5/65</t>
        </is>
      </c>
    </row>
    <row r="442">
      <c r="B442" s="22" t="inlineStr">
        <is>
          <t>ต้นทุนอะไหล่</t>
        </is>
      </c>
    </row>
    <row r="443">
      <c r="B443" s="19" t="inlineStr">
        <is>
          <t>ร้านจิตต์ อะไหล่ Due 28/2 - 5/3/2565</t>
        </is>
      </c>
      <c r="C443" s="26" t="n">
        <v>24456</v>
      </c>
      <c r="E443" s="19" t="inlineStr">
        <is>
          <t>โอน 7/3/65</t>
        </is>
      </c>
    </row>
    <row r="444">
      <c r="B444" s="19" t="inlineStr">
        <is>
          <t>ร้านจิตต์ อะไหล่ Due 7 - 12/3/2565</t>
        </is>
      </c>
      <c r="C444" s="26" t="n">
        <v>65379</v>
      </c>
      <c r="E444" s="19" t="inlineStr">
        <is>
          <t>โอน 14/3/65</t>
        </is>
      </c>
    </row>
    <row r="445">
      <c r="B445" s="19" t="inlineStr">
        <is>
          <t>ร้านจิตต์ อะไหล่ Due 14 - 19/3/2565</t>
        </is>
      </c>
      <c r="C445" s="26" t="n">
        <v>23543</v>
      </c>
      <c r="E445" s="19" t="inlineStr">
        <is>
          <t>โอน 21/3/65</t>
        </is>
      </c>
    </row>
    <row r="446">
      <c r="B446" s="19" t="inlineStr">
        <is>
          <t>ร้านจิตต์ อะไหล่ Due 21 - 26/3/2565</t>
        </is>
      </c>
      <c r="C446" s="26" t="n">
        <v>43599</v>
      </c>
      <c r="E446" s="19" t="inlineStr">
        <is>
          <t>โอน 28/3/65</t>
        </is>
      </c>
    </row>
    <row r="447">
      <c r="B447" s="19" t="inlineStr">
        <is>
          <t>ร้านจิตต์ อะไหล่ Due 28 - 2/4/2565</t>
        </is>
      </c>
      <c r="C447" s="26" t="n">
        <v>26013</v>
      </c>
      <c r="E447" s="19" t="inlineStr">
        <is>
          <t>โอน 4/4/65</t>
        </is>
      </c>
    </row>
    <row r="448">
      <c r="B448" s="19" t="inlineStr">
        <is>
          <t>ศรีสยาม Due 7 - 13/3/2565</t>
        </is>
      </c>
      <c r="C448" s="26" t="n">
        <v>55732.89</v>
      </c>
      <c r="E448" s="19" t="inlineStr">
        <is>
          <t>โอน 17/4/65</t>
        </is>
      </c>
    </row>
    <row r="449">
      <c r="B449" s="19" t="inlineStr">
        <is>
          <t>ศรีสยาม Due 14 - 20/3/2565</t>
        </is>
      </c>
      <c r="C449" s="26" t="n">
        <v>9460.110000000001</v>
      </c>
      <c r="E449" s="19" t="inlineStr">
        <is>
          <t>โอน 21/4/65</t>
        </is>
      </c>
    </row>
    <row r="450">
      <c r="B450" s="19" t="inlineStr">
        <is>
          <t>ศรีสยาม Due 21 - 27/3/2565</t>
        </is>
      </c>
      <c r="C450" s="26" t="n">
        <v>57322.68</v>
      </c>
      <c r="E450" s="19" t="inlineStr">
        <is>
          <t>โอน 29/4/65</t>
        </is>
      </c>
    </row>
    <row r="451">
      <c r="B451" s="19" t="inlineStr">
        <is>
          <t>ศรีสยาม Due 28/3 - 3/4/2565</t>
        </is>
      </c>
      <c r="C451" s="26" t="n">
        <v>24818</v>
      </c>
      <c r="E451" s="19" t="inlineStr">
        <is>
          <t>โอน 11/5/65</t>
        </is>
      </c>
    </row>
    <row r="452">
      <c r="B452" s="19" t="inlineStr">
        <is>
          <t>ร้านเจ๊แอน</t>
        </is>
      </c>
      <c r="C452" s="26" t="n">
        <v>10600</v>
      </c>
      <c r="E452" s="19" t="inlineStr">
        <is>
          <t>โอน 4/4/65</t>
        </is>
      </c>
    </row>
    <row r="453">
      <c r="B453" s="19" t="inlineStr">
        <is>
          <t>ร้านโสภา</t>
        </is>
      </c>
      <c r="C453" s="26" t="n">
        <v>4000</v>
      </c>
      <c r="E453" s="19" t="inlineStr">
        <is>
          <t>โอน 3/5/65</t>
        </is>
      </c>
    </row>
    <row r="454">
      <c r="A454" s="157" t="n">
        <v>23810</v>
      </c>
      <c r="B454" s="19" t="inlineStr">
        <is>
          <t xml:space="preserve">กิ๊บน๊อต / ร้านต้นคิด   </t>
        </is>
      </c>
      <c r="C454" s="26" t="n">
        <v>1500</v>
      </c>
      <c r="E454" s="19" t="inlineStr">
        <is>
          <t>โอน 16/5/65</t>
        </is>
      </c>
    </row>
    <row r="455">
      <c r="A455" s="157" t="n">
        <v>23812</v>
      </c>
      <c r="B455" s="19" t="inlineStr">
        <is>
          <t xml:space="preserve">กิ๊บน๊อต / ร้านต้นคิด   </t>
        </is>
      </c>
      <c r="C455" s="26" t="n">
        <v>600</v>
      </c>
      <c r="E455" s="19" t="inlineStr">
        <is>
          <t>โอน 16/5/65</t>
        </is>
      </c>
    </row>
    <row r="457" customFormat="1" s="28">
      <c r="A457" s="102" t="inlineStr">
        <is>
          <t>รายการซื้อสินค้าเข้า ประจำเดือน 4/2565</t>
        </is>
      </c>
      <c r="B457" s="158" t="n"/>
      <c r="C457" s="158" t="n"/>
      <c r="D457" s="158" t="n"/>
      <c r="E457" s="158" t="n"/>
      <c r="F457" s="27" t="n"/>
      <c r="G457" s="27" t="n"/>
      <c r="H457" s="27" t="n"/>
      <c r="I457" s="27" t="n"/>
      <c r="J457" s="27" t="n"/>
    </row>
    <row r="458" customFormat="1" s="20">
      <c r="A458" s="159" t="inlineStr">
        <is>
          <t>ว/ด/ป</t>
        </is>
      </c>
      <c r="B458" s="21" t="inlineStr">
        <is>
          <t>ชื่อร้านค้า</t>
        </is>
      </c>
      <c r="C458" s="25" t="inlineStr">
        <is>
          <t>ยอดรวม</t>
        </is>
      </c>
      <c r="D458" s="21" t="inlineStr">
        <is>
          <t>เลขที่บิล</t>
        </is>
      </c>
      <c r="E458" s="21" t="inlineStr">
        <is>
          <t>หมายเหตุ</t>
        </is>
      </c>
    </row>
    <row r="459">
      <c r="B459" s="22" t="inlineStr">
        <is>
          <t>ต้นทุนสี</t>
        </is>
      </c>
    </row>
    <row r="460">
      <c r="B460" s="19" t="inlineStr">
        <is>
          <t>ร้านจิตต์ อะไหล่ Due 4 - 9/4/2565</t>
        </is>
      </c>
      <c r="C460" s="26" t="n">
        <v>7494</v>
      </c>
      <c r="E460" s="19" t="inlineStr">
        <is>
          <t>โอน 11/4/65</t>
        </is>
      </c>
    </row>
    <row r="461">
      <c r="B461" s="19" t="inlineStr">
        <is>
          <t>ร้านจิตต์ อะไหล่ Due 18 - 23/4/2565</t>
        </is>
      </c>
      <c r="C461" s="26" t="n">
        <v>47304</v>
      </c>
      <c r="E461" s="19" t="inlineStr">
        <is>
          <t>โอน 25/4/65</t>
        </is>
      </c>
    </row>
    <row r="462">
      <c r="B462" s="19" t="inlineStr">
        <is>
          <t>ร้านจิตต์ อะไหล่ Due 25/4 - 1/5/2565</t>
        </is>
      </c>
      <c r="C462" s="26" t="n">
        <v>28797</v>
      </c>
      <c r="E462" s="19" t="inlineStr">
        <is>
          <t>โอน 2/5/65</t>
        </is>
      </c>
    </row>
    <row r="463">
      <c r="A463" s="157" t="n">
        <v>23862</v>
      </c>
      <c r="B463" s="19" t="inlineStr">
        <is>
          <t>หจก. ไทยออโต้โคท (น้ำยาป้องกันสนิม ออโต้โคท/ทัฟโค้ท สีดำ)</t>
        </is>
      </c>
      <c r="C463" s="26" t="n">
        <v>6500</v>
      </c>
      <c r="D463" s="20" t="n">
        <v>217</v>
      </c>
      <c r="E463" s="19" t="inlineStr">
        <is>
          <t>โอน 30/4/65</t>
        </is>
      </c>
    </row>
    <row r="464">
      <c r="A464" s="157" t="n">
        <v>23852</v>
      </c>
      <c r="B464" s="19" t="inlineStr">
        <is>
          <t xml:space="preserve">ทาเลนท์อินเตอร์เทรด </t>
        </is>
      </c>
      <c r="C464" s="26" t="n">
        <v>3354.45</v>
      </c>
      <c r="D464" s="20" t="inlineStr">
        <is>
          <t>IV6506938</t>
        </is>
      </c>
      <c r="E464" s="19" t="inlineStr">
        <is>
          <t>โอน 19/7/65</t>
        </is>
      </c>
      <c r="G464" s="26" t="n"/>
    </row>
    <row r="465">
      <c r="A465" s="157" t="n">
        <v>23859</v>
      </c>
      <c r="B465" s="19" t="inlineStr">
        <is>
          <t>ช.ทรัพย์สินไทย</t>
        </is>
      </c>
      <c r="C465" s="26" t="n">
        <v>50355.27</v>
      </c>
      <c r="D465" s="20" t="inlineStr">
        <is>
          <t>IV6504236</t>
        </is>
      </c>
      <c r="E465" s="19" t="inlineStr">
        <is>
          <t>โอน 23/6/65</t>
        </is>
      </c>
    </row>
    <row r="466">
      <c r="A466" s="157" t="n">
        <v>23859</v>
      </c>
      <c r="B466" s="19" t="inlineStr">
        <is>
          <t>ช.ทรัพย์สินไทย</t>
        </is>
      </c>
      <c r="C466" s="26" t="n">
        <v>82432.8</v>
      </c>
      <c r="D466" s="20" t="inlineStr">
        <is>
          <t>IV6504237</t>
        </is>
      </c>
      <c r="E466" s="19" t="inlineStr">
        <is>
          <t>โอน 23/6/65</t>
        </is>
      </c>
    </row>
    <row r="467">
      <c r="A467" s="157" t="n">
        <v>23860</v>
      </c>
      <c r="B467" s="19" t="inlineStr">
        <is>
          <t>ช.ทรัพย์สินไทย</t>
        </is>
      </c>
      <c r="C467" s="26" t="n">
        <v>13546.2</v>
      </c>
      <c r="D467" s="20" t="inlineStr">
        <is>
          <t>IV6504246</t>
        </is>
      </c>
      <c r="E467" s="19" t="inlineStr">
        <is>
          <t>โอน 23/6/65</t>
        </is>
      </c>
    </row>
    <row r="469">
      <c r="B469" s="22" t="inlineStr">
        <is>
          <t>ต้นทุนอะไหล่</t>
        </is>
      </c>
    </row>
    <row r="470">
      <c r="B470" s="19" t="inlineStr">
        <is>
          <t>ร้านจิตต์ อะไหล่ Due 4 - 9/4/2565</t>
        </is>
      </c>
      <c r="C470" s="26" t="n">
        <v>7494</v>
      </c>
      <c r="E470" s="19" t="inlineStr">
        <is>
          <t>โอน 11/4/65</t>
        </is>
      </c>
    </row>
    <row r="471">
      <c r="B471" s="19" t="inlineStr">
        <is>
          <t>ร้านจิตต์ อะไหล่ Due 18 - 23/4/2565</t>
        </is>
      </c>
      <c r="C471" s="26" t="n">
        <v>47304</v>
      </c>
      <c r="E471" s="19" t="inlineStr">
        <is>
          <t>โอน 25/4/65</t>
        </is>
      </c>
    </row>
    <row r="472">
      <c r="B472" s="19" t="inlineStr">
        <is>
          <t>ร้านจิตต์ อะไหล่ Due 25 - 1/5/2565</t>
        </is>
      </c>
      <c r="C472" s="26" t="n">
        <v>28797</v>
      </c>
      <c r="E472" s="19" t="inlineStr">
        <is>
          <t>โอน 2/5/65</t>
        </is>
      </c>
    </row>
    <row r="473">
      <c r="B473" s="19" t="inlineStr">
        <is>
          <t>ศรีสยาม Due 4 - 10/4/2565</t>
        </is>
      </c>
      <c r="C473" s="26" t="n">
        <v>4507.81</v>
      </c>
      <c r="E473" s="19" t="inlineStr">
        <is>
          <t>โอน 11/5/65</t>
        </is>
      </c>
    </row>
    <row r="474">
      <c r="B474" s="19" t="inlineStr">
        <is>
          <t>ศรีสยาม Due 11 - 17/4/2565</t>
        </is>
      </c>
      <c r="C474" s="26" t="n">
        <v>3193.17</v>
      </c>
      <c r="E474" s="19" t="inlineStr">
        <is>
          <t>โอน 19/5/65</t>
        </is>
      </c>
    </row>
    <row r="475">
      <c r="B475" s="19" t="inlineStr">
        <is>
          <t>ศรีสยาม Due 18 - 24/4/2565</t>
        </is>
      </c>
      <c r="C475" s="26" t="n">
        <v>67174.13</v>
      </c>
      <c r="E475" s="19" t="inlineStr">
        <is>
          <t>โอน 27/5/65</t>
        </is>
      </c>
    </row>
    <row r="476">
      <c r="B476" s="19" t="inlineStr">
        <is>
          <t>ศรีสยาม Due 25 - 1/5/2565</t>
        </is>
      </c>
      <c r="C476" s="26" t="n">
        <v>86966.50999999999</v>
      </c>
      <c r="E476" s="19" t="inlineStr">
        <is>
          <t>โอน 3/6/65</t>
        </is>
      </c>
    </row>
    <row r="477">
      <c r="B477" s="19" t="inlineStr">
        <is>
          <t>ร้านเจ๊แอน</t>
        </is>
      </c>
      <c r="C477" s="26" t="n">
        <v>11180</v>
      </c>
      <c r="E477" s="19" t="inlineStr">
        <is>
          <t>โอน 3/5/65</t>
        </is>
      </c>
    </row>
    <row r="478">
      <c r="B478" s="19" t="inlineStr">
        <is>
          <t>ร้านโสภา</t>
        </is>
      </c>
      <c r="C478" s="26" t="n">
        <v>4600</v>
      </c>
      <c r="E478" s="19" t="inlineStr">
        <is>
          <t>โอน 4/5/65</t>
        </is>
      </c>
    </row>
    <row r="480" customFormat="1" s="28">
      <c r="A480" s="102" t="inlineStr">
        <is>
          <t>รายการซื้อสินค้าเข้า ประจำเดือน 5/2565</t>
        </is>
      </c>
      <c r="B480" s="158" t="n"/>
      <c r="C480" s="158" t="n"/>
      <c r="D480" s="158" t="n"/>
      <c r="E480" s="158" t="n"/>
      <c r="F480" s="27" t="n"/>
      <c r="G480" s="27" t="n"/>
      <c r="H480" s="27" t="n"/>
      <c r="I480" s="27" t="n"/>
      <c r="J480" s="27" t="n"/>
    </row>
    <row r="481" customFormat="1" s="20">
      <c r="A481" s="159" t="inlineStr">
        <is>
          <t>ว/ด/ป</t>
        </is>
      </c>
      <c r="B481" s="21" t="inlineStr">
        <is>
          <t>ชื่อร้านค้า</t>
        </is>
      </c>
      <c r="C481" s="25" t="inlineStr">
        <is>
          <t>ยอดรวม</t>
        </is>
      </c>
      <c r="D481" s="21" t="inlineStr">
        <is>
          <t>เลขที่บิล</t>
        </is>
      </c>
      <c r="E481" s="21" t="inlineStr">
        <is>
          <t>หมายเหตุ</t>
        </is>
      </c>
    </row>
    <row r="482">
      <c r="B482" s="22" t="inlineStr">
        <is>
          <t>ต้นทุนสี</t>
        </is>
      </c>
    </row>
    <row r="483">
      <c r="A483" s="157" t="n">
        <v>23886</v>
      </c>
      <c r="B483" s="19" t="inlineStr">
        <is>
          <t xml:space="preserve">ทาเลนท์อินเตอร์เทรด </t>
        </is>
      </c>
      <c r="C483" s="26" t="n">
        <v>4665.2</v>
      </c>
      <c r="D483" s="20" t="inlineStr">
        <is>
          <t>IS1000328</t>
        </is>
      </c>
      <c r="E483" s="19" t="inlineStr">
        <is>
          <t>โอน 24/5/65</t>
        </is>
      </c>
    </row>
    <row r="484">
      <c r="A484" s="157" t="n">
        <v>23878</v>
      </c>
      <c r="B484" s="19" t="inlineStr">
        <is>
          <t xml:space="preserve">ทาเลนท์อินเตอร์เทรด </t>
        </is>
      </c>
      <c r="C484" s="26" t="n">
        <v>3774.96</v>
      </c>
      <c r="D484" s="20" t="inlineStr">
        <is>
          <t>IB3000910</t>
        </is>
      </c>
      <c r="E484" s="19" t="inlineStr">
        <is>
          <t>โอน 12/8/65</t>
        </is>
      </c>
    </row>
    <row r="485">
      <c r="A485" s="157" t="n">
        <v>23878</v>
      </c>
      <c r="B485" s="19" t="inlineStr">
        <is>
          <t xml:space="preserve">ทาเลนท์อินเตอร์เทรด </t>
        </is>
      </c>
      <c r="C485" s="26" t="n">
        <v>770.4</v>
      </c>
      <c r="D485" s="20" t="inlineStr">
        <is>
          <t>IB3000130</t>
        </is>
      </c>
      <c r="E485" s="19" t="inlineStr">
        <is>
          <t>โอน 12/8/65</t>
        </is>
      </c>
    </row>
    <row r="486">
      <c r="A486" s="157" t="n">
        <v>23865</v>
      </c>
      <c r="B486" s="19" t="inlineStr">
        <is>
          <t xml:space="preserve">ทาเลนท์อินเตอร์เทรด </t>
        </is>
      </c>
      <c r="C486" s="26" t="n">
        <v>16262.26</v>
      </c>
      <c r="D486" s="20" t="inlineStr">
        <is>
          <t>IB3000095</t>
        </is>
      </c>
      <c r="E486" s="19" t="inlineStr">
        <is>
          <t>โอน 12/8/65</t>
        </is>
      </c>
    </row>
    <row r="487">
      <c r="A487" s="157" t="n">
        <v>23866</v>
      </c>
      <c r="B487" s="19" t="inlineStr">
        <is>
          <t xml:space="preserve">ทาเลนท์อินเตอร์เทรด </t>
        </is>
      </c>
      <c r="C487" s="26" t="n">
        <v>4494</v>
      </c>
      <c r="D487" s="20" t="inlineStr">
        <is>
          <t>IB3000172</t>
        </is>
      </c>
      <c r="E487" s="19" t="inlineStr">
        <is>
          <t>โอน 12/8/65</t>
        </is>
      </c>
    </row>
    <row r="488">
      <c r="A488" s="157" t="n">
        <v>23875</v>
      </c>
      <c r="B488" s="19" t="inlineStr">
        <is>
          <t>ช.ทรัพย์สินไทย</t>
        </is>
      </c>
      <c r="C488" s="26" t="n">
        <v>18720.72</v>
      </c>
      <c r="D488" s="20" t="inlineStr">
        <is>
          <t>IV6505167</t>
        </is>
      </c>
      <c r="E488" s="19" t="inlineStr">
        <is>
          <t>โอน 23/7/65</t>
        </is>
      </c>
      <c r="G488" s="26" t="n"/>
    </row>
    <row r="489">
      <c r="A489" s="157" t="n">
        <v>23887</v>
      </c>
      <c r="B489" s="19" t="inlineStr">
        <is>
          <t>ช.ทรัพย์สินไทย</t>
        </is>
      </c>
      <c r="C489" s="26" t="n">
        <v>31779</v>
      </c>
      <c r="D489" s="20" t="inlineStr">
        <is>
          <t>IV6505290</t>
        </is>
      </c>
      <c r="E489" s="19" t="inlineStr">
        <is>
          <t>โอน 23/7/65</t>
        </is>
      </c>
    </row>
    <row r="490">
      <c r="A490" s="157" t="n">
        <v>23887</v>
      </c>
      <c r="B490" s="19" t="inlineStr">
        <is>
          <t>ช.ทรัพย์สินไทย</t>
        </is>
      </c>
      <c r="C490" s="26" t="n">
        <v>65358.81</v>
      </c>
      <c r="D490" s="20" t="inlineStr">
        <is>
          <t>IV6505291</t>
        </is>
      </c>
      <c r="E490" s="19" t="inlineStr">
        <is>
          <t>โอน 23/7/65</t>
        </is>
      </c>
    </row>
    <row r="491">
      <c r="A491" s="157" t="n">
        <v>23887</v>
      </c>
      <c r="B491" s="19" t="inlineStr">
        <is>
          <t>ช.ทรัพย์สินไทย</t>
        </is>
      </c>
      <c r="C491" s="26" t="n">
        <v>84572.8</v>
      </c>
      <c r="D491" s="20" t="inlineStr">
        <is>
          <t>IV6505292</t>
        </is>
      </c>
      <c r="E491" s="19" t="inlineStr">
        <is>
          <t>โอน 23/7/65</t>
        </is>
      </c>
      <c r="G491" s="26" t="n"/>
    </row>
    <row r="492">
      <c r="A492" s="157" t="n">
        <v>23868</v>
      </c>
      <c r="B492" s="19" t="inlineStr">
        <is>
          <t>ออโต้ สมาร์ทเทค</t>
        </is>
      </c>
      <c r="C492" s="26" t="n">
        <v>13674.71</v>
      </c>
      <c r="D492" s="20" t="n">
        <v>202205057</v>
      </c>
      <c r="E492" s="19" t="inlineStr">
        <is>
          <t>โอน 21/6/65</t>
        </is>
      </c>
    </row>
    <row r="493">
      <c r="A493" s="157" t="n">
        <v>23888</v>
      </c>
      <c r="B493" s="19" t="inlineStr">
        <is>
          <t>ออโต้ สมาร์ทเทค</t>
        </is>
      </c>
      <c r="C493" s="26" t="n">
        <v>5189.5</v>
      </c>
      <c r="D493" s="20" t="n">
        <v>202205231</v>
      </c>
      <c r="E493" s="19" t="inlineStr">
        <is>
          <t>โอน 12/7/65</t>
        </is>
      </c>
    </row>
    <row r="494">
      <c r="A494" s="157" t="n">
        <v>23865</v>
      </c>
      <c r="B494" s="19" t="inlineStr">
        <is>
          <t>ไทยนครพัฒนา</t>
        </is>
      </c>
      <c r="C494" s="26" t="n">
        <v>23770.05</v>
      </c>
      <c r="D494" s="20" t="inlineStr">
        <is>
          <t>INV22050028</t>
        </is>
      </c>
      <c r="E494" s="19" t="inlineStr">
        <is>
          <t>โอน 12/7/65</t>
        </is>
      </c>
    </row>
    <row r="495">
      <c r="A495" s="157" t="n">
        <v>23882</v>
      </c>
      <c r="B495" s="19" t="inlineStr">
        <is>
          <t>ห้างหุ้นส่วนจำกัด พี.บี. เพ้นต์</t>
        </is>
      </c>
      <c r="C495" s="26" t="n">
        <v>51360</v>
      </c>
      <c r="D495" s="20" t="inlineStr">
        <is>
          <t>65/PB204</t>
        </is>
      </c>
      <c r="E495" s="19" t="inlineStr">
        <is>
          <t>โอน 2/8/65</t>
        </is>
      </c>
    </row>
    <row r="497">
      <c r="B497" s="22" t="inlineStr">
        <is>
          <t>ต้นทุนอะไหล่</t>
        </is>
      </c>
    </row>
    <row r="498">
      <c r="B498" s="19" t="inlineStr">
        <is>
          <t>ร้านจิตต์ อะไหล่ Due 2 - 7/5/2565</t>
        </is>
      </c>
      <c r="C498" s="26" t="n">
        <v>36120</v>
      </c>
      <c r="E498" s="19" t="inlineStr">
        <is>
          <t>โอน 9/5/65</t>
        </is>
      </c>
    </row>
    <row r="499">
      <c r="B499" s="19" t="inlineStr">
        <is>
          <t>ร้านจิตต์ อะไหล่ Due 9 - 14/5/2565</t>
        </is>
      </c>
      <c r="C499" s="26" t="n">
        <v>26628.51</v>
      </c>
      <c r="E499" s="19" t="inlineStr">
        <is>
          <t>โอน 16/5/65</t>
        </is>
      </c>
    </row>
    <row r="500">
      <c r="B500" s="19" t="inlineStr">
        <is>
          <t>ร้านจิตต์ อะไหล่ Due 16 - 21/5/2565</t>
        </is>
      </c>
      <c r="C500" s="26" t="n">
        <v>41516</v>
      </c>
      <c r="E500" s="19" t="inlineStr">
        <is>
          <t>โอน 23/5/65</t>
        </is>
      </c>
    </row>
    <row r="501">
      <c r="B501" s="19" t="inlineStr">
        <is>
          <t>ร้านจิตต์ อะไหล่ Due 23 - 28/5/2565</t>
        </is>
      </c>
      <c r="C501" s="26" t="n">
        <v>61295.51</v>
      </c>
      <c r="E501" s="19" t="inlineStr">
        <is>
          <t>โอน 30/5/65</t>
        </is>
      </c>
    </row>
    <row r="502">
      <c r="B502" s="19" t="inlineStr">
        <is>
          <t>ศรีสยาม Due 2 - 8/5/2565</t>
        </is>
      </c>
      <c r="C502" s="26" t="n">
        <v>49508.91</v>
      </c>
      <c r="E502" s="19" t="inlineStr">
        <is>
          <t>โอน 13/6/65</t>
        </is>
      </c>
    </row>
    <row r="503">
      <c r="B503" s="19" t="inlineStr">
        <is>
          <t>ศรีสยาม Due 9 - 15/5/2565</t>
        </is>
      </c>
      <c r="C503" s="26" t="n">
        <v>105152.4</v>
      </c>
      <c r="E503" s="19" t="inlineStr">
        <is>
          <t>โอน 13/6/65</t>
        </is>
      </c>
    </row>
    <row r="504">
      <c r="B504" s="19" t="inlineStr">
        <is>
          <t>ศรีสยาม Due 16 - 22/5/2565</t>
        </is>
      </c>
      <c r="C504" s="26" t="n">
        <v>34832.02</v>
      </c>
      <c r="E504" s="19" t="inlineStr">
        <is>
          <t>โอน 23/6/65</t>
        </is>
      </c>
    </row>
    <row r="505">
      <c r="B505" s="19" t="inlineStr">
        <is>
          <t>ร้านเจ๊แอน</t>
        </is>
      </c>
      <c r="C505" s="26" t="n">
        <v>34550</v>
      </c>
      <c r="E505" s="19" t="inlineStr">
        <is>
          <t>โอน 2/6/65</t>
        </is>
      </c>
    </row>
    <row r="506">
      <c r="B506" s="19" t="inlineStr">
        <is>
          <t>ร้านโสภา</t>
        </is>
      </c>
      <c r="C506" s="26" t="n">
        <v>3600</v>
      </c>
      <c r="E506" s="19" t="inlineStr">
        <is>
          <t>โอน 8/1/66</t>
        </is>
      </c>
    </row>
    <row r="508" customFormat="1" s="28">
      <c r="A508" s="102" t="inlineStr">
        <is>
          <t>รายการซื้อสินค้าเข้า ประจำเดือน 6/2565</t>
        </is>
      </c>
      <c r="B508" s="158" t="n"/>
      <c r="C508" s="158" t="n"/>
      <c r="D508" s="158" t="n"/>
      <c r="E508" s="158" t="n"/>
      <c r="F508" s="27" t="n"/>
      <c r="G508" s="27" t="n"/>
      <c r="H508" s="27" t="n"/>
      <c r="I508" s="27" t="n"/>
      <c r="J508" s="27" t="n"/>
    </row>
    <row r="509" customFormat="1" s="20">
      <c r="A509" s="159" t="inlineStr">
        <is>
          <t>ว/ด/ป</t>
        </is>
      </c>
      <c r="B509" s="21" t="inlineStr">
        <is>
          <t>ชื่อร้านค้า</t>
        </is>
      </c>
      <c r="C509" s="25" t="inlineStr">
        <is>
          <t>ยอดรวม</t>
        </is>
      </c>
      <c r="D509" s="21" t="inlineStr">
        <is>
          <t>เลขที่บิล</t>
        </is>
      </c>
      <c r="E509" s="21" t="inlineStr">
        <is>
          <t>หมายเหตุ</t>
        </is>
      </c>
    </row>
    <row r="510">
      <c r="B510" s="22" t="inlineStr">
        <is>
          <t>ต้นทุนสี</t>
        </is>
      </c>
    </row>
    <row r="511">
      <c r="A511" s="157" t="n">
        <v>23906</v>
      </c>
      <c r="B511" s="19" t="inlineStr">
        <is>
          <t>ไทยนครพัฒนา</t>
        </is>
      </c>
      <c r="C511" s="26" t="n">
        <v>22898</v>
      </c>
      <c r="D511" s="20" t="inlineStr">
        <is>
          <t>INV22060461</t>
        </is>
      </c>
      <c r="E511" s="19" t="inlineStr">
        <is>
          <t>โอน 12/8/65</t>
        </is>
      </c>
    </row>
    <row r="512">
      <c r="A512" s="157" t="n">
        <v>23916</v>
      </c>
      <c r="B512" s="19" t="inlineStr">
        <is>
          <t>ไทยนครพัฒนา</t>
        </is>
      </c>
      <c r="C512" s="26" t="n">
        <v>35952</v>
      </c>
      <c r="D512" s="20" t="inlineStr">
        <is>
          <t>INV22060914</t>
        </is>
      </c>
      <c r="E512" s="19" t="inlineStr">
        <is>
          <t>โอน 12/8/65</t>
        </is>
      </c>
    </row>
    <row r="513">
      <c r="A513" s="157" t="n">
        <v>23901</v>
      </c>
      <c r="B513" s="19" t="inlineStr">
        <is>
          <t>ออโต้เทรด มาร์เก็ตติ้ง</t>
        </is>
      </c>
      <c r="C513" s="26" t="n">
        <v>14274.6</v>
      </c>
      <c r="D513" s="20" t="inlineStr">
        <is>
          <t>IV1417133</t>
        </is>
      </c>
      <c r="E513" s="19" t="inlineStr">
        <is>
          <t>โอน 7/6/65</t>
        </is>
      </c>
    </row>
    <row r="514">
      <c r="A514" s="157" t="n">
        <v>23907</v>
      </c>
      <c r="B514" s="19" t="inlineStr">
        <is>
          <t>ออโต้เทรด มาร์เก็ตติ้ง</t>
        </is>
      </c>
      <c r="C514" s="26" t="n">
        <v>14744.6</v>
      </c>
      <c r="D514" s="20" t="inlineStr">
        <is>
          <t>IV1417481</t>
        </is>
      </c>
      <c r="E514" s="19" t="inlineStr">
        <is>
          <t>โอน 20/6/65</t>
        </is>
      </c>
    </row>
    <row r="515">
      <c r="A515" s="157" t="n">
        <v>23900</v>
      </c>
      <c r="B515" s="19" t="inlineStr">
        <is>
          <t xml:space="preserve">ทาเลนท์อินเตอร์เทรด </t>
        </is>
      </c>
      <c r="C515" s="26" t="n">
        <v>10533.08</v>
      </c>
      <c r="D515" s="20" t="inlineStr">
        <is>
          <t>IB3002119</t>
        </is>
      </c>
      <c r="E515" s="19" t="inlineStr">
        <is>
          <t>โอน 5/10/65</t>
        </is>
      </c>
      <c r="G515" s="26" t="n"/>
    </row>
    <row r="516">
      <c r="A516" s="157" t="n">
        <v>23901</v>
      </c>
      <c r="B516" s="19" t="inlineStr">
        <is>
          <t xml:space="preserve">ทาเลนท์อินเตอร์เทรด </t>
        </is>
      </c>
      <c r="C516" s="26" t="n">
        <v>2953.2</v>
      </c>
      <c r="D516" s="20" t="inlineStr">
        <is>
          <t>IB3002168</t>
        </is>
      </c>
      <c r="E516" s="19" t="inlineStr">
        <is>
          <t>โอน 5/10/65</t>
        </is>
      </c>
      <c r="H516" s="26" t="n"/>
    </row>
    <row r="517">
      <c r="A517" s="157" t="n">
        <v>23911</v>
      </c>
      <c r="B517" s="19" t="inlineStr">
        <is>
          <t xml:space="preserve">ทาเลนท์อินเตอร์เทรด </t>
        </is>
      </c>
      <c r="C517" s="26" t="n">
        <v>11335.58</v>
      </c>
      <c r="D517" s="20" t="inlineStr">
        <is>
          <t>IB3002779</t>
        </is>
      </c>
      <c r="E517" s="19" t="inlineStr">
        <is>
          <t>โอน 5/10/65</t>
        </is>
      </c>
    </row>
    <row r="518">
      <c r="A518" s="157" t="n">
        <v>23914</v>
      </c>
      <c r="B518" s="19" t="inlineStr">
        <is>
          <t xml:space="preserve">ทาเลนท์อินเตอร์เทรด </t>
        </is>
      </c>
      <c r="C518" s="26" t="n">
        <v>1071.07</v>
      </c>
      <c r="D518" s="20" t="inlineStr">
        <is>
          <t>IB3002884</t>
        </is>
      </c>
      <c r="E518" s="19" t="inlineStr">
        <is>
          <t>โอน 5/10/65</t>
        </is>
      </c>
    </row>
    <row r="519">
      <c r="A519" s="157" t="n">
        <v>23914</v>
      </c>
      <c r="B519" s="19" t="inlineStr">
        <is>
          <t xml:space="preserve">ทาเลนท์อินเตอร์เทรด </t>
        </is>
      </c>
      <c r="C519" s="26" t="n">
        <v>4665.2</v>
      </c>
      <c r="D519" s="20" t="inlineStr">
        <is>
          <t>IS1000942</t>
        </is>
      </c>
      <c r="E519" s="19" t="inlineStr">
        <is>
          <t>โอน 23/6/65</t>
        </is>
      </c>
    </row>
    <row r="520">
      <c r="A520" s="157" t="n">
        <v>23897</v>
      </c>
      <c r="B520" s="19" t="inlineStr">
        <is>
          <t>ออโต้ สมาร์ทเทค</t>
        </is>
      </c>
      <c r="C520" s="26" t="n">
        <v>1926</v>
      </c>
      <c r="D520" s="20" t="n">
        <v>202206035</v>
      </c>
      <c r="E520" s="19" t="inlineStr">
        <is>
          <t>โอน 19/7/65</t>
        </is>
      </c>
    </row>
    <row r="521">
      <c r="A521" s="157" t="n">
        <v>23914</v>
      </c>
      <c r="B521" s="19" t="inlineStr">
        <is>
          <t>ช.ทรัพย์สินไทย</t>
        </is>
      </c>
      <c r="C521" s="26" t="n">
        <v>6163.2</v>
      </c>
      <c r="D521" s="20" t="inlineStr">
        <is>
          <t>IV6506258</t>
        </is>
      </c>
      <c r="E521" s="19" t="inlineStr">
        <is>
          <t>โอน 27/8/65</t>
        </is>
      </c>
      <c r="G521" s="26" t="n"/>
    </row>
    <row r="522">
      <c r="A522" s="157" t="n">
        <v>23917</v>
      </c>
      <c r="B522" s="19" t="inlineStr">
        <is>
          <t>ช.ทรัพย์สินไทย</t>
        </is>
      </c>
      <c r="C522" s="26" t="n">
        <v>14733.9</v>
      </c>
      <c r="D522" s="20" t="inlineStr">
        <is>
          <t>IV6506322</t>
        </is>
      </c>
      <c r="E522" s="19" t="inlineStr">
        <is>
          <t>โอน 27/8/65</t>
        </is>
      </c>
      <c r="G522" s="26" t="n"/>
    </row>
    <row r="523">
      <c r="A523" s="157" t="n">
        <v>23917</v>
      </c>
      <c r="B523" s="19" t="inlineStr">
        <is>
          <t>ช.ทรัพย์สินไทย</t>
        </is>
      </c>
      <c r="C523" s="26" t="n">
        <v>10554.48</v>
      </c>
      <c r="D523" s="20" t="inlineStr">
        <is>
          <t>IV6506328</t>
        </is>
      </c>
      <c r="E523" s="19" t="inlineStr">
        <is>
          <t>โอน 27/8/65</t>
        </is>
      </c>
      <c r="G523" s="26" t="n"/>
    </row>
    <row r="524">
      <c r="A524" s="157" t="n">
        <v>23920</v>
      </c>
      <c r="B524" s="19" t="inlineStr">
        <is>
          <t>ช.ทรัพย์สินไทย</t>
        </is>
      </c>
      <c r="C524" s="26" t="n">
        <v>45492.12</v>
      </c>
      <c r="D524" s="20" t="inlineStr">
        <is>
          <t>IV6506336</t>
        </is>
      </c>
      <c r="E524" s="19" t="inlineStr">
        <is>
          <t>โอน 27/8/65</t>
        </is>
      </c>
      <c r="G524" s="26" t="n"/>
    </row>
    <row r="525">
      <c r="A525" s="157" t="n">
        <v>23920</v>
      </c>
      <c r="B525" s="19" t="inlineStr">
        <is>
          <t>ช.ทรัพย์สินไทย</t>
        </is>
      </c>
      <c r="C525" s="26" t="n">
        <v>39454.11</v>
      </c>
      <c r="D525" s="20" t="inlineStr">
        <is>
          <t>IV6506337</t>
        </is>
      </c>
      <c r="E525" s="19" t="inlineStr">
        <is>
          <t>โอน 27/8/65</t>
        </is>
      </c>
      <c r="G525" s="26" t="n"/>
    </row>
    <row r="526">
      <c r="A526" s="157" t="n">
        <v>23920</v>
      </c>
      <c r="B526" s="19" t="inlineStr">
        <is>
          <t>ช.ทรัพย์สินไทย</t>
        </is>
      </c>
      <c r="C526" s="26" t="n">
        <v>66511.2</v>
      </c>
      <c r="D526" s="20" t="inlineStr">
        <is>
          <t>IV6506338</t>
        </is>
      </c>
      <c r="E526" s="19" t="inlineStr">
        <is>
          <t>โอน 27/8/65</t>
        </is>
      </c>
      <c r="G526" s="26" t="n"/>
    </row>
    <row r="528">
      <c r="B528" s="22" t="inlineStr">
        <is>
          <t>ต้นทุนอะไหล่</t>
        </is>
      </c>
    </row>
    <row r="529">
      <c r="B529" s="19" t="inlineStr">
        <is>
          <t>ร้านจิตต์ อะไหล่ Due 30/5 - 4/6/2565</t>
        </is>
      </c>
      <c r="C529" s="26" t="n">
        <v>56196</v>
      </c>
      <c r="E529" s="19" t="inlineStr">
        <is>
          <t>โอน 6/6/65</t>
        </is>
      </c>
    </row>
    <row r="530">
      <c r="B530" s="19" t="inlineStr">
        <is>
          <t>ร้านจิตต์ อะไหล่ Due 6 - 11/6/2565</t>
        </is>
      </c>
      <c r="C530" s="26" t="n">
        <v>27491</v>
      </c>
      <c r="E530" s="19" t="inlineStr">
        <is>
          <t>โอน 13/6/65</t>
        </is>
      </c>
    </row>
    <row r="531">
      <c r="B531" s="19" t="inlineStr">
        <is>
          <t>ร้านจิตต์ อะไหล่ Due 13 - 18/6/2565</t>
        </is>
      </c>
      <c r="C531" s="26" t="n">
        <v>41301</v>
      </c>
      <c r="E531" s="19" t="inlineStr">
        <is>
          <t>โอน 20/6/65</t>
        </is>
      </c>
    </row>
    <row r="532">
      <c r="B532" s="19" t="inlineStr">
        <is>
          <t>ร้านจิตต์ อะไหล่ Due 20 - 25/6/2565</t>
        </is>
      </c>
      <c r="C532" s="26" t="n">
        <v>46550</v>
      </c>
      <c r="E532" s="19" t="inlineStr">
        <is>
          <t>โอน 27/6/65</t>
        </is>
      </c>
    </row>
    <row r="533">
      <c r="B533" s="19" t="inlineStr">
        <is>
          <t>ร้านจิตต์ อะไหล่ Due 27/6 - 2/7/2565</t>
        </is>
      </c>
      <c r="C533" s="26" t="n">
        <v>32052</v>
      </c>
      <c r="E533" s="19" t="inlineStr">
        <is>
          <t>โอน 4/7/65</t>
        </is>
      </c>
    </row>
    <row r="534">
      <c r="B534" s="19" t="inlineStr">
        <is>
          <t>ศรีสยาม Due 23 - 29/5/2565</t>
        </is>
      </c>
      <c r="C534" s="26" t="n">
        <v>23518.47</v>
      </c>
      <c r="E534" s="19" t="inlineStr">
        <is>
          <t>โอน 1/7/65</t>
        </is>
      </c>
    </row>
    <row r="535">
      <c r="B535" s="19" t="inlineStr">
        <is>
          <t>ศรีสยาม Due 30/5 - 5/6/2565</t>
        </is>
      </c>
      <c r="C535" s="26" t="n">
        <v>60377.15</v>
      </c>
      <c r="E535" s="19" t="inlineStr">
        <is>
          <t>โอน 6/7/65</t>
        </is>
      </c>
    </row>
    <row r="536">
      <c r="B536" s="19" t="inlineStr">
        <is>
          <t>ศรีสยาม Due 6 - 12/6/2565</t>
        </is>
      </c>
      <c r="C536" s="26" t="n">
        <v>53042.11</v>
      </c>
      <c r="E536" s="19" t="inlineStr">
        <is>
          <t>โอน 19/7/65</t>
        </is>
      </c>
    </row>
    <row r="537">
      <c r="B537" s="19" t="inlineStr">
        <is>
          <t>ศรีสยาม Due 13 - 19/6/2565</t>
        </is>
      </c>
      <c r="C537" s="26" t="n">
        <v>73699.08</v>
      </c>
      <c r="E537" s="19" t="inlineStr">
        <is>
          <t>โอน 19/7/65</t>
        </is>
      </c>
    </row>
    <row r="538">
      <c r="B538" s="19" t="inlineStr">
        <is>
          <t>ศรีสยาม Due 20 - 26/6/2565</t>
        </is>
      </c>
      <c r="C538" s="26" t="n">
        <v>83340</v>
      </c>
      <c r="E538" s="19" t="inlineStr">
        <is>
          <t>โอน 2/8/65</t>
        </is>
      </c>
    </row>
    <row r="539">
      <c r="B539" s="19" t="inlineStr">
        <is>
          <t>ร้านเจ๊แอน</t>
        </is>
      </c>
      <c r="C539" s="26" t="n">
        <v>14390</v>
      </c>
      <c r="E539" s="19" t="inlineStr">
        <is>
          <t>โอน 1/7/65</t>
        </is>
      </c>
    </row>
    <row r="540">
      <c r="A540" s="157" t="n">
        <v>23901</v>
      </c>
      <c r="B540" s="19" t="inlineStr">
        <is>
          <t xml:space="preserve">กิ๊บน๊อต / ร้านต้นคิด   </t>
        </is>
      </c>
      <c r="C540" s="26" t="n">
        <v>1850</v>
      </c>
      <c r="E540" s="19" t="inlineStr">
        <is>
          <t>โอน 18/7/65</t>
        </is>
      </c>
    </row>
    <row r="541">
      <c r="B541" s="19" t="inlineStr">
        <is>
          <t>ร้านโสภา</t>
        </is>
      </c>
      <c r="C541" s="26" t="n">
        <v>4000</v>
      </c>
      <c r="E541" s="19" t="inlineStr">
        <is>
          <t>โอน 8/1/66</t>
        </is>
      </c>
    </row>
    <row r="543" customFormat="1" s="28">
      <c r="A543" s="102" t="inlineStr">
        <is>
          <t>รายการซื้อสินค้าเข้า ประจำเดือน 7/2565</t>
        </is>
      </c>
      <c r="B543" s="158" t="n"/>
      <c r="C543" s="158" t="n"/>
      <c r="D543" s="158" t="n"/>
      <c r="E543" s="158" t="n"/>
      <c r="F543" s="27" t="n"/>
      <c r="G543" s="27" t="n"/>
      <c r="H543" s="27" t="n"/>
      <c r="I543" s="27" t="n"/>
      <c r="J543" s="27" t="n"/>
    </row>
    <row r="544" customFormat="1" s="20">
      <c r="A544" s="159" t="inlineStr">
        <is>
          <t>ว/ด/ป</t>
        </is>
      </c>
      <c r="B544" s="21" t="inlineStr">
        <is>
          <t>ชื่อร้านค้า</t>
        </is>
      </c>
      <c r="C544" s="25" t="inlineStr">
        <is>
          <t>ยอดรวม</t>
        </is>
      </c>
      <c r="D544" s="21" t="inlineStr">
        <is>
          <t>เลขที่บิล</t>
        </is>
      </c>
      <c r="E544" s="21" t="inlineStr">
        <is>
          <t>หมายเหตุ</t>
        </is>
      </c>
    </row>
    <row r="545">
      <c r="B545" s="22" t="inlineStr">
        <is>
          <t>ต้นทุนสี</t>
        </is>
      </c>
    </row>
    <row r="546">
      <c r="A546" s="157" t="n">
        <v>23924</v>
      </c>
      <c r="B546" s="19" t="inlineStr">
        <is>
          <t>ห้างหุ้นส่วนจำกัด พี.บี. เพ้นต์</t>
        </is>
      </c>
      <c r="C546" s="26" t="n">
        <v>51360</v>
      </c>
      <c r="D546" s="20" t="inlineStr">
        <is>
          <t>65/399</t>
        </is>
      </c>
      <c r="E546" s="19" t="inlineStr">
        <is>
          <t>โอน 10/10/65</t>
        </is>
      </c>
    </row>
    <row r="547">
      <c r="A547" s="157" t="n">
        <v>23943</v>
      </c>
      <c r="B547" s="19" t="inlineStr">
        <is>
          <t>หจก. ไทยออโต้โคท (น้ำยาป้องกันสนิม ออโต้โคท/ทัฟโค้ท สีดำ)</t>
        </is>
      </c>
      <c r="C547" s="26" t="n">
        <v>6500</v>
      </c>
      <c r="D547" s="20" t="n">
        <v>224</v>
      </c>
      <c r="E547" s="19" t="inlineStr">
        <is>
          <t>โอน 20/7/65</t>
        </is>
      </c>
    </row>
    <row r="548">
      <c r="A548" s="157" t="n">
        <v>23943</v>
      </c>
      <c r="B548" s="19" t="inlineStr">
        <is>
          <t>ออโต้เทรด มาร์เก็ตติ้ง</t>
        </is>
      </c>
      <c r="C548" s="26" t="n">
        <v>11308.56</v>
      </c>
      <c r="E548" s="19" t="inlineStr">
        <is>
          <t>โอน 22/7/65</t>
        </is>
      </c>
    </row>
    <row r="549">
      <c r="A549" s="157" t="n">
        <v>23924</v>
      </c>
      <c r="B549" s="19" t="inlineStr">
        <is>
          <t xml:space="preserve">ทาเลนท์อินเตอร์เทรด </t>
        </is>
      </c>
      <c r="C549" s="26" t="n">
        <v>6409.3</v>
      </c>
      <c r="D549" s="20" t="inlineStr">
        <is>
          <t>IB3003412</t>
        </is>
      </c>
      <c r="E549" s="19" t="inlineStr">
        <is>
          <t>โอน 5/10/65</t>
        </is>
      </c>
    </row>
    <row r="550">
      <c r="A550" s="157" t="n">
        <v>23930</v>
      </c>
      <c r="B550" s="19" t="inlineStr">
        <is>
          <t xml:space="preserve">ทาเลนท์อินเตอร์เทรด </t>
        </is>
      </c>
      <c r="C550" s="26" t="n">
        <v>6180.32</v>
      </c>
      <c r="D550" s="20" t="inlineStr">
        <is>
          <t>IB3003750</t>
        </is>
      </c>
      <c r="E550" s="19" t="inlineStr">
        <is>
          <t>โอน 5/10/65</t>
        </is>
      </c>
      <c r="F550" s="26">
        <f>SUM(C549+C550+C552+C553)</f>
        <v/>
      </c>
    </row>
    <row r="551">
      <c r="A551" s="157" t="n">
        <v>23948</v>
      </c>
      <c r="B551" s="19" t="inlineStr">
        <is>
          <t xml:space="preserve">ทาเลนท์อินเตอร์เทรด </t>
        </is>
      </c>
      <c r="C551" s="26" t="n">
        <v>4665.2</v>
      </c>
      <c r="D551" s="20" t="inlineStr">
        <is>
          <t>IS1001539</t>
        </is>
      </c>
      <c r="E551" s="19" t="inlineStr">
        <is>
          <t>โอน 26/7/65</t>
        </is>
      </c>
    </row>
    <row r="552">
      <c r="A552" s="157" t="n">
        <v>23950</v>
      </c>
      <c r="B552" s="19" t="inlineStr">
        <is>
          <t xml:space="preserve">ทาเลนท์อินเตอร์เทรด </t>
        </is>
      </c>
      <c r="C552" s="26" t="n">
        <v>2953.2</v>
      </c>
      <c r="D552" s="20" t="inlineStr">
        <is>
          <t>IV2200950</t>
        </is>
      </c>
      <c r="E552" s="19" t="inlineStr">
        <is>
          <t>โอน 5/10/65</t>
        </is>
      </c>
      <c r="F552" s="19" t="inlineStr">
        <is>
          <t>ดิวจ่าย 25/10/65</t>
        </is>
      </c>
    </row>
    <row r="553">
      <c r="A553" s="157" t="n">
        <v>23925</v>
      </c>
      <c r="B553" s="19" t="inlineStr">
        <is>
          <t>ทาเลนท์อินเตอร์เทรด -- ใบลดหนี้</t>
        </is>
      </c>
      <c r="C553" s="41" t="n">
        <v>-254.66</v>
      </c>
      <c r="D553" s="46" t="inlineStr">
        <is>
          <t>SR6507002</t>
        </is>
      </c>
      <c r="E553" s="19" t="inlineStr">
        <is>
          <t>โอน 5/10/65</t>
        </is>
      </c>
    </row>
    <row r="554">
      <c r="A554" s="157" t="n">
        <v>23939</v>
      </c>
      <c r="B554" s="19" t="inlineStr">
        <is>
          <t>บจก. วีที คัลเลอร์ โปร</t>
        </is>
      </c>
      <c r="C554" s="26" t="n">
        <v>2503.8</v>
      </c>
      <c r="D554" s="20" t="inlineStr">
        <is>
          <t>IV095-65</t>
        </is>
      </c>
      <c r="E554" s="19" t="inlineStr">
        <is>
          <t>โอน 4/9/65</t>
        </is>
      </c>
    </row>
    <row r="555">
      <c r="A555" s="157" t="n">
        <v>23943</v>
      </c>
      <c r="B555" s="19" t="inlineStr">
        <is>
          <t>บจก. วีที คัลเลอร์ โปร</t>
        </is>
      </c>
      <c r="C555" s="26" t="n">
        <v>9758.4</v>
      </c>
      <c r="D555" s="20" t="inlineStr">
        <is>
          <t>IV099-65</t>
        </is>
      </c>
      <c r="E555" s="19" t="inlineStr">
        <is>
          <t>โอน 4/9/65</t>
        </is>
      </c>
    </row>
    <row r="556">
      <c r="A556" s="157" t="n">
        <v>23943</v>
      </c>
      <c r="B556" s="19" t="inlineStr">
        <is>
          <t>บจก. วีที คัลเลอร์ โปร</t>
        </is>
      </c>
      <c r="C556" s="26" t="n">
        <v>9417.18</v>
      </c>
      <c r="D556" s="20" t="inlineStr">
        <is>
          <t>IV100-65</t>
        </is>
      </c>
      <c r="E556" s="19" t="inlineStr">
        <is>
          <t>โอน 4/9/65</t>
        </is>
      </c>
    </row>
    <row r="557">
      <c r="A557" s="157" t="n">
        <v>23944</v>
      </c>
      <c r="B557" s="19" t="inlineStr">
        <is>
          <t>บจก. วีที คัลเลอร์ โปร</t>
        </is>
      </c>
      <c r="C557" s="26" t="n">
        <v>16371</v>
      </c>
      <c r="D557" s="20" t="inlineStr">
        <is>
          <t>IV101-65</t>
        </is>
      </c>
      <c r="E557" s="19" t="inlineStr">
        <is>
          <t>โอน 4/9/65</t>
        </is>
      </c>
      <c r="G557" s="26" t="n"/>
    </row>
    <row r="558">
      <c r="A558" s="157" t="n">
        <v>23936</v>
      </c>
      <c r="B558" s="19" t="inlineStr">
        <is>
          <t>ช.ทรัพย์สินไทย</t>
        </is>
      </c>
      <c r="C558" s="26" t="n">
        <v>5842.2</v>
      </c>
      <c r="D558" s="20" t="inlineStr">
        <is>
          <t>IV6507157</t>
        </is>
      </c>
      <c r="E558" s="19" t="inlineStr">
        <is>
          <t>โอน 27/10/65</t>
        </is>
      </c>
      <c r="G558" s="26" t="n"/>
    </row>
    <row r="559">
      <c r="A559" s="157" t="n">
        <v>23930</v>
      </c>
      <c r="B559" s="19" t="inlineStr">
        <is>
          <t>ช.ทรัพย์สินไทย</t>
        </is>
      </c>
      <c r="C559" s="26" t="n">
        <v>10005.57</v>
      </c>
      <c r="D559" s="20" t="inlineStr">
        <is>
          <t>IV6507108</t>
        </is>
      </c>
      <c r="E559" s="19" t="inlineStr">
        <is>
          <t>โอน 27/10/65</t>
        </is>
      </c>
      <c r="G559" s="26" t="n"/>
    </row>
    <row r="561">
      <c r="B561" s="22" t="inlineStr">
        <is>
          <t>ต้นทุนอะไหล่</t>
        </is>
      </c>
    </row>
    <row r="562">
      <c r="B562" s="19" t="inlineStr">
        <is>
          <t>ศรีสยาม Due 27/6 - 3/7/2565</t>
        </is>
      </c>
      <c r="C562" s="26" t="n">
        <v>39927.91</v>
      </c>
      <c r="E562" s="19" t="inlineStr">
        <is>
          <t>โอน 2/8/65</t>
        </is>
      </c>
    </row>
    <row r="563">
      <c r="B563" s="19" t="inlineStr">
        <is>
          <t>ศรีสยาม Due 4 - 10/7/2565</t>
        </is>
      </c>
      <c r="C563" s="26" t="n">
        <v>113005.6</v>
      </c>
      <c r="E563" s="19" t="inlineStr">
        <is>
          <t>โอน 11/8/65</t>
        </is>
      </c>
    </row>
    <row r="564">
      <c r="B564" s="19" t="inlineStr">
        <is>
          <t>ศรีสยาม Due 11 - 17/7/2565</t>
        </is>
      </c>
      <c r="C564" s="26" t="n">
        <v>36682.93</v>
      </c>
      <c r="E564" s="19" t="inlineStr">
        <is>
          <t>โอน 20/8/65</t>
        </is>
      </c>
    </row>
    <row r="565">
      <c r="B565" s="19" t="inlineStr">
        <is>
          <t>ศรีสยาม Due 18 - 24/7/2565</t>
        </is>
      </c>
      <c r="C565" s="26" t="n">
        <v>22428.47</v>
      </c>
      <c r="E565" s="19" t="inlineStr">
        <is>
          <t>โอน 27/8/65</t>
        </is>
      </c>
    </row>
    <row r="566">
      <c r="B566" s="19" t="inlineStr">
        <is>
          <t>ศรีสยาม Due 25 - 31/7/2565</t>
        </is>
      </c>
      <c r="C566" s="26" t="n">
        <v>30281.81</v>
      </c>
      <c r="E566" s="19" t="inlineStr">
        <is>
          <t>โอน 2/9/65</t>
        </is>
      </c>
    </row>
    <row r="567">
      <c r="B567" s="19" t="inlineStr">
        <is>
          <t>ร้านจิตต์ อะไหล่ Due 4 - 9/7/2565</t>
        </is>
      </c>
      <c r="C567" s="26" t="n">
        <v>58519</v>
      </c>
      <c r="E567" s="19" t="inlineStr">
        <is>
          <t>โอน 11/7/65</t>
        </is>
      </c>
    </row>
    <row r="568">
      <c r="B568" s="19" t="inlineStr">
        <is>
          <t>ร้านจิตต์ อะไหล่ Due 11 - 16/7/2565</t>
        </is>
      </c>
      <c r="C568" s="26" t="n">
        <v>27762</v>
      </c>
      <c r="E568" s="19" t="inlineStr">
        <is>
          <t>โอน 18/7/65</t>
        </is>
      </c>
    </row>
    <row r="569">
      <c r="B569" s="19" t="inlineStr">
        <is>
          <t>ร้านจิตต์ อะไหล่ Due 18 - 23/7/2565</t>
        </is>
      </c>
      <c r="C569" s="26" t="n">
        <v>19460</v>
      </c>
      <c r="E569" s="19" t="inlineStr">
        <is>
          <t>โอน 25/7/65</t>
        </is>
      </c>
    </row>
    <row r="570">
      <c r="B570" s="19" t="inlineStr">
        <is>
          <t>ร้านจิตต์ อะไหล่ Due 25 - 30/7/2565</t>
        </is>
      </c>
      <c r="C570" s="26" t="n">
        <v>29316</v>
      </c>
      <c r="E570" s="19" t="inlineStr">
        <is>
          <t>โอน 1/8/65</t>
        </is>
      </c>
    </row>
    <row r="571">
      <c r="B571" s="19" t="inlineStr">
        <is>
          <t>ร้านเจ๊แอน</t>
        </is>
      </c>
      <c r="C571" s="26" t="n">
        <v>52240</v>
      </c>
      <c r="E571" s="19" t="inlineStr">
        <is>
          <t>โอน 4/8/65</t>
        </is>
      </c>
    </row>
    <row r="572">
      <c r="B572" s="19" t="inlineStr">
        <is>
          <t>ร้านโสภา</t>
        </is>
      </c>
      <c r="C572" s="26" t="n">
        <v>4500</v>
      </c>
      <c r="E572" s="19" t="inlineStr">
        <is>
          <t>โอน 8/1/66</t>
        </is>
      </c>
    </row>
    <row r="574" customFormat="1" s="28">
      <c r="A574" s="102" t="inlineStr">
        <is>
          <t>รายการซื้อสินค้าเข้า ประจำเดือน 8/2565</t>
        </is>
      </c>
      <c r="B574" s="158" t="n"/>
      <c r="C574" s="158" t="n"/>
      <c r="D574" s="158" t="n"/>
      <c r="E574" s="158" t="n"/>
      <c r="F574" s="27" t="n"/>
      <c r="G574" s="27" t="n"/>
      <c r="H574" s="27" t="n"/>
      <c r="I574" s="27" t="n"/>
      <c r="J574" s="27" t="n"/>
    </row>
    <row r="575" customFormat="1" s="20">
      <c r="A575" s="159" t="inlineStr">
        <is>
          <t>ว/ด/ป</t>
        </is>
      </c>
      <c r="B575" s="21" t="inlineStr">
        <is>
          <t>ชื่อร้านค้า</t>
        </is>
      </c>
      <c r="C575" s="25" t="inlineStr">
        <is>
          <t>ยอดรวม</t>
        </is>
      </c>
      <c r="D575" s="21" t="inlineStr">
        <is>
          <t>เลขที่บิล</t>
        </is>
      </c>
      <c r="E575" s="21" t="inlineStr">
        <is>
          <t>หมายเหตุ</t>
        </is>
      </c>
    </row>
    <row r="576">
      <c r="B576" s="22" t="inlineStr">
        <is>
          <t>ต้นทุนสี</t>
        </is>
      </c>
    </row>
    <row r="577">
      <c r="A577" s="157" t="n">
        <v>23955</v>
      </c>
      <c r="B577" s="19" t="inlineStr">
        <is>
          <t xml:space="preserve">ทาเลนท์อินเตอร์เทรด </t>
        </is>
      </c>
      <c r="C577" s="26" t="n">
        <v>2551.95</v>
      </c>
      <c r="D577" s="20" t="inlineStr">
        <is>
          <t>IV2201139</t>
        </is>
      </c>
      <c r="E577" s="19" t="inlineStr">
        <is>
          <t>โอน 6/12/65</t>
        </is>
      </c>
      <c r="F577" s="19" t="inlineStr">
        <is>
          <t>ดิวจ่าย 30/10/65</t>
        </is>
      </c>
    </row>
    <row r="578">
      <c r="A578" s="157" t="n">
        <v>23964</v>
      </c>
      <c r="B578" s="19" t="inlineStr">
        <is>
          <t xml:space="preserve">ทาเลนท์อินเตอร์เทรด </t>
        </is>
      </c>
      <c r="C578" s="26" t="n">
        <v>2953.2</v>
      </c>
      <c r="D578" s="20" t="inlineStr">
        <is>
          <t>IV2201850</t>
        </is>
      </c>
      <c r="E578" s="19" t="inlineStr">
        <is>
          <t>โอน 6/12/65</t>
        </is>
      </c>
    </row>
    <row r="579">
      <c r="A579" s="157" t="n">
        <v>23983</v>
      </c>
      <c r="B579" s="19" t="inlineStr">
        <is>
          <t xml:space="preserve">ทาเลนท์อินเตอร์เทรด </t>
        </is>
      </c>
      <c r="C579" s="26" t="n">
        <v>2953.2</v>
      </c>
      <c r="D579" s="20" t="inlineStr">
        <is>
          <t>IV2202823</t>
        </is>
      </c>
      <c r="E579" s="19" t="inlineStr">
        <is>
          <t>โอน 6/12/65</t>
        </is>
      </c>
      <c r="G579" s="26" t="n"/>
    </row>
    <row r="580">
      <c r="A580" s="157" t="n">
        <v>23979</v>
      </c>
      <c r="B580" s="19" t="inlineStr">
        <is>
          <t xml:space="preserve">ทาเลนท์อินเตอร์เทรด </t>
        </is>
      </c>
      <c r="C580" s="26" t="n">
        <v>4665.2</v>
      </c>
      <c r="D580" s="20" t="inlineStr">
        <is>
          <t>IS1002068</t>
        </is>
      </c>
      <c r="E580" s="19" t="inlineStr">
        <is>
          <t>โอน 26/8/65</t>
        </is>
      </c>
    </row>
    <row r="581">
      <c r="A581" s="157" t="n">
        <v>23979</v>
      </c>
      <c r="B581" s="19" t="inlineStr">
        <is>
          <t xml:space="preserve">ทาเลนท์อินเตอร์เทรด </t>
        </is>
      </c>
      <c r="C581" s="26" t="n">
        <v>583.15</v>
      </c>
      <c r="D581" s="20" t="inlineStr">
        <is>
          <t>IV2202681</t>
        </is>
      </c>
      <c r="E581" s="19" t="inlineStr">
        <is>
          <t>โอน 6/12/65</t>
        </is>
      </c>
    </row>
    <row r="582">
      <c r="A582" s="157" t="n">
        <v>23956</v>
      </c>
      <c r="B582" s="19" t="inlineStr">
        <is>
          <t>บจก. วีที คัลเลอร์ โปร</t>
        </is>
      </c>
      <c r="C582" s="26" t="n">
        <v>37054.1</v>
      </c>
      <c r="D582" s="20" t="inlineStr">
        <is>
          <t>IV116-65</t>
        </is>
      </c>
      <c r="E582" s="19" t="inlineStr">
        <is>
          <t>โอน 27/10/65</t>
        </is>
      </c>
      <c r="G582" s="26" t="n"/>
    </row>
    <row r="583">
      <c r="A583" s="157" t="n">
        <v>23959</v>
      </c>
      <c r="B583" s="19" t="inlineStr">
        <is>
          <t>บจก. วีที คัลเลอร์ โปร</t>
        </is>
      </c>
      <c r="C583" s="26" t="n">
        <v>5885</v>
      </c>
      <c r="D583" s="20" t="inlineStr">
        <is>
          <t>IV124-65</t>
        </is>
      </c>
      <c r="E583" s="19" t="inlineStr">
        <is>
          <t>โอน 27/10/65</t>
        </is>
      </c>
    </row>
    <row r="584">
      <c r="A584" s="157" t="n">
        <v>23978</v>
      </c>
      <c r="B584" s="19" t="inlineStr">
        <is>
          <t>บจก. วีที คัลเลอร์ โปร</t>
        </is>
      </c>
      <c r="C584" s="26" t="n">
        <v>94138.60000000001</v>
      </c>
      <c r="D584" s="20" t="inlineStr">
        <is>
          <t>IV147-65</t>
        </is>
      </c>
      <c r="E584" s="19" t="inlineStr">
        <is>
          <t>โอน 27/10/65</t>
        </is>
      </c>
    </row>
    <row r="585">
      <c r="A585" s="157" t="n">
        <v>23978</v>
      </c>
      <c r="B585" s="19" t="inlineStr">
        <is>
          <t>บจก. วีที คัลเลอร์ โปร</t>
        </is>
      </c>
      <c r="C585" s="26" t="n">
        <v>44191</v>
      </c>
      <c r="D585" s="20" t="inlineStr">
        <is>
          <t>IV148-65</t>
        </is>
      </c>
      <c r="E585" s="19" t="inlineStr">
        <is>
          <t>โอน 27/10/65</t>
        </is>
      </c>
    </row>
    <row r="586">
      <c r="A586" s="157" t="n">
        <v>23980</v>
      </c>
      <c r="B586" s="19" t="inlineStr">
        <is>
          <t>บจก. วีที คัลเลอร์ โปร</t>
        </is>
      </c>
      <c r="C586" s="26" t="n">
        <v>6840.14</v>
      </c>
      <c r="D586" s="20" t="inlineStr">
        <is>
          <t>IV152-65</t>
        </is>
      </c>
      <c r="E586" s="19" t="inlineStr">
        <is>
          <t>โอน 27/10/65</t>
        </is>
      </c>
    </row>
    <row r="587">
      <c r="A587" s="157" t="n">
        <v>23974</v>
      </c>
      <c r="B587" s="19" t="inlineStr">
        <is>
          <t>ไทยนครพัฒนา</t>
        </is>
      </c>
      <c r="C587" s="26" t="n">
        <v>29425</v>
      </c>
      <c r="D587" s="20" t="inlineStr">
        <is>
          <t>INV22080756</t>
        </is>
      </c>
      <c r="E587" s="19" t="inlineStr">
        <is>
          <t>โอน 5/10/65</t>
        </is>
      </c>
    </row>
    <row r="589">
      <c r="B589" s="22" t="inlineStr">
        <is>
          <t>ต้นทุนอะไหล่</t>
        </is>
      </c>
    </row>
    <row r="590">
      <c r="B590" s="19" t="inlineStr">
        <is>
          <t>ร้านจิตต์ อะไหล่ Due 1 - 6/8/2565</t>
        </is>
      </c>
      <c r="C590" s="26" t="n">
        <v>8083.94</v>
      </c>
      <c r="E590" s="19" t="inlineStr">
        <is>
          <t>โอน 8/8/65</t>
        </is>
      </c>
    </row>
    <row r="591">
      <c r="B591" s="19" t="inlineStr">
        <is>
          <t>ร้านจิตต์ อะไหล่ Due 8 - 13/8/2565</t>
        </is>
      </c>
      <c r="C591" s="26" t="n">
        <v>25942</v>
      </c>
      <c r="E591" s="19" t="inlineStr">
        <is>
          <t>โอน 15/8/65</t>
        </is>
      </c>
    </row>
    <row r="592">
      <c r="B592" s="19" t="inlineStr">
        <is>
          <t>ร้านจิตต์ อะไหล่ Due 15 - 20/8/2565</t>
        </is>
      </c>
      <c r="C592" s="26" t="n">
        <v>16506</v>
      </c>
      <c r="E592" s="19" t="inlineStr">
        <is>
          <t>โอน 22/8/65</t>
        </is>
      </c>
    </row>
    <row r="593">
      <c r="B593" s="19" t="inlineStr">
        <is>
          <t>ร้านจิตต์ อะไหล่ Due 22 - 27/8/2565</t>
        </is>
      </c>
      <c r="C593" s="26" t="n">
        <v>46897</v>
      </c>
      <c r="E593" s="19" t="inlineStr">
        <is>
          <t>โอน 29/8/65</t>
        </is>
      </c>
    </row>
    <row r="594">
      <c r="B594" s="19" t="inlineStr">
        <is>
          <t>ศรีสยาม Due 1 - 7/8/2565</t>
        </is>
      </c>
      <c r="C594" s="26" t="n">
        <v>31555.69</v>
      </c>
      <c r="E594" s="19" t="inlineStr">
        <is>
          <t>โอน 10/9/65</t>
        </is>
      </c>
    </row>
    <row r="595">
      <c r="B595" s="19" t="inlineStr">
        <is>
          <t>ศรีสยาม Due 8 - 14/8/2565</t>
        </is>
      </c>
      <c r="C595" s="26" t="n">
        <v>25628.62</v>
      </c>
      <c r="E595" s="19" t="inlineStr">
        <is>
          <t>โอน 14/9/65</t>
        </is>
      </c>
    </row>
    <row r="596">
      <c r="B596" s="19" t="inlineStr">
        <is>
          <t>ศรีสยาม Due 15 - 21/8/65</t>
        </is>
      </c>
      <c r="C596" s="26" t="n">
        <v>27900.24</v>
      </c>
      <c r="E596" s="19" t="inlineStr">
        <is>
          <t>โอน 26/9/65</t>
        </is>
      </c>
    </row>
    <row r="597">
      <c r="B597" s="19" t="inlineStr">
        <is>
          <t>ศรีสยาม Due 22 - 28/8/65</t>
        </is>
      </c>
      <c r="C597" s="26" t="n">
        <v>31894.12</v>
      </c>
      <c r="E597" s="19" t="inlineStr">
        <is>
          <t>โอน 30/9/65</t>
        </is>
      </c>
    </row>
    <row r="598">
      <c r="B598" s="19" t="inlineStr">
        <is>
          <t>ร้านเจ๊แอน</t>
        </is>
      </c>
      <c r="C598" s="26" t="n">
        <v>31020</v>
      </c>
      <c r="E598" s="19" t="inlineStr">
        <is>
          <t>โอน 1/9/65</t>
        </is>
      </c>
    </row>
    <row r="599">
      <c r="A599" s="157" t="n">
        <v>23959</v>
      </c>
      <c r="B599" s="19" t="inlineStr">
        <is>
          <t xml:space="preserve">กิ๊บน๊อต / ร้านต้นคิด   </t>
        </is>
      </c>
      <c r="C599" s="26" t="n">
        <v>3600</v>
      </c>
      <c r="E599" s="19" t="inlineStr">
        <is>
          <t>โอน 21/9/65</t>
        </is>
      </c>
    </row>
    <row r="600">
      <c r="B600" s="19" t="inlineStr">
        <is>
          <t>ร้านโสภา</t>
        </is>
      </c>
      <c r="C600" s="26" t="n">
        <v>5460</v>
      </c>
      <c r="E600" s="19" t="inlineStr">
        <is>
          <t>โอน 8/1/66</t>
        </is>
      </c>
    </row>
    <row r="602" customFormat="1" s="28">
      <c r="A602" s="102" t="inlineStr">
        <is>
          <t>รายการซื้อสินค้าเข้า ประจำเดือน 9/2565</t>
        </is>
      </c>
      <c r="B602" s="158" t="n"/>
      <c r="C602" s="158" t="n"/>
      <c r="D602" s="158" t="n"/>
      <c r="E602" s="158" t="n"/>
      <c r="F602" s="27" t="n"/>
      <c r="G602" s="27" t="n"/>
      <c r="H602" s="27" t="n"/>
      <c r="I602" s="27" t="n"/>
      <c r="J602" s="27" t="n"/>
    </row>
    <row r="603" customFormat="1" s="20">
      <c r="A603" s="159" t="inlineStr">
        <is>
          <t>ว/ด/ป</t>
        </is>
      </c>
      <c r="B603" s="21" t="inlineStr">
        <is>
          <t>ชื่อร้านค้า</t>
        </is>
      </c>
      <c r="C603" s="25" t="inlineStr">
        <is>
          <t>ยอดรวม</t>
        </is>
      </c>
      <c r="D603" s="21" t="inlineStr">
        <is>
          <t>เลขที่บิล</t>
        </is>
      </c>
      <c r="E603" s="21" t="inlineStr">
        <is>
          <t>หมายเหตุ</t>
        </is>
      </c>
    </row>
    <row r="604">
      <c r="B604" s="22" t="inlineStr">
        <is>
          <t>ต้นทุนสี</t>
        </is>
      </c>
    </row>
    <row r="605">
      <c r="A605" s="157" t="n">
        <v>23998</v>
      </c>
      <c r="B605" s="19" t="inlineStr">
        <is>
          <t>หจก. ไทยออโต้โคท (น้ำยาป้องกันสนิม ออโต้โคท/ทัฟโค้ท สีดำ)</t>
        </is>
      </c>
      <c r="C605" s="26" t="n">
        <v>6500</v>
      </c>
      <c r="D605" s="20" t="n">
        <v>230</v>
      </c>
      <c r="E605" s="19" t="inlineStr">
        <is>
          <t>โอน 13/9/65</t>
        </is>
      </c>
    </row>
    <row r="606">
      <c r="A606" s="157" t="n">
        <v>23994</v>
      </c>
      <c r="B606" s="19" t="inlineStr">
        <is>
          <t xml:space="preserve">ทาเลนท์อินเตอร์เทรด </t>
        </is>
      </c>
      <c r="C606" s="26" t="n">
        <v>3178.97</v>
      </c>
      <c r="D606" s="20" t="inlineStr">
        <is>
          <t>IV2203571</t>
        </is>
      </c>
      <c r="E606" s="19" t="inlineStr">
        <is>
          <t>โอน 4/1/66</t>
        </is>
      </c>
      <c r="F606" s="19" t="inlineStr">
        <is>
          <t>ลงคอมพ์แล้ว</t>
        </is>
      </c>
    </row>
    <row r="607">
      <c r="A607" s="157" t="n">
        <v>23994</v>
      </c>
      <c r="B607" s="19" t="inlineStr">
        <is>
          <t xml:space="preserve">ทาเลนท์อินเตอร์เทรด </t>
        </is>
      </c>
      <c r="C607" s="26" t="n">
        <v>2050.12</v>
      </c>
      <c r="D607" s="20" t="inlineStr">
        <is>
          <t>IV2203592</t>
        </is>
      </c>
      <c r="E607" s="19" t="inlineStr">
        <is>
          <t>โอน 4/1/66</t>
        </is>
      </c>
    </row>
    <row r="608">
      <c r="A608" s="157" t="n">
        <v>23995</v>
      </c>
      <c r="B608" s="19" t="inlineStr">
        <is>
          <t xml:space="preserve">ทาเลนท์อินเตอร์เทรด </t>
        </is>
      </c>
      <c r="C608" s="26" t="n">
        <v>7412.96</v>
      </c>
      <c r="D608" s="20" t="inlineStr">
        <is>
          <t>IV2203682</t>
        </is>
      </c>
      <c r="E608" s="19" t="inlineStr">
        <is>
          <t>โอน 4/1/66</t>
        </is>
      </c>
    </row>
    <row r="609">
      <c r="A609" s="157" t="n">
        <v>24004</v>
      </c>
      <c r="B609" s="19" t="inlineStr">
        <is>
          <t xml:space="preserve">ทาเลนท์อินเตอร์เทรด </t>
        </is>
      </c>
      <c r="C609" s="26" t="n">
        <v>4416.96</v>
      </c>
      <c r="D609" s="20" t="inlineStr">
        <is>
          <t>IV2204141</t>
        </is>
      </c>
      <c r="E609" s="19" t="inlineStr">
        <is>
          <t>โอน 4/1/66</t>
        </is>
      </c>
      <c r="F609" s="19" t="inlineStr">
        <is>
          <t>ลงคอมพ์แล้ว</t>
        </is>
      </c>
    </row>
    <row r="610">
      <c r="A610" s="157" t="n">
        <v>24005</v>
      </c>
      <c r="B610" s="19" t="inlineStr">
        <is>
          <t xml:space="preserve">ทาเลนท์อินเตอร์เทรด </t>
        </is>
      </c>
      <c r="C610" s="26" t="n">
        <v>1232.64</v>
      </c>
      <c r="D610" s="20" t="inlineStr">
        <is>
          <t>IV2204195</t>
        </is>
      </c>
      <c r="E610" s="19" t="inlineStr">
        <is>
          <t>โอน 4/1/66</t>
        </is>
      </c>
      <c r="F610" s="19" t="inlineStr">
        <is>
          <t>ลงคอมพ์แล้ว</t>
        </is>
      </c>
    </row>
    <row r="611" customFormat="1" s="48">
      <c r="A611" s="160" t="n">
        <v>23997</v>
      </c>
      <c r="B611" s="48" t="inlineStr">
        <is>
          <t>ทาเลนท์อินเตอร์เทรด -- ใบลดหนี้</t>
        </is>
      </c>
      <c r="C611" s="41" t="n">
        <v>-4665.2</v>
      </c>
      <c r="D611" s="46" t="inlineStr">
        <is>
          <t>SR6509007</t>
        </is>
      </c>
      <c r="E611" s="19" t="inlineStr">
        <is>
          <t>โอน 4/1/66</t>
        </is>
      </c>
      <c r="F611" s="19" t="inlineStr">
        <is>
          <t>ลงคอมพ์แล้ว</t>
        </is>
      </c>
    </row>
    <row r="612" customFormat="1" s="48">
      <c r="A612" s="160" t="n">
        <v>23997</v>
      </c>
      <c r="B612" s="48" t="inlineStr">
        <is>
          <t>ทาเลนท์อินเตอร์เทรด -- ใบลดหนี้</t>
        </is>
      </c>
      <c r="C612" s="41" t="n">
        <v>-2332.6</v>
      </c>
      <c r="D612" s="46" t="inlineStr">
        <is>
          <t>SR6509008</t>
        </is>
      </c>
      <c r="E612" s="19" t="inlineStr">
        <is>
          <t>โอน 4/1/66</t>
        </is>
      </c>
      <c r="F612" s="19" t="inlineStr">
        <is>
          <t>ลงคอมพ์แล้ว</t>
        </is>
      </c>
    </row>
    <row r="613">
      <c r="A613" s="157" t="n">
        <v>23992</v>
      </c>
      <c r="B613" s="19" t="inlineStr">
        <is>
          <t>บจก. วีที คัลเลอร์ โปร</t>
        </is>
      </c>
      <c r="C613" s="26" t="n">
        <v>2942.5</v>
      </c>
      <c r="D613" s="20" t="inlineStr">
        <is>
          <t>IV166-65</t>
        </is>
      </c>
      <c r="E613" s="19" t="inlineStr">
        <is>
          <t>โอน 20/12/65</t>
        </is>
      </c>
    </row>
    <row r="614">
      <c r="A614" s="157" t="n">
        <v>23992</v>
      </c>
      <c r="B614" s="19" t="inlineStr">
        <is>
          <t>บจก. วีที คัลเลอร์ โปร</t>
        </is>
      </c>
      <c r="C614" s="26" t="n">
        <v>21036.2</v>
      </c>
      <c r="D614" s="20" t="inlineStr">
        <is>
          <t>IV167-65</t>
        </is>
      </c>
      <c r="E614" s="19" t="inlineStr">
        <is>
          <t>โอน 20/12/65</t>
        </is>
      </c>
    </row>
    <row r="615">
      <c r="A615" s="157" t="n">
        <v>24005</v>
      </c>
      <c r="B615" s="19" t="inlineStr">
        <is>
          <t>บจก. วีที คัลเลอร์ โปร</t>
        </is>
      </c>
      <c r="C615" s="26" t="n">
        <v>125853.4</v>
      </c>
      <c r="D615" s="20" t="inlineStr">
        <is>
          <t>IV183-65</t>
        </is>
      </c>
      <c r="E615" s="19" t="inlineStr">
        <is>
          <t>โอน 20/12/65</t>
        </is>
      </c>
    </row>
    <row r="616">
      <c r="A616" s="157" t="n">
        <v>24005</v>
      </c>
      <c r="B616" s="19" t="inlineStr">
        <is>
          <t>บจก. วีที คัลเลอร์ โปร</t>
        </is>
      </c>
      <c r="C616" s="26" t="n">
        <v>66714.5</v>
      </c>
      <c r="D616" s="20" t="inlineStr">
        <is>
          <t>IV184-65</t>
        </is>
      </c>
      <c r="E616" s="19" t="inlineStr">
        <is>
          <t>โอน 20/12/65</t>
        </is>
      </c>
    </row>
    <row r="617">
      <c r="A617" s="157" t="n">
        <v>23997</v>
      </c>
      <c r="B617" s="19" t="inlineStr">
        <is>
          <t>ออโต้เทรด มาร์เก็ตติ้ง</t>
        </is>
      </c>
      <c r="C617" s="26" t="n">
        <v>14605.5</v>
      </c>
      <c r="E617" s="19" t="inlineStr">
        <is>
          <t>โอน 14/9/65</t>
        </is>
      </c>
    </row>
    <row r="618">
      <c r="A618" s="157" t="n">
        <v>24001</v>
      </c>
      <c r="B618" s="19" t="inlineStr">
        <is>
          <t>ห้างหุ้นส่วนจำกัด พี.บี. เพ้นต์</t>
        </is>
      </c>
      <c r="C618" s="26" t="n">
        <v>51360</v>
      </c>
      <c r="D618" s="20" t="inlineStr">
        <is>
          <t>65/582</t>
        </is>
      </c>
      <c r="E618" s="19" t="inlineStr">
        <is>
          <t>โอน 14/12/65</t>
        </is>
      </c>
    </row>
    <row r="620">
      <c r="B620" s="22" t="inlineStr">
        <is>
          <t>ต้นทุนอะไหล่</t>
        </is>
      </c>
    </row>
    <row r="621">
      <c r="B621" s="19" t="inlineStr">
        <is>
          <t>ร้านจิตต์ อะไหล่ Due 29/8 - 3/9/2565</t>
        </is>
      </c>
      <c r="C621" s="26" t="n">
        <v>33091</v>
      </c>
      <c r="E621" s="19" t="inlineStr">
        <is>
          <t>โอน 5/9/65</t>
        </is>
      </c>
    </row>
    <row r="622">
      <c r="B622" s="19" t="inlineStr">
        <is>
          <t>ร้านจิตต์ อะไหล่ Due 5 - 10/9/2565</t>
        </is>
      </c>
      <c r="C622" s="26" t="n">
        <v>36632</v>
      </c>
      <c r="E622" s="19" t="inlineStr">
        <is>
          <t>โอน 12/9/65</t>
        </is>
      </c>
    </row>
    <row r="623">
      <c r="B623" s="19" t="inlineStr">
        <is>
          <t>ร้านจิตต์ อะไหล่ Due 12 - 17/9/2565</t>
        </is>
      </c>
      <c r="C623" s="26" t="n">
        <v>17796</v>
      </c>
      <c r="E623" s="19" t="inlineStr">
        <is>
          <t>โอน 19/9/65</t>
        </is>
      </c>
    </row>
    <row r="624">
      <c r="B624" s="19" t="inlineStr">
        <is>
          <t>ร้านจิตต์ อะไหล่ Due 19 - 24/9/2565</t>
        </is>
      </c>
      <c r="C624" s="26" t="n">
        <v>27314</v>
      </c>
      <c r="E624" s="19" t="inlineStr">
        <is>
          <t>โอน 26/9/65</t>
        </is>
      </c>
    </row>
    <row r="625">
      <c r="B625" s="19" t="inlineStr">
        <is>
          <t>ร้านจิตต์ อะไหล่ Due 26/9 - 1/10/2565</t>
        </is>
      </c>
      <c r="C625" s="26" t="n">
        <v>41010</v>
      </c>
      <c r="E625" s="19" t="inlineStr">
        <is>
          <t>โอน 3/10/65</t>
        </is>
      </c>
    </row>
    <row r="626">
      <c r="B626" s="19" t="inlineStr">
        <is>
          <t>ศรีสยาม Due 29/8 - 4/9/65</t>
        </is>
      </c>
      <c r="C626" s="26" t="n">
        <v>34272.71</v>
      </c>
      <c r="E626" s="19" t="inlineStr">
        <is>
          <t>โอน 8/10/65</t>
        </is>
      </c>
    </row>
    <row r="627">
      <c r="B627" s="19" t="inlineStr">
        <is>
          <t>ศรีสยาม Due 5 - 11/9/65</t>
        </is>
      </c>
      <c r="C627" s="26" t="n">
        <v>31403.08</v>
      </c>
      <c r="E627" s="19" t="inlineStr">
        <is>
          <t>โอน 12/10/65</t>
        </is>
      </c>
    </row>
    <row r="628">
      <c r="B628" s="19" t="inlineStr">
        <is>
          <t>ศรีสยาม Due 12 - 18/9/65</t>
        </is>
      </c>
      <c r="C628" s="26" t="n">
        <v>42262.53</v>
      </c>
      <c r="E628" s="19" t="inlineStr">
        <is>
          <t>โอน 18/10/65</t>
        </is>
      </c>
    </row>
    <row r="629">
      <c r="B629" s="19" t="inlineStr">
        <is>
          <t>ศรีสยาม Due 19 - 25/9/65</t>
        </is>
      </c>
      <c r="C629" s="26" t="n">
        <v>40901.84</v>
      </c>
      <c r="E629" s="19" t="inlineStr">
        <is>
          <t>โอน 27/10/65</t>
        </is>
      </c>
    </row>
    <row r="630">
      <c r="B630" s="19" t="inlineStr">
        <is>
          <t>ร้านเจ๊แอน</t>
        </is>
      </c>
      <c r="C630" s="26" t="n">
        <v>27840</v>
      </c>
      <c r="E630" s="19" t="inlineStr">
        <is>
          <t>โอน 2/10/65</t>
        </is>
      </c>
    </row>
    <row r="631">
      <c r="B631" s="19" t="inlineStr">
        <is>
          <t>ร้านโสภา</t>
        </is>
      </c>
      <c r="C631" s="26" t="n">
        <v>5850</v>
      </c>
      <c r="E631" s="19" t="inlineStr">
        <is>
          <t>โอน 8/1/66</t>
        </is>
      </c>
    </row>
    <row r="633" customFormat="1" s="28">
      <c r="A633" s="102" t="inlineStr">
        <is>
          <t>รายการซื้อสินค้าเข้า ประจำเดือน 10/2565</t>
        </is>
      </c>
      <c r="B633" s="158" t="n"/>
      <c r="C633" s="158" t="n"/>
      <c r="D633" s="158" t="n"/>
      <c r="E633" s="158" t="n"/>
      <c r="F633" s="27" t="n"/>
      <c r="G633" s="27" t="n"/>
      <c r="H633" s="27" t="n"/>
      <c r="I633" s="27" t="n"/>
      <c r="J633" s="27" t="n"/>
    </row>
    <row r="634" customFormat="1" s="20">
      <c r="A634" s="159" t="inlineStr">
        <is>
          <t>ว/ด/ป</t>
        </is>
      </c>
      <c r="B634" s="21" t="inlineStr">
        <is>
          <t>ชื่อร้านค้า</t>
        </is>
      </c>
      <c r="C634" s="25" t="inlineStr">
        <is>
          <t>ยอดรวม</t>
        </is>
      </c>
      <c r="D634" s="21" t="inlineStr">
        <is>
          <t>เลขที่บิล</t>
        </is>
      </c>
      <c r="E634" s="21" t="inlineStr">
        <is>
          <t>หมายเหตุ</t>
        </is>
      </c>
    </row>
    <row r="635">
      <c r="B635" s="22" t="inlineStr">
        <is>
          <t>ต้นทุนสี</t>
        </is>
      </c>
    </row>
    <row r="636">
      <c r="A636" s="157" t="n">
        <v>24019</v>
      </c>
      <c r="B636" s="19" t="inlineStr">
        <is>
          <t xml:space="preserve">ทาเลนท์อินเตอร์เทรด </t>
        </is>
      </c>
      <c r="C636" s="26" t="n">
        <v>7318.8</v>
      </c>
      <c r="D636" s="20" t="inlineStr">
        <is>
          <t>IV2204973</t>
        </is>
      </c>
      <c r="E636" s="19" t="inlineStr">
        <is>
          <t>โอน 7/2/66</t>
        </is>
      </c>
    </row>
    <row r="637">
      <c r="A637" s="157" t="n">
        <v>24020</v>
      </c>
      <c r="B637" s="19" t="inlineStr">
        <is>
          <t xml:space="preserve">ทาเลนท์อินเตอร์เทรด </t>
        </is>
      </c>
      <c r="C637" s="26" t="n">
        <v>5906.4</v>
      </c>
      <c r="D637" s="20" t="inlineStr">
        <is>
          <t>IB3004102</t>
        </is>
      </c>
      <c r="E637" s="19" t="inlineStr">
        <is>
          <t>โอน 7/2/66</t>
        </is>
      </c>
    </row>
    <row r="638">
      <c r="A638" s="157" t="n">
        <v>24022</v>
      </c>
      <c r="B638" s="19" t="inlineStr">
        <is>
          <t xml:space="preserve">ทาเลนท์อินเตอร์เทรด </t>
        </is>
      </c>
      <c r="C638" s="26" t="n">
        <v>513.6</v>
      </c>
      <c r="D638" s="20" t="inlineStr">
        <is>
          <t>IB3004247</t>
        </is>
      </c>
      <c r="E638" s="19" t="inlineStr">
        <is>
          <t>โอน 7/2/66</t>
        </is>
      </c>
    </row>
    <row r="639">
      <c r="A639" s="157" t="n">
        <v>24022</v>
      </c>
      <c r="B639" s="19" t="inlineStr">
        <is>
          <t xml:space="preserve">ทาเลนท์อินเตอร์เทรด </t>
        </is>
      </c>
      <c r="C639" s="26" t="n">
        <v>1738.75</v>
      </c>
      <c r="D639" s="20" t="inlineStr">
        <is>
          <t>IB3004260</t>
        </is>
      </c>
      <c r="E639" s="19" t="inlineStr">
        <is>
          <t>โอน 7/2/66</t>
        </is>
      </c>
    </row>
    <row r="640">
      <c r="A640" s="157" t="n">
        <v>24016</v>
      </c>
      <c r="B640" s="19" t="inlineStr">
        <is>
          <t>ไทยนครพัฒนา</t>
        </is>
      </c>
      <c r="C640" s="26" t="n">
        <v>22309.5</v>
      </c>
      <c r="D640" s="20" t="inlineStr">
        <is>
          <t>INX00000683</t>
        </is>
      </c>
      <c r="E640" s="19" t="inlineStr">
        <is>
          <t>โอน 20/12/65</t>
        </is>
      </c>
    </row>
    <row r="641">
      <c r="A641" s="157" t="n">
        <v>24035</v>
      </c>
      <c r="B641" s="19" t="inlineStr">
        <is>
          <t>ไทยนครพัฒนา</t>
        </is>
      </c>
      <c r="C641" s="26" t="n">
        <v>21041.55</v>
      </c>
      <c r="D641" s="20" t="inlineStr">
        <is>
          <t>INV22100716</t>
        </is>
      </c>
      <c r="E641" s="19" t="inlineStr">
        <is>
          <t>โอน 20/12/65</t>
        </is>
      </c>
    </row>
    <row r="642">
      <c r="A642" s="157" t="n">
        <v>24021</v>
      </c>
      <c r="B642" s="19" t="inlineStr">
        <is>
          <t>ออโต้เทรด มาร์เก็ตติ้ง</t>
        </is>
      </c>
      <c r="C642" s="26" t="n">
        <v>13214.5</v>
      </c>
      <c r="E642" s="19" t="inlineStr">
        <is>
          <t>โอน 12/10/65</t>
        </is>
      </c>
    </row>
    <row r="643">
      <c r="A643" s="157" t="n">
        <v>24032</v>
      </c>
      <c r="B643" s="19" t="inlineStr">
        <is>
          <t>ออโต้เทรด มาร์เก็ตติ้ง</t>
        </is>
      </c>
      <c r="C643" s="26" t="n">
        <v>2728.5</v>
      </c>
      <c r="D643" s="20" t="inlineStr">
        <is>
          <t>IV1422937</t>
        </is>
      </c>
      <c r="E643" s="19" t="inlineStr">
        <is>
          <t>โอน 20/10/65</t>
        </is>
      </c>
    </row>
    <row r="644">
      <c r="A644" s="157" t="n">
        <v>24018</v>
      </c>
      <c r="B644" s="19" t="inlineStr">
        <is>
          <t>บจก. วีที คัลเลอร์ โปร</t>
        </is>
      </c>
      <c r="C644" s="26" t="n">
        <v>32891.8</v>
      </c>
      <c r="D644" s="20" t="inlineStr">
        <is>
          <t>IV198-65</t>
        </is>
      </c>
      <c r="E644" s="19" t="inlineStr">
        <is>
          <t>โอน 2/12/65</t>
        </is>
      </c>
    </row>
    <row r="645">
      <c r="A645" s="157" t="n">
        <v>24030</v>
      </c>
      <c r="B645" s="19" t="inlineStr">
        <is>
          <t>บจก. วีที คัลเลอร์ โปร</t>
        </is>
      </c>
      <c r="C645" s="26" t="n">
        <v>24149.9</v>
      </c>
      <c r="D645" s="20" t="inlineStr">
        <is>
          <t>IV214-65</t>
        </is>
      </c>
      <c r="E645" s="19" t="inlineStr">
        <is>
          <t>โอน 2/12/65</t>
        </is>
      </c>
    </row>
    <row r="646">
      <c r="A646" s="157" t="n">
        <v>24040</v>
      </c>
      <c r="B646" s="19" t="inlineStr">
        <is>
          <t>บจก. วีที คัลเลอร์ โปร</t>
        </is>
      </c>
      <c r="C646" s="26" t="n">
        <v>114490</v>
      </c>
      <c r="D646" s="20" t="inlineStr">
        <is>
          <t>IV227-65</t>
        </is>
      </c>
      <c r="E646" s="19" t="inlineStr">
        <is>
          <t>โอน 2/12/65</t>
        </is>
      </c>
    </row>
    <row r="647">
      <c r="A647" s="157" t="n">
        <v>24040</v>
      </c>
      <c r="B647" s="19" t="inlineStr">
        <is>
          <t>บจก. วีที คัลเลอร์ โปร</t>
        </is>
      </c>
      <c r="C647" s="26" t="n">
        <v>65377</v>
      </c>
      <c r="D647" s="20" t="inlineStr">
        <is>
          <t>IV228-65</t>
        </is>
      </c>
      <c r="E647" s="19" t="inlineStr">
        <is>
          <t>โอน 2/12/65</t>
        </is>
      </c>
    </row>
    <row r="648">
      <c r="A648" s="157" t="n">
        <v>24040</v>
      </c>
      <c r="B648" s="19" t="inlineStr">
        <is>
          <t>ห้างหุ้นส่วนจำกัด พี.บี. เพ้นต์</t>
        </is>
      </c>
      <c r="C648" s="26" t="n">
        <v>51360</v>
      </c>
      <c r="D648" s="20" t="inlineStr">
        <is>
          <t>65/673</t>
        </is>
      </c>
      <c r="E648" s="19" t="inlineStr">
        <is>
          <t>โอน 24/1/66</t>
        </is>
      </c>
    </row>
    <row r="650">
      <c r="B650" s="22" t="inlineStr">
        <is>
          <t>ต้นทุนอะไหล่</t>
        </is>
      </c>
    </row>
    <row r="651">
      <c r="B651" s="19" t="inlineStr">
        <is>
          <t>ร้านจิตต์ อะไหล่ Due 3 - 8/10/2565</t>
        </is>
      </c>
      <c r="C651" s="26" t="n">
        <v>30484.95</v>
      </c>
      <c r="E651" s="19" t="inlineStr">
        <is>
          <t>โอน 10/10/65</t>
        </is>
      </c>
    </row>
    <row r="652">
      <c r="B652" s="19" t="inlineStr">
        <is>
          <t>ร้านจิตต์ อะไหล่ Due 10 - 15/10/2565</t>
        </is>
      </c>
      <c r="C652" s="26" t="n">
        <v>33543</v>
      </c>
      <c r="E652" s="19" t="inlineStr">
        <is>
          <t>โอน 17/10/65</t>
        </is>
      </c>
    </row>
    <row r="653">
      <c r="B653" s="19" t="inlineStr">
        <is>
          <t>ร้านจิตต์ อะไหล่ Due 17 - 22/10/2565</t>
        </is>
      </c>
      <c r="C653" s="26" t="n">
        <v>21042</v>
      </c>
      <c r="E653" s="19" t="inlineStr">
        <is>
          <t>โอน 24/10/65</t>
        </is>
      </c>
    </row>
    <row r="654">
      <c r="B654" s="19" t="inlineStr">
        <is>
          <t>ร้านจิตต์ อะไหล่ Due 24 - 29/10/2565</t>
        </is>
      </c>
      <c r="C654" s="26" t="n">
        <v>32605</v>
      </c>
      <c r="E654" s="19" t="inlineStr">
        <is>
          <t>โอน 31/10/65</t>
        </is>
      </c>
    </row>
    <row r="655">
      <c r="B655" s="19" t="inlineStr">
        <is>
          <t>ศรีสยาม Due 26/9 - 2/10/65</t>
        </is>
      </c>
      <c r="C655" s="26" t="n">
        <v>55225.1</v>
      </c>
      <c r="E655" s="19" t="inlineStr">
        <is>
          <t>โอน 4/11/65</t>
        </is>
      </c>
    </row>
    <row r="656">
      <c r="B656" s="19" t="inlineStr">
        <is>
          <t>ศรีสยาม Due 3 - 9/10/65</t>
        </is>
      </c>
      <c r="C656" s="26" t="n">
        <v>52614.9</v>
      </c>
      <c r="E656" s="19" t="inlineStr">
        <is>
          <t>โอน 10/11/65</t>
        </is>
      </c>
    </row>
    <row r="657">
      <c r="B657" s="19" t="inlineStr">
        <is>
          <t>ศรีสยาม Due 10 - 16/10/65</t>
        </is>
      </c>
      <c r="C657" s="26" t="n">
        <v>51150.22</v>
      </c>
      <c r="E657" s="19" t="inlineStr">
        <is>
          <t>โอน 23/11/65</t>
        </is>
      </c>
    </row>
    <row r="658">
      <c r="B658" s="19" t="inlineStr">
        <is>
          <t>ศรีสยาม Due 17 - 23/10/65</t>
        </is>
      </c>
      <c r="C658" s="26" t="n">
        <v>71406.36</v>
      </c>
      <c r="E658" s="19" t="inlineStr">
        <is>
          <t>โอน 23/11/65</t>
        </is>
      </c>
    </row>
    <row r="659">
      <c r="B659" s="19" t="inlineStr">
        <is>
          <t>ศรีสยาม Due 24 - 30/10/65</t>
        </is>
      </c>
      <c r="C659" s="26" t="n">
        <v>47172.21</v>
      </c>
      <c r="E659" s="19" t="inlineStr">
        <is>
          <t>โอน 6/12/65</t>
        </is>
      </c>
    </row>
    <row r="660">
      <c r="B660" s="19" t="inlineStr">
        <is>
          <t>ร้านเจ๊แอน</t>
        </is>
      </c>
      <c r="C660" s="26" t="n">
        <v>29430</v>
      </c>
      <c r="E660" s="19" t="inlineStr">
        <is>
          <t>โอน 2/11/65</t>
        </is>
      </c>
    </row>
    <row r="661">
      <c r="B661" s="19" t="inlineStr">
        <is>
          <t>ร้านโสภา</t>
        </is>
      </c>
      <c r="C661" s="26" t="n">
        <v>4100</v>
      </c>
      <c r="E661" s="19" t="inlineStr">
        <is>
          <t>โอน 8/1/66</t>
        </is>
      </c>
    </row>
    <row r="663" customFormat="1" s="28">
      <c r="A663" s="102" t="inlineStr">
        <is>
          <t>รายการซื้อสินค้าเข้า ประจำเดือน 11/2565</t>
        </is>
      </c>
      <c r="B663" s="158" t="n"/>
      <c r="C663" s="158" t="n"/>
      <c r="D663" s="158" t="n"/>
      <c r="E663" s="158" t="n"/>
      <c r="F663" s="27" t="n"/>
      <c r="G663" s="27" t="n"/>
      <c r="H663" s="27" t="n"/>
      <c r="I663" s="27" t="n"/>
      <c r="J663" s="27" t="n"/>
    </row>
    <row r="664" customFormat="1" s="20">
      <c r="A664" s="159" t="inlineStr">
        <is>
          <t>ว/ด/ป</t>
        </is>
      </c>
      <c r="B664" s="21" t="inlineStr">
        <is>
          <t>ชื่อร้านค้า</t>
        </is>
      </c>
      <c r="C664" s="25" t="inlineStr">
        <is>
          <t>ยอดรวม</t>
        </is>
      </c>
      <c r="D664" s="21" t="inlineStr">
        <is>
          <t>เลขที่บิล</t>
        </is>
      </c>
      <c r="E664" s="21" t="inlineStr">
        <is>
          <t>หมายเหตุ</t>
        </is>
      </c>
    </row>
    <row r="665">
      <c r="B665" s="22" t="inlineStr">
        <is>
          <t>ต้นทุนสี</t>
        </is>
      </c>
    </row>
    <row r="666">
      <c r="A666" s="157" t="n">
        <v>24058</v>
      </c>
      <c r="B666" s="19" t="inlineStr">
        <is>
          <t xml:space="preserve">ทาเลนท์อินเตอร์เทรด </t>
        </is>
      </c>
      <c r="C666" s="26" t="n">
        <v>6907.92</v>
      </c>
      <c r="D666" s="20" t="inlineStr">
        <is>
          <t>IV2206487</t>
        </is>
      </c>
      <c r="E666" s="19" t="inlineStr">
        <is>
          <t>โอน 3/3/66</t>
        </is>
      </c>
      <c r="F666" s="19" t="inlineStr">
        <is>
          <t>ลงคอมพ์แล้ว</t>
        </is>
      </c>
      <c r="G666" s="26" t="n"/>
    </row>
    <row r="667">
      <c r="A667" s="157" t="n">
        <v>24069</v>
      </c>
      <c r="B667" s="19" t="inlineStr">
        <is>
          <t xml:space="preserve">ทาเลนท์อินเตอร์เทรด </t>
        </is>
      </c>
      <c r="C667" s="26" t="n">
        <v>5598.24</v>
      </c>
      <c r="D667" s="20" t="inlineStr">
        <is>
          <t>IV2207094</t>
        </is>
      </c>
      <c r="E667" s="19" t="inlineStr">
        <is>
          <t>โอน 3/3/66</t>
        </is>
      </c>
    </row>
    <row r="668">
      <c r="A668" s="157" t="n">
        <v>24057</v>
      </c>
      <c r="B668" s="19" t="inlineStr">
        <is>
          <t>บจก. วีที คัลเลอร์ โปร</t>
        </is>
      </c>
      <c r="C668" s="26" t="n">
        <v>25412.5</v>
      </c>
      <c r="D668" s="20" t="inlineStr">
        <is>
          <t>IV259-65</t>
        </is>
      </c>
      <c r="E668" s="19" t="inlineStr">
        <is>
          <t>โอน 2/2/66</t>
        </is>
      </c>
    </row>
    <row r="669">
      <c r="A669" s="157" t="n">
        <v>24061</v>
      </c>
      <c r="B669" s="19" t="inlineStr">
        <is>
          <t>บจก. วีที คัลเลอร์ โปร</t>
        </is>
      </c>
      <c r="C669" s="26" t="n">
        <v>10272</v>
      </c>
      <c r="D669" s="20" t="inlineStr">
        <is>
          <t>IV261-65</t>
        </is>
      </c>
      <c r="E669" s="19" t="inlineStr">
        <is>
          <t>โอน 2/2/66</t>
        </is>
      </c>
      <c r="G669" s="26" t="n"/>
    </row>
    <row r="670">
      <c r="A670" s="157" t="n">
        <v>24063</v>
      </c>
      <c r="B670" s="19" t="inlineStr">
        <is>
          <t>บจก. วีที คัลเลอร์ โปร</t>
        </is>
      </c>
      <c r="C670" s="26" t="n">
        <v>11556</v>
      </c>
      <c r="D670" s="20" t="inlineStr">
        <is>
          <t>IV264-65</t>
        </is>
      </c>
      <c r="E670" s="19" t="inlineStr">
        <is>
          <t>โอน 18/11/65 (จ่ายสด)</t>
        </is>
      </c>
      <c r="G670" s="26" t="n"/>
    </row>
    <row r="671">
      <c r="A671" s="157" t="n">
        <v>24069</v>
      </c>
      <c r="B671" s="19" t="inlineStr">
        <is>
          <t>บจก. วีที คัลเลอร์ โปร</t>
        </is>
      </c>
      <c r="C671" s="26" t="n">
        <v>73402</v>
      </c>
      <c r="D671" s="20" t="inlineStr">
        <is>
          <t>IV276-65</t>
        </is>
      </c>
      <c r="E671" s="19" t="inlineStr">
        <is>
          <t>โอน 2/2/66</t>
        </is>
      </c>
    </row>
    <row r="672">
      <c r="A672" s="157" t="n">
        <v>24069</v>
      </c>
      <c r="B672" s="19" t="inlineStr">
        <is>
          <t>บจก. วีที คัลเลอร์ โปร</t>
        </is>
      </c>
      <c r="C672" s="26" t="n">
        <v>136446.4</v>
      </c>
      <c r="D672" s="20" t="inlineStr">
        <is>
          <t>IV275-65</t>
        </is>
      </c>
      <c r="E672" s="19" t="inlineStr">
        <is>
          <t>โอน 2/2/66</t>
        </is>
      </c>
    </row>
    <row r="673">
      <c r="A673" s="157" t="n">
        <v>24071</v>
      </c>
      <c r="B673" s="19" t="inlineStr">
        <is>
          <t>บจก. วีที คัลเลอร์ โปร</t>
        </is>
      </c>
      <c r="C673" s="26" t="n">
        <v>4226.5</v>
      </c>
      <c r="D673" s="20" t="inlineStr">
        <is>
          <t>IV283-65</t>
        </is>
      </c>
      <c r="E673" s="19" t="inlineStr">
        <is>
          <t>โอน 2/2/66</t>
        </is>
      </c>
    </row>
    <row r="674">
      <c r="A674" s="157" t="n">
        <v>24061</v>
      </c>
      <c r="B674" s="19" t="inlineStr">
        <is>
          <t>ไทยนครพัฒนา</t>
        </is>
      </c>
      <c r="C674" s="26" t="n">
        <v>36583.3</v>
      </c>
      <c r="D674" s="20" t="inlineStr">
        <is>
          <t>INV22110536</t>
        </is>
      </c>
      <c r="E674" s="19" t="inlineStr">
        <is>
          <t>โอน 2/2/66</t>
        </is>
      </c>
    </row>
    <row r="677">
      <c r="B677" s="22" t="inlineStr">
        <is>
          <t>ต้นทุนอะไหล่</t>
        </is>
      </c>
    </row>
    <row r="678">
      <c r="B678" s="19" t="inlineStr">
        <is>
          <t>ร้านจิตต์ อะไหล่ Due 31/10 - 5/11/2565</t>
        </is>
      </c>
      <c r="C678" s="26" t="n">
        <v>33708</v>
      </c>
      <c r="E678" s="19" t="inlineStr">
        <is>
          <t>โอน 7/11/65</t>
        </is>
      </c>
    </row>
    <row r="679">
      <c r="B679" s="19" t="inlineStr">
        <is>
          <t>ร้านจิตต์ อะไหล่ Due 7 - 12/11/2565</t>
        </is>
      </c>
      <c r="C679" s="26" t="n">
        <v>34660</v>
      </c>
      <c r="E679" s="19" t="inlineStr">
        <is>
          <t>โอน 14/11/65</t>
        </is>
      </c>
    </row>
    <row r="680">
      <c r="B680" s="19" t="inlineStr">
        <is>
          <t>ร้านจิตต์ อะไหล่ Due 14 - 19/11/2565</t>
        </is>
      </c>
      <c r="C680" s="26" t="n">
        <v>40007</v>
      </c>
      <c r="E680" s="19" t="inlineStr">
        <is>
          <t>โอน 21/11/65</t>
        </is>
      </c>
    </row>
    <row r="681">
      <c r="B681" s="19" t="inlineStr">
        <is>
          <t>ร้านจิตต์ อะไหล่ Due 21 - 26/11/2565</t>
        </is>
      </c>
      <c r="C681" s="26" t="n">
        <v>72011</v>
      </c>
      <c r="E681" s="19" t="inlineStr">
        <is>
          <t>โอน 28/11/65</t>
        </is>
      </c>
    </row>
    <row r="682">
      <c r="B682" s="19" t="inlineStr">
        <is>
          <t>ศรีสยาม Due 31/10 - 6/11/65</t>
        </is>
      </c>
      <c r="C682" s="26" t="n">
        <v>57577</v>
      </c>
      <c r="E682" s="19" t="inlineStr">
        <is>
          <t>โอน 6/12/65</t>
        </is>
      </c>
    </row>
    <row r="683">
      <c r="B683" s="19" t="inlineStr">
        <is>
          <t>ศรีสยาม Due 7 - 13/11/65</t>
        </is>
      </c>
      <c r="C683" s="26" t="n">
        <v>34920.8</v>
      </c>
      <c r="E683" s="19" t="inlineStr">
        <is>
          <t>โอน 20/12/65</t>
        </is>
      </c>
    </row>
    <row r="684">
      <c r="B684" s="19" t="inlineStr">
        <is>
          <t>ศรีสยาม Due 14 - 20/11/65</t>
        </is>
      </c>
      <c r="C684" s="26" t="n">
        <v>61788.05</v>
      </c>
      <c r="E684" s="19" t="inlineStr">
        <is>
          <t>โอน 20/12/65</t>
        </is>
      </c>
    </row>
    <row r="685">
      <c r="B685" s="19" t="inlineStr">
        <is>
          <t>ศรีสยาม Due 21 - 27/11/65</t>
        </is>
      </c>
      <c r="C685" s="26" t="n">
        <v>35933.92</v>
      </c>
      <c r="E685" s="19" t="inlineStr">
        <is>
          <t>โอน 4/1/66</t>
        </is>
      </c>
    </row>
    <row r="686">
      <c r="B686" s="19" t="inlineStr">
        <is>
          <t>ร้านเจ๊แอน</t>
        </is>
      </c>
      <c r="C686" s="26" t="n">
        <v>24400</v>
      </c>
      <c r="E686" s="19" t="inlineStr">
        <is>
          <t>โอน 2/12/65</t>
        </is>
      </c>
    </row>
    <row r="687">
      <c r="B687" s="19" t="inlineStr">
        <is>
          <t xml:space="preserve">ร้านโสภา </t>
        </is>
      </c>
      <c r="C687" s="26" t="n">
        <v>7000</v>
      </c>
      <c r="E687" s="19" t="inlineStr">
        <is>
          <t>โอน 2/7/66</t>
        </is>
      </c>
    </row>
    <row r="690" customFormat="1" s="28">
      <c r="A690" s="102" t="inlineStr">
        <is>
          <t>รายการซื้อสินค้าเข้า ประจำเดือน 12/2565</t>
        </is>
      </c>
      <c r="B690" s="158" t="n"/>
      <c r="C690" s="158" t="n"/>
      <c r="D690" s="158" t="n"/>
      <c r="E690" s="158" t="n"/>
      <c r="F690" s="27" t="n"/>
      <c r="G690" s="27" t="n"/>
      <c r="H690" s="27" t="n"/>
      <c r="I690" s="27" t="n"/>
      <c r="J690" s="27" t="n"/>
    </row>
    <row r="691" customFormat="1" s="20">
      <c r="A691" s="159" t="inlineStr">
        <is>
          <t>ว/ด/ป</t>
        </is>
      </c>
      <c r="B691" s="21" t="inlineStr">
        <is>
          <t>ชื่อร้านค้า</t>
        </is>
      </c>
      <c r="C691" s="25" t="inlineStr">
        <is>
          <t>ยอดรวม</t>
        </is>
      </c>
      <c r="D691" s="21" t="inlineStr">
        <is>
          <t>เลขที่บิล</t>
        </is>
      </c>
      <c r="E691" s="21" t="inlineStr">
        <is>
          <t>หมายเหตุ</t>
        </is>
      </c>
    </row>
    <row r="692">
      <c r="B692" s="22" t="inlineStr">
        <is>
          <t>ต้นทุนสี</t>
        </is>
      </c>
    </row>
    <row r="693">
      <c r="A693" s="157" t="n">
        <v>24082</v>
      </c>
      <c r="B693" s="19" t="inlineStr">
        <is>
          <t>ทาเลนท์อินเตอร์เทรด</t>
        </is>
      </c>
      <c r="C693" s="26" t="n">
        <v>15724.72</v>
      </c>
      <c r="D693" s="20" t="inlineStr">
        <is>
          <t>IV2207853</t>
        </is>
      </c>
      <c r="E693" s="19" t="inlineStr">
        <is>
          <t>โอน 3/3/66</t>
        </is>
      </c>
    </row>
    <row r="694">
      <c r="A694" s="157" t="n">
        <v>24090</v>
      </c>
      <c r="B694" s="19" t="inlineStr">
        <is>
          <t>ห้างหุ้นส่วนจำกัด พี.บี. เพ้นต์</t>
        </is>
      </c>
      <c r="C694" s="26" t="n">
        <v>51360</v>
      </c>
      <c r="D694" s="20" t="inlineStr">
        <is>
          <t>65/800</t>
        </is>
      </c>
      <c r="E694" s="19" t="inlineStr">
        <is>
          <t>โอน 3/3/66</t>
        </is>
      </c>
    </row>
    <row r="695">
      <c r="A695" s="157" t="n">
        <v>24084</v>
      </c>
      <c r="B695" s="19" t="inlineStr">
        <is>
          <t>ออโต้เทรด มาร์เก็ตติ้ง</t>
        </is>
      </c>
      <c r="C695" s="26" t="n">
        <v>26810.99</v>
      </c>
      <c r="D695" s="20" t="inlineStr">
        <is>
          <t>IV1425090</t>
        </is>
      </c>
      <c r="E695" s="19" t="inlineStr">
        <is>
          <t>โอน 9/12/65</t>
        </is>
      </c>
    </row>
    <row r="696">
      <c r="A696" s="157" t="n">
        <v>24089</v>
      </c>
      <c r="B696" s="19" t="inlineStr">
        <is>
          <t>ออโต้เทรด มาร์เก็ตติ้ง</t>
        </is>
      </c>
      <c r="C696" s="26" t="n">
        <v>8650.950000000001</v>
      </c>
      <c r="D696" s="20" t="inlineStr">
        <is>
          <t>IV1425317</t>
        </is>
      </c>
      <c r="E696" s="19" t="inlineStr">
        <is>
          <t>โอน 24/12/65</t>
        </is>
      </c>
    </row>
    <row r="697">
      <c r="A697" s="157" t="n">
        <v>24089</v>
      </c>
      <c r="B697" s="19" t="inlineStr">
        <is>
          <t>บจก. วีที คัลเลอร์ โปร</t>
        </is>
      </c>
      <c r="C697" s="26" t="n">
        <v>22791</v>
      </c>
      <c r="D697" s="20" t="inlineStr">
        <is>
          <t>IV308-65</t>
        </is>
      </c>
      <c r="E697" s="19" t="inlineStr">
        <is>
          <t>โอน 3/3/66</t>
        </is>
      </c>
      <c r="F697" s="26" t="n"/>
    </row>
    <row r="698">
      <c r="A698" s="157" t="n">
        <v>24095</v>
      </c>
      <c r="B698" s="19" t="inlineStr">
        <is>
          <t>บจก. วีที คัลเลอร์ โปร</t>
        </is>
      </c>
      <c r="C698" s="26" t="n">
        <v>154550.8</v>
      </c>
      <c r="D698" s="20" t="inlineStr">
        <is>
          <t>IV318-65</t>
        </is>
      </c>
      <c r="E698" s="19" t="inlineStr">
        <is>
          <t>โอน 3/3/66</t>
        </is>
      </c>
    </row>
    <row r="699">
      <c r="A699" s="157" t="n">
        <v>24096</v>
      </c>
      <c r="B699" s="19" t="inlineStr">
        <is>
          <t>บจก. วีที คัลเลอร์ โปร</t>
        </is>
      </c>
      <c r="C699" s="26" t="n">
        <v>11067.06</v>
      </c>
      <c r="D699" s="20" t="inlineStr">
        <is>
          <t>IV322-65</t>
        </is>
      </c>
      <c r="E699" s="19" t="inlineStr">
        <is>
          <t>โอน 3/3/66</t>
        </is>
      </c>
    </row>
    <row r="700">
      <c r="A700" s="157" t="n">
        <v>24098</v>
      </c>
      <c r="B700" s="19" t="inlineStr">
        <is>
          <t>บจก. วีที คัลเลอร์ โปร</t>
        </is>
      </c>
      <c r="C700" s="26" t="n">
        <v>9416</v>
      </c>
      <c r="D700" s="20" t="inlineStr">
        <is>
          <t>IV328-65</t>
        </is>
      </c>
      <c r="E700" s="19" t="inlineStr">
        <is>
          <t>โอน 3/3/66</t>
        </is>
      </c>
    </row>
    <row r="701">
      <c r="A701" s="157" t="n">
        <v>24098</v>
      </c>
      <c r="B701" s="19" t="inlineStr">
        <is>
          <t>ไทยนครพัฒนา</t>
        </is>
      </c>
      <c r="C701" s="26" t="n">
        <v>49166.5</v>
      </c>
      <c r="D701" s="20" t="inlineStr">
        <is>
          <t>INV22120804</t>
        </is>
      </c>
      <c r="E701" s="19" t="inlineStr">
        <is>
          <t>โอน 9/3/66</t>
        </is>
      </c>
    </row>
    <row r="702" customFormat="1" s="48">
      <c r="A702" s="160" t="n"/>
      <c r="B702" s="48" t="inlineStr">
        <is>
          <t>ทาเลนท์อินเตอร์เทรด -- ใบลดหนี้ ฟองน้ำขาว 3M 5723 (2อัน)</t>
        </is>
      </c>
      <c r="C702" s="41" t="n">
        <v>-1562</v>
      </c>
      <c r="D702" s="46" t="inlineStr">
        <is>
          <t>SR6601006</t>
        </is>
      </c>
      <c r="E702" s="48" t="inlineStr">
        <is>
          <t>ทำบิลมา 5/1/66</t>
        </is>
      </c>
    </row>
    <row r="704">
      <c r="B704" s="22" t="inlineStr">
        <is>
          <t>ต้นทุนอะไหล่</t>
        </is>
      </c>
    </row>
    <row r="705">
      <c r="B705" s="19" t="inlineStr">
        <is>
          <t>ร้านจิตต์ อะไหล่ Due 28/11 - 3/12/2565</t>
        </is>
      </c>
      <c r="C705" s="26" t="n">
        <v>57221</v>
      </c>
      <c r="E705" s="19" t="inlineStr">
        <is>
          <t>โอน 6/12/65</t>
        </is>
      </c>
    </row>
    <row r="706">
      <c r="B706" s="19" t="inlineStr">
        <is>
          <t>ร้านจิตต์ อะไหล่ Due 5 - 10/12/2565</t>
        </is>
      </c>
      <c r="C706" s="26" t="n">
        <v>39188</v>
      </c>
      <c r="E706" s="19" t="inlineStr">
        <is>
          <t>โอน 12/12/65</t>
        </is>
      </c>
    </row>
    <row r="707">
      <c r="B707" s="19" t="inlineStr">
        <is>
          <t>ร้านจิตต์ อะไหล่ Due 12 - 17/12/2565</t>
        </is>
      </c>
      <c r="C707" s="26" t="n">
        <v>67381</v>
      </c>
      <c r="E707" s="19" t="inlineStr">
        <is>
          <t>โอน 19/12/65</t>
        </is>
      </c>
    </row>
    <row r="708">
      <c r="B708" s="19" t="inlineStr">
        <is>
          <t>ร้านจิตต์ อะไหล่ Due 19 - 24/12/2565</t>
        </is>
      </c>
      <c r="C708" s="26" t="n">
        <v>50264</v>
      </c>
      <c r="E708" s="19" t="inlineStr">
        <is>
          <t>โอน 26/12/65</t>
        </is>
      </c>
    </row>
    <row r="709">
      <c r="B709" s="19" t="inlineStr">
        <is>
          <t>ร้านจิตต์ อะไหล่ Due 26 - 29/12/2565</t>
        </is>
      </c>
      <c r="C709" s="26" t="n">
        <v>13720</v>
      </c>
      <c r="E709" s="19" t="inlineStr">
        <is>
          <t>โอน 4/1/66</t>
        </is>
      </c>
    </row>
    <row r="710">
      <c r="B710" s="19" t="inlineStr">
        <is>
          <t>ศรีสยาม Due 28/11 - 4/12/65</t>
        </is>
      </c>
      <c r="C710" s="26" t="n">
        <v>49872.26</v>
      </c>
      <c r="E710" s="19" t="inlineStr">
        <is>
          <t>โอน 4/1/66</t>
        </is>
      </c>
    </row>
    <row r="711">
      <c r="B711" s="19" t="inlineStr">
        <is>
          <t>ศรีสยาม Due 5 - 11/12/65</t>
        </is>
      </c>
      <c r="C711" s="26" t="n">
        <v>71801.2</v>
      </c>
      <c r="E711" s="19" t="inlineStr">
        <is>
          <t>โอน 13/1/66</t>
        </is>
      </c>
    </row>
    <row r="712">
      <c r="B712" s="19" t="inlineStr">
        <is>
          <t>ศรีสยาม Due 12 - 18/12/65</t>
        </is>
      </c>
      <c r="C712" s="26" t="n">
        <v>33609.31</v>
      </c>
      <c r="E712" s="19" t="inlineStr">
        <is>
          <t>โอน 23/1/66</t>
        </is>
      </c>
    </row>
    <row r="713">
      <c r="B713" s="19" t="inlineStr">
        <is>
          <t>ศรีสยาม Due 19 - 25/12/65</t>
        </is>
      </c>
      <c r="C713" s="26" t="n">
        <v>36686.51</v>
      </c>
      <c r="E713" s="19" t="inlineStr">
        <is>
          <t>โอน 23/1/66</t>
        </is>
      </c>
    </row>
    <row r="714">
      <c r="B714" s="19" t="inlineStr">
        <is>
          <t>ศรีสยาม Due 26 - 1/1/66</t>
        </is>
      </c>
      <c r="C714" s="26" t="n">
        <v>6559.96</v>
      </c>
      <c r="E714" s="19" t="inlineStr">
        <is>
          <t>โอน 7/2/66</t>
        </is>
      </c>
    </row>
    <row r="715">
      <c r="A715" s="157" t="n">
        <v>24095</v>
      </c>
      <c r="B715" s="19" t="inlineStr">
        <is>
          <t xml:space="preserve">กิ๊บน๊อต / ร้านต้นคิด   </t>
        </is>
      </c>
      <c r="C715" s="26" t="n">
        <v>2360</v>
      </c>
      <c r="E715" s="19" t="inlineStr">
        <is>
          <t>โอน 19/12/65</t>
        </is>
      </c>
    </row>
    <row r="716">
      <c r="B716" s="19" t="inlineStr">
        <is>
          <t>ร้านเจ๊แอน</t>
        </is>
      </c>
      <c r="C716" s="26" t="n">
        <v>33000</v>
      </c>
      <c r="E716" s="19" t="inlineStr">
        <is>
          <t>โอน 2/1/66</t>
        </is>
      </c>
    </row>
    <row r="717">
      <c r="B717" s="19" t="inlineStr">
        <is>
          <t>ร้านโสภา</t>
        </is>
      </c>
      <c r="C717" s="26" t="n">
        <v>8750</v>
      </c>
      <c r="E717" s="19" t="inlineStr">
        <is>
          <t>โอน 2/7/66</t>
        </is>
      </c>
    </row>
    <row r="719" customFormat="1" s="28">
      <c r="A719" s="102" t="inlineStr">
        <is>
          <t>รายการซื้อสินค้าเข้า ประจำเดือน 1/2566</t>
        </is>
      </c>
      <c r="B719" s="158" t="n"/>
      <c r="C719" s="158" t="n"/>
      <c r="D719" s="158" t="n"/>
      <c r="E719" s="158" t="n"/>
      <c r="F719" s="27" t="n"/>
      <c r="G719" s="27" t="n"/>
      <c r="H719" s="27" t="n"/>
      <c r="I719" s="27" t="n"/>
      <c r="J719" s="27" t="n"/>
    </row>
    <row r="720" customFormat="1" s="20">
      <c r="A720" s="159" t="inlineStr">
        <is>
          <t>ว/ด/ป</t>
        </is>
      </c>
      <c r="B720" s="21" t="inlineStr">
        <is>
          <t>ชื่อร้านค้า</t>
        </is>
      </c>
      <c r="C720" s="25" t="inlineStr">
        <is>
          <t>ยอดรวม</t>
        </is>
      </c>
      <c r="D720" s="21" t="inlineStr">
        <is>
          <t>เลขที่บิล</t>
        </is>
      </c>
      <c r="E720" s="21" t="inlineStr">
        <is>
          <t>หมายเหตุ</t>
        </is>
      </c>
    </row>
    <row r="721">
      <c r="B721" s="22" t="inlineStr">
        <is>
          <t>ต้นทุนสี</t>
        </is>
      </c>
    </row>
    <row r="722">
      <c r="A722" s="157" t="n">
        <v>24114</v>
      </c>
      <c r="B722" s="19" t="inlineStr">
        <is>
          <t>หจก. ไทยออโต้โคท (น้ำยาป้องกันสนิม ออโต้โคท/ทัฟโค้ท สีดำ)</t>
        </is>
      </c>
      <c r="C722" s="26" t="n">
        <v>6500</v>
      </c>
      <c r="E722" s="19" t="inlineStr">
        <is>
          <t>โอน 7/1/66</t>
        </is>
      </c>
    </row>
    <row r="723">
      <c r="A723" s="157" t="n">
        <v>24138</v>
      </c>
      <c r="B723" s="19" t="inlineStr">
        <is>
          <t xml:space="preserve">ออโต้เทรด มาร์เก็ตติ้ง (รายการส่วนต่างเพิ่มเติม) </t>
        </is>
      </c>
      <c r="C723" s="26" t="n">
        <v>834.6</v>
      </c>
      <c r="D723" s="20" t="inlineStr">
        <is>
          <t>IV1427206</t>
        </is>
      </c>
      <c r="E723" s="19" t="inlineStr">
        <is>
          <t>โอน 3/2/66</t>
        </is>
      </c>
      <c r="F723" s="19" t="inlineStr">
        <is>
          <t>ลงคอมพ์แล้ว</t>
        </is>
      </c>
    </row>
    <row r="724">
      <c r="A724" s="157" t="n">
        <v>24124</v>
      </c>
      <c r="B724" s="19" t="inlineStr">
        <is>
          <t>บจก. วีที คัลเลอร์ โปร</t>
        </is>
      </c>
      <c r="C724" s="26" t="n">
        <v>2910.4</v>
      </c>
      <c r="D724" s="20" t="inlineStr">
        <is>
          <t>IV036-66</t>
        </is>
      </c>
      <c r="E724" s="19" t="inlineStr">
        <is>
          <t>โอน 16/4/66</t>
        </is>
      </c>
    </row>
    <row r="725">
      <c r="A725" s="157" t="n">
        <v>24129</v>
      </c>
      <c r="B725" s="19" t="inlineStr">
        <is>
          <t>บจก. วีที คัลเลอร์ โปร</t>
        </is>
      </c>
      <c r="C725" s="26" t="n">
        <v>50183</v>
      </c>
      <c r="D725" s="20" t="inlineStr">
        <is>
          <t>IV041-66</t>
        </is>
      </c>
      <c r="E725" s="19" t="inlineStr">
        <is>
          <t>โอน 16/4/66</t>
        </is>
      </c>
      <c r="G725" s="26" t="n"/>
    </row>
    <row r="726">
      <c r="A726" s="157" t="n">
        <v>24129</v>
      </c>
      <c r="B726" s="19" t="inlineStr">
        <is>
          <t>บจก. วีที คัลเลอร์ โปร</t>
        </is>
      </c>
      <c r="C726" s="26" t="n">
        <v>106657.6</v>
      </c>
      <c r="D726" s="20" t="inlineStr">
        <is>
          <t>IV042-66</t>
        </is>
      </c>
      <c r="E726" s="19" t="inlineStr">
        <is>
          <t>โอน 16/4/66</t>
        </is>
      </c>
    </row>
    <row r="727">
      <c r="A727" s="157" t="n">
        <v>24110</v>
      </c>
      <c r="B727" s="19" t="inlineStr">
        <is>
          <t>ทาเลนท์อินเตอร์เทรด</t>
        </is>
      </c>
      <c r="C727" s="26" t="n">
        <v>6141.8</v>
      </c>
      <c r="D727" s="20" t="inlineStr">
        <is>
          <t>IV2209110</t>
        </is>
      </c>
      <c r="E727" s="19" t="inlineStr">
        <is>
          <t>โอน 18/5/66</t>
        </is>
      </c>
      <c r="F727" s="19" t="inlineStr">
        <is>
          <t>ลงคอมพ์แล้ว</t>
        </is>
      </c>
    </row>
    <row r="728">
      <c r="A728" s="157" t="n">
        <v>24126</v>
      </c>
      <c r="B728" s="19" t="inlineStr">
        <is>
          <t>ทาเลนท์อินเตอร์เทรด</t>
        </is>
      </c>
      <c r="C728" s="26" t="n">
        <v>7808.86</v>
      </c>
      <c r="D728" s="20" t="inlineStr">
        <is>
          <t>IB3005285</t>
        </is>
      </c>
      <c r="E728" s="19" t="inlineStr">
        <is>
          <t>โอน 18/5/66</t>
        </is>
      </c>
      <c r="F728" s="19" t="inlineStr">
        <is>
          <t>ลงคอมพ์แล้ว</t>
        </is>
      </c>
    </row>
    <row r="729" customFormat="1" s="48">
      <c r="A729" s="160" t="n">
        <v>24112</v>
      </c>
      <c r="B729" s="48" t="inlineStr">
        <is>
          <t>ทาเลนท์อินเตอร์เทรด -- ใบลดหนี้</t>
        </is>
      </c>
      <c r="C729" s="41" t="n">
        <v>-1671.34</v>
      </c>
      <c r="D729" s="46" t="inlineStr">
        <is>
          <t>SR6601006</t>
        </is>
      </c>
      <c r="E729" s="48" t="inlineStr">
        <is>
          <t>โอน 18/5/66</t>
        </is>
      </c>
    </row>
    <row r="731">
      <c r="B731" s="22" t="inlineStr">
        <is>
          <t>ต้นทุนอะไหล่</t>
        </is>
      </c>
    </row>
    <row r="732">
      <c r="B732" s="19" t="inlineStr">
        <is>
          <t>ร้านจิตต์ อะไหล่ Due 2 - 7/1/2566</t>
        </is>
      </c>
      <c r="C732" s="26" t="n">
        <v>37590</v>
      </c>
      <c r="E732" s="19" t="inlineStr">
        <is>
          <t>โอน 9/1/66</t>
        </is>
      </c>
    </row>
    <row r="733">
      <c r="B733" s="19" t="inlineStr">
        <is>
          <t>ร้านจิตต์ อะไหล่ Due 9 - 14/1/2566</t>
        </is>
      </c>
      <c r="C733" s="26" t="n">
        <v>60658.93</v>
      </c>
      <c r="E733" s="19" t="inlineStr">
        <is>
          <t>โอน 16/1/66</t>
        </is>
      </c>
    </row>
    <row r="734">
      <c r="B734" s="19" t="inlineStr">
        <is>
          <t>ร้านจิตต์ อะไหล่ Due 16 - 20/1/2566</t>
        </is>
      </c>
      <c r="C734" s="26" t="n">
        <v>61214</v>
      </c>
      <c r="E734" s="19" t="inlineStr">
        <is>
          <t>โอน 23/1/66</t>
        </is>
      </c>
    </row>
    <row r="735">
      <c r="B735" s="19" t="inlineStr">
        <is>
          <t>ร้านจิตต์ อะไหล่ Due 23 - 28/1/2566</t>
        </is>
      </c>
      <c r="C735" s="26" t="n">
        <v>47941</v>
      </c>
      <c r="E735" s="19" t="inlineStr">
        <is>
          <t>โอน 30/1/66</t>
        </is>
      </c>
    </row>
    <row r="736">
      <c r="B736" s="19" t="inlineStr">
        <is>
          <t>ศรีสยาม Due 2 - 8/1/66</t>
        </is>
      </c>
      <c r="C736" s="26" t="n">
        <v>52712.89</v>
      </c>
      <c r="E736" s="19" t="inlineStr">
        <is>
          <t>โอน 7/2/66</t>
        </is>
      </c>
    </row>
    <row r="737">
      <c r="B737" s="19" t="inlineStr">
        <is>
          <t>ศรีสยาม Due 9 - 15/1/66</t>
        </is>
      </c>
      <c r="C737" s="26" t="n">
        <v>122751.51</v>
      </c>
      <c r="E737" s="19" t="inlineStr">
        <is>
          <t>โอน 21/2/66</t>
        </is>
      </c>
    </row>
    <row r="738">
      <c r="B738" s="19" t="inlineStr">
        <is>
          <t>ศรีสยาม Due 16 - 22/1/66</t>
        </is>
      </c>
      <c r="C738" s="26" t="n">
        <v>57125.32</v>
      </c>
      <c r="E738" s="19" t="inlineStr">
        <is>
          <t>โอน 21/2/66</t>
        </is>
      </c>
    </row>
    <row r="739">
      <c r="B739" s="19" t="inlineStr">
        <is>
          <t>ศรีสยาม Due 23 - 29/1/66</t>
        </is>
      </c>
      <c r="C739" s="26" t="n">
        <v>65678.12</v>
      </c>
      <c r="E739" s="19" t="inlineStr">
        <is>
          <t>โอน 4/3/66</t>
        </is>
      </c>
    </row>
    <row r="740">
      <c r="B740" s="19" t="inlineStr">
        <is>
          <t>ร้านเจ๊แอน</t>
        </is>
      </c>
      <c r="C740" s="26" t="n">
        <v>30360</v>
      </c>
      <c r="E740" s="19" t="inlineStr">
        <is>
          <t>โอน 1/2/66</t>
        </is>
      </c>
    </row>
    <row r="741">
      <c r="B741" s="19" t="inlineStr">
        <is>
          <t>ร้านโสภา</t>
        </is>
      </c>
      <c r="C741" s="26" t="n">
        <v>9200</v>
      </c>
      <c r="E741" s="19" t="inlineStr">
        <is>
          <t>โอน 2/7/66</t>
        </is>
      </c>
    </row>
    <row r="743" customFormat="1" s="28">
      <c r="A743" s="102" t="inlineStr">
        <is>
          <t>รายการซื้อสินค้าเข้า ประจำเดือน 2/2566</t>
        </is>
      </c>
      <c r="B743" s="158" t="n"/>
      <c r="C743" s="158" t="n"/>
      <c r="D743" s="158" t="n"/>
      <c r="E743" s="158" t="n"/>
      <c r="F743" s="27" t="n"/>
      <c r="G743" s="27" t="n"/>
      <c r="H743" s="27" t="n"/>
      <c r="I743" s="27" t="n"/>
      <c r="J743" s="27" t="n"/>
    </row>
    <row r="744" customFormat="1" s="20">
      <c r="A744" s="159" t="inlineStr">
        <is>
          <t>ว/ด/ป</t>
        </is>
      </c>
      <c r="B744" s="21" t="inlineStr">
        <is>
          <t>ชื่อร้านค้า</t>
        </is>
      </c>
      <c r="C744" s="25" t="inlineStr">
        <is>
          <t>ยอดรวม</t>
        </is>
      </c>
      <c r="D744" s="21" t="inlineStr">
        <is>
          <t>เลขที่บิล</t>
        </is>
      </c>
      <c r="E744" s="21" t="inlineStr">
        <is>
          <t>หมายเหตุ</t>
        </is>
      </c>
    </row>
    <row r="745">
      <c r="B745" s="22" t="inlineStr">
        <is>
          <t>ต้นทุนสี</t>
        </is>
      </c>
    </row>
    <row r="746">
      <c r="A746" s="157" t="n">
        <v>24141</v>
      </c>
      <c r="B746" s="19" t="inlineStr">
        <is>
          <t>ไทยนครพัฒนา</t>
        </is>
      </c>
      <c r="C746" s="26" t="n">
        <v>26696.5</v>
      </c>
      <c r="D746" s="20" t="inlineStr">
        <is>
          <t>INV23020087</t>
        </is>
      </c>
      <c r="E746" s="19" t="inlineStr">
        <is>
          <t>โอน 24/4/66</t>
        </is>
      </c>
    </row>
    <row r="747">
      <c r="A747" s="157" t="n">
        <v>24143</v>
      </c>
      <c r="B747" s="19" t="inlineStr">
        <is>
          <t>บจก. วีที คัลเลอร์ โปร -- กระดาษกาว 2 ลัง</t>
        </is>
      </c>
      <c r="C747" s="26" t="n">
        <v>5000</v>
      </c>
      <c r="D747" s="20" t="inlineStr">
        <is>
          <t>ไม่มีบิล</t>
        </is>
      </c>
      <c r="E747" s="19" t="inlineStr">
        <is>
          <t>โอน 6/2/66</t>
        </is>
      </c>
    </row>
    <row r="748">
      <c r="A748" s="157" t="n">
        <v>24147</v>
      </c>
      <c r="B748" s="19" t="inlineStr">
        <is>
          <t>บจก. วีที คัลเลอร์ โปร</t>
        </is>
      </c>
      <c r="C748" s="26" t="n">
        <v>30548.5</v>
      </c>
      <c r="D748" s="20" t="inlineStr">
        <is>
          <t>IV088-66</t>
        </is>
      </c>
      <c r="E748" s="19" t="inlineStr">
        <is>
          <t>โอน 16/4/66</t>
        </is>
      </c>
    </row>
    <row r="749">
      <c r="A749" s="157" t="n">
        <v>24160</v>
      </c>
      <c r="B749" s="19" t="inlineStr">
        <is>
          <t>บจก. วีที คัลเลอร์ โปร</t>
        </is>
      </c>
      <c r="C749" s="26" t="n">
        <v>90361.5</v>
      </c>
      <c r="D749" s="20" t="inlineStr">
        <is>
          <t>IV113-66</t>
        </is>
      </c>
      <c r="E749" s="19" t="inlineStr">
        <is>
          <t>โอน 16/4/66</t>
        </is>
      </c>
      <c r="H749" s="26" t="n"/>
    </row>
    <row r="750">
      <c r="A750" s="157" t="n">
        <v>24160</v>
      </c>
      <c r="B750" s="19" t="inlineStr">
        <is>
          <t>บจก. วีที คัลเลอร์ โปร</t>
        </is>
      </c>
      <c r="C750" s="26" t="n">
        <v>146718.4</v>
      </c>
      <c r="D750" s="20" t="inlineStr">
        <is>
          <t>IV114-66</t>
        </is>
      </c>
      <c r="E750" s="19" t="inlineStr">
        <is>
          <t>โอน 16/4/66</t>
        </is>
      </c>
    </row>
    <row r="751">
      <c r="A751" s="157" t="n">
        <v>24144</v>
      </c>
      <c r="B751" s="19" t="inlineStr">
        <is>
          <t xml:space="preserve">ออโต้เทรด มาร์เก็ตติ้ง </t>
        </is>
      </c>
      <c r="C751" s="26" t="n">
        <v>13214.5</v>
      </c>
      <c r="D751" s="20" t="inlineStr">
        <is>
          <t>IV1427558</t>
        </is>
      </c>
      <c r="E751" s="19" t="inlineStr">
        <is>
          <t>โอน 15/2/66</t>
        </is>
      </c>
      <c r="F751" s="19" t="inlineStr">
        <is>
          <t>ลงคอมพ์แล้ว</t>
        </is>
      </c>
    </row>
    <row r="752">
      <c r="A752" s="157" t="n">
        <v>24145</v>
      </c>
      <c r="B752" s="19" t="inlineStr">
        <is>
          <t xml:space="preserve">ออโต้เทรด มาร์เก็ตติ้ง </t>
        </is>
      </c>
      <c r="C752" s="26" t="n">
        <v>10486</v>
      </c>
      <c r="D752" s="20" t="inlineStr">
        <is>
          <t>IV1427669</t>
        </is>
      </c>
      <c r="E752" s="19" t="inlineStr">
        <is>
          <t>โอน 15/2/66</t>
        </is>
      </c>
      <c r="F752" s="19" t="inlineStr">
        <is>
          <t>ลงคอมพ์แล้ว</t>
        </is>
      </c>
    </row>
    <row r="753">
      <c r="A753" s="157" t="n">
        <v>24147</v>
      </c>
      <c r="B753" s="19" t="inlineStr">
        <is>
          <t>ห้างหุ้นส่วนจำกัด พี.บี. เพ้นต์</t>
        </is>
      </c>
      <c r="C753" s="26" t="n">
        <v>51360</v>
      </c>
      <c r="D753" s="20" t="inlineStr">
        <is>
          <t>66/078</t>
        </is>
      </c>
      <c r="E753" s="19" t="inlineStr">
        <is>
          <t>โอน 12/5/66</t>
        </is>
      </c>
      <c r="F753" s="19" t="inlineStr">
        <is>
          <t>ไทยพาณิชย์ 342-237-7609 หจก. พี.บี. เพ้นต์</t>
        </is>
      </c>
    </row>
    <row r="754">
      <c r="A754" s="157" t="n">
        <v>24148</v>
      </c>
      <c r="B754" s="19" t="inlineStr">
        <is>
          <t>ทาเลนท์อินเตอร์เทรด</t>
        </is>
      </c>
      <c r="C754" s="26" t="n">
        <v>5859.32</v>
      </c>
      <c r="D754" s="20" t="inlineStr">
        <is>
          <t>IB3006698</t>
        </is>
      </c>
      <c r="E754" s="19" t="inlineStr">
        <is>
          <t>โอน 18/5/66</t>
        </is>
      </c>
      <c r="F754" s="19" t="inlineStr">
        <is>
          <t>ลงคอมพ์แล้ว</t>
        </is>
      </c>
    </row>
    <row r="755">
      <c r="A755" s="157" t="n">
        <v>24149</v>
      </c>
      <c r="B755" s="19" t="inlineStr">
        <is>
          <t>ทาเลนท์อินเตอร์เทรด</t>
        </is>
      </c>
      <c r="C755" s="26" t="n">
        <v>1070</v>
      </c>
      <c r="D755" s="20" t="inlineStr">
        <is>
          <t>IB3006761</t>
        </is>
      </c>
      <c r="E755" s="19" t="inlineStr">
        <is>
          <t>โอน 18/5/66</t>
        </is>
      </c>
      <c r="F755" s="19" t="inlineStr">
        <is>
          <t>ลงคอมพ์แล้ว</t>
        </is>
      </c>
    </row>
    <row r="756">
      <c r="A756" s="157" t="n">
        <v>24153</v>
      </c>
      <c r="B756" s="19" t="inlineStr">
        <is>
          <t>ทาเลนท์อินเตอร์เทรด</t>
        </is>
      </c>
      <c r="C756" s="26" t="n">
        <v>2668.58</v>
      </c>
      <c r="D756" s="20" t="inlineStr">
        <is>
          <t>IB3006977</t>
        </is>
      </c>
      <c r="E756" s="19" t="inlineStr">
        <is>
          <t>โอน 18/5/66</t>
        </is>
      </c>
      <c r="F756" s="19" t="inlineStr">
        <is>
          <t>ลงคอมพ์แล้ว</t>
        </is>
      </c>
    </row>
    <row r="757">
      <c r="A757" s="157" t="n">
        <v>24156</v>
      </c>
      <c r="B757" s="19" t="inlineStr">
        <is>
          <t>ทาเลนท์อินเตอร์เทรด</t>
        </is>
      </c>
      <c r="C757" s="26" t="n">
        <v>406.6</v>
      </c>
      <c r="D757" s="20" t="inlineStr">
        <is>
          <t>IB3007149</t>
        </is>
      </c>
      <c r="E757" s="19" t="inlineStr">
        <is>
          <t>โอน 18/5/66</t>
        </is>
      </c>
      <c r="F757" s="19" t="inlineStr">
        <is>
          <t>ลงคอมพ์แล้ว</t>
        </is>
      </c>
    </row>
    <row r="759">
      <c r="B759" s="22" t="inlineStr">
        <is>
          <t>ต้นทุนอะไหล่</t>
        </is>
      </c>
    </row>
    <row r="760">
      <c r="B760" s="19" t="inlineStr">
        <is>
          <t>ร้านจิตต์ อะไหล่ Due 30/1 - 4/2/2566</t>
        </is>
      </c>
      <c r="C760" s="26" t="n">
        <v>49910</v>
      </c>
      <c r="E760" s="19" t="inlineStr">
        <is>
          <t>โอน 6/2/66</t>
        </is>
      </c>
    </row>
    <row r="761">
      <c r="B761" s="19" t="inlineStr">
        <is>
          <t>ร้านจิตต์ อะไหล่ Due 6 - 10/2/2566</t>
        </is>
      </c>
      <c r="C761" s="26" t="n">
        <v>40095</v>
      </c>
      <c r="E761" s="19" t="inlineStr">
        <is>
          <t>โอน 14/2/66</t>
        </is>
      </c>
    </row>
    <row r="762">
      <c r="B762" s="19" t="inlineStr">
        <is>
          <t>ร้านจิตต์ อะไหล่ Due 13 - 18/2/2566</t>
        </is>
      </c>
      <c r="C762" s="26" t="n">
        <v>50503.86</v>
      </c>
      <c r="E762" s="19" t="inlineStr">
        <is>
          <t>โอน 21/2/66</t>
        </is>
      </c>
    </row>
    <row r="763">
      <c r="B763" s="19" t="inlineStr">
        <is>
          <t>ร้านจิตต์ อะไหล่ Due 20 - 25/2/2566</t>
        </is>
      </c>
      <c r="C763" s="26" t="n">
        <v>62557.54</v>
      </c>
      <c r="E763" s="19" t="inlineStr">
        <is>
          <t>โอน 28/2/66</t>
        </is>
      </c>
    </row>
    <row r="764">
      <c r="B764" s="19" t="inlineStr">
        <is>
          <t>ศรีสยาม Due 30/1 - 5/2/66</t>
        </is>
      </c>
      <c r="C764" s="26" t="n">
        <v>48590.2</v>
      </c>
      <c r="E764" s="19" t="inlineStr">
        <is>
          <t>โอน 4/3/66</t>
        </is>
      </c>
    </row>
    <row r="765">
      <c r="B765" s="19" t="inlineStr">
        <is>
          <t>ศรีสยาม Due 6 - 12/2/66</t>
        </is>
      </c>
      <c r="C765" s="26" t="n">
        <v>71767.69</v>
      </c>
      <c r="E765" s="19" t="inlineStr">
        <is>
          <t>โอน 17/3/66</t>
        </is>
      </c>
    </row>
    <row r="766">
      <c r="B766" s="19" t="inlineStr">
        <is>
          <t>ศรีสยาม Due 13 - 19/2/66</t>
        </is>
      </c>
      <c r="C766" s="26" t="n">
        <v>23095.89</v>
      </c>
      <c r="E766" s="19" t="inlineStr">
        <is>
          <t>โอน 22/3/66</t>
        </is>
      </c>
    </row>
    <row r="767">
      <c r="B767" s="19" t="inlineStr">
        <is>
          <t>ศรีสยาม Due 20 - 26/2/66</t>
        </is>
      </c>
      <c r="C767" s="26" t="n">
        <v>84846.45</v>
      </c>
      <c r="E767" s="19" t="inlineStr">
        <is>
          <t>โอน 1/4/66</t>
        </is>
      </c>
    </row>
    <row r="768">
      <c r="A768" s="157" t="n">
        <v>24160</v>
      </c>
      <c r="B768" s="19" t="inlineStr">
        <is>
          <t xml:space="preserve">กิ๊บน๊อต / ร้านต้นคิด   </t>
        </is>
      </c>
      <c r="C768" s="26" t="n">
        <v>2700</v>
      </c>
      <c r="E768" s="19" t="inlineStr">
        <is>
          <t>โอน 4/3/66</t>
        </is>
      </c>
    </row>
    <row r="769">
      <c r="B769" s="19" t="inlineStr">
        <is>
          <t>ร้านเจ๊แอน</t>
        </is>
      </c>
      <c r="C769" s="26" t="n">
        <v>32920</v>
      </c>
      <c r="E769" s="19" t="inlineStr">
        <is>
          <t>โอน 1/3/66</t>
        </is>
      </c>
    </row>
    <row r="770">
      <c r="B770" s="19" t="inlineStr">
        <is>
          <t>ร้านโสภา</t>
        </is>
      </c>
      <c r="C770" s="26" t="n">
        <v>5500</v>
      </c>
      <c r="E770" s="19" t="inlineStr">
        <is>
          <t>โอน 2/7/66</t>
        </is>
      </c>
    </row>
    <row r="772" customFormat="1" s="28">
      <c r="A772" s="102" t="inlineStr">
        <is>
          <t>รายการซื้อสินค้าเข้า ประจำเดือน 3/2566</t>
        </is>
      </c>
      <c r="B772" s="158" t="n"/>
      <c r="C772" s="158" t="n"/>
      <c r="D772" s="158" t="n"/>
      <c r="E772" s="158" t="n"/>
      <c r="F772" s="27" t="n"/>
      <c r="G772" s="27" t="n"/>
      <c r="H772" s="27" t="n"/>
      <c r="I772" s="27" t="n"/>
      <c r="J772" s="27" t="n"/>
    </row>
    <row r="773" customFormat="1" s="20">
      <c r="A773" s="159" t="inlineStr">
        <is>
          <t>ว/ด/ป</t>
        </is>
      </c>
      <c r="B773" s="21" t="inlineStr">
        <is>
          <t>ชื่อร้านค้า</t>
        </is>
      </c>
      <c r="C773" s="25" t="inlineStr">
        <is>
          <t>ยอดรวม</t>
        </is>
      </c>
      <c r="D773" s="21" t="inlineStr">
        <is>
          <t>เลขที่บิล</t>
        </is>
      </c>
      <c r="E773" s="21" t="inlineStr">
        <is>
          <t>หมายเหตุ</t>
        </is>
      </c>
    </row>
    <row r="774">
      <c r="B774" s="22" t="inlineStr">
        <is>
          <t>ต้นทุนสี</t>
        </is>
      </c>
    </row>
    <row r="775">
      <c r="A775" s="157" t="n">
        <v>24168</v>
      </c>
      <c r="B775" s="19" t="inlineStr">
        <is>
          <t>บจก. วีที คัลเลอร์ โปร -- กระดาษกาว (จ่ายสด)</t>
        </is>
      </c>
      <c r="C775" s="26" t="n">
        <v>10000</v>
      </c>
      <c r="E775" s="19" t="inlineStr">
        <is>
          <t>โอน 3/3/66</t>
        </is>
      </c>
    </row>
    <row r="776">
      <c r="A776" s="157" t="n">
        <v>24175</v>
      </c>
      <c r="B776" s="19" t="inlineStr">
        <is>
          <t>หจก. ไทยออโต้โคท (น้ำยาป้องกันสนิม ออโต้โคท/ทัฟโค้ท สีดำ)</t>
        </is>
      </c>
      <c r="C776" s="26" t="n">
        <v>6500</v>
      </c>
      <c r="E776" s="19" t="inlineStr">
        <is>
          <t>โอน 27/3/66</t>
        </is>
      </c>
    </row>
    <row r="777">
      <c r="A777" s="157" t="n">
        <v>24168</v>
      </c>
      <c r="B777" s="19" t="inlineStr">
        <is>
          <t>บจก. วีที คัลเลอร์ โปร</t>
        </is>
      </c>
      <c r="C777" s="26" t="n">
        <v>13054</v>
      </c>
      <c r="D777" s="20" t="inlineStr">
        <is>
          <t>IV130-66</t>
        </is>
      </c>
      <c r="E777" s="19" t="inlineStr">
        <is>
          <t>โอน 13/6/66</t>
        </is>
      </c>
    </row>
    <row r="778">
      <c r="A778" s="157" t="n">
        <v>24176</v>
      </c>
      <c r="B778" s="19" t="inlineStr">
        <is>
          <t>บจก. วีที คัลเลอร์ โปร</t>
        </is>
      </c>
      <c r="C778" s="26" t="n">
        <v>32485.2</v>
      </c>
      <c r="D778" s="20" t="inlineStr">
        <is>
          <t>IV150-66</t>
        </is>
      </c>
      <c r="E778" s="19" t="inlineStr">
        <is>
          <t>โอน 13/6/66</t>
        </is>
      </c>
    </row>
    <row r="779">
      <c r="A779" s="157" t="n">
        <v>24186</v>
      </c>
      <c r="B779" s="19" t="inlineStr">
        <is>
          <t>บจก. วีที คัลเลอร์ โปร</t>
        </is>
      </c>
      <c r="C779" s="26" t="n">
        <v>30762.5</v>
      </c>
      <c r="D779" s="20" t="inlineStr">
        <is>
          <t>IV168-66</t>
        </is>
      </c>
      <c r="E779" s="19" t="inlineStr">
        <is>
          <t>โอน 13/6/66</t>
        </is>
      </c>
    </row>
    <row r="780">
      <c r="A780" s="157" t="n">
        <v>24189</v>
      </c>
      <c r="B780" s="19" t="inlineStr">
        <is>
          <t>บจก. วีที คัลเลอร์ โปร</t>
        </is>
      </c>
      <c r="C780" s="26" t="n">
        <v>83930.8</v>
      </c>
      <c r="D780" s="20" t="inlineStr">
        <is>
          <t>IV177-66</t>
        </is>
      </c>
      <c r="E780" s="19" t="inlineStr">
        <is>
          <t>โอน 13/6/66</t>
        </is>
      </c>
      <c r="H780" s="26" t="n"/>
    </row>
    <row r="781">
      <c r="A781" s="157" t="n">
        <v>24189</v>
      </c>
      <c r="B781" s="19" t="inlineStr">
        <is>
          <t>บจก. วีที คัลเลอร์ โปร</t>
        </is>
      </c>
      <c r="C781" s="26" t="n">
        <v>57673</v>
      </c>
      <c r="D781" s="20" t="inlineStr">
        <is>
          <t>IV178-66</t>
        </is>
      </c>
      <c r="E781" s="19" t="inlineStr">
        <is>
          <t>โอน 13/6/66</t>
        </is>
      </c>
    </row>
    <row r="782">
      <c r="A782" s="157" t="n">
        <v>24187</v>
      </c>
      <c r="B782" s="19" t="inlineStr">
        <is>
          <t>ห้างหุ้นส่วนจำกัด พี.บี. เพ้นต์</t>
        </is>
      </c>
      <c r="C782" s="26" t="n">
        <v>51360</v>
      </c>
      <c r="D782" s="20" t="inlineStr">
        <is>
          <t>66/175</t>
        </is>
      </c>
      <c r="E782" s="19" t="inlineStr">
        <is>
          <t>โอน 8/6/66</t>
        </is>
      </c>
      <c r="F782" s="19" t="inlineStr">
        <is>
          <t>ไทยพาณิชย์ 342-237-7609 หจก. พี.บี. เพ้นต์</t>
        </is>
      </c>
    </row>
    <row r="783">
      <c r="A783" s="157" t="n">
        <v>24183</v>
      </c>
      <c r="B783" s="19" t="inlineStr">
        <is>
          <t>ไทยนครพัฒนา</t>
        </is>
      </c>
      <c r="C783" s="26" t="n">
        <v>27568.55</v>
      </c>
      <c r="D783" s="20" t="inlineStr">
        <is>
          <t>INV23030628</t>
        </is>
      </c>
      <c r="E783" s="19" t="inlineStr">
        <is>
          <t>โอน 18/5/66</t>
        </is>
      </c>
      <c r="F783" s="19" t="inlineStr">
        <is>
          <t>ลงคอมพ์แล้ว</t>
        </is>
      </c>
    </row>
    <row r="784">
      <c r="A784" s="157" t="n">
        <v>24260</v>
      </c>
      <c r="B784" s="19" t="inlineStr">
        <is>
          <t>ทาเลนท์อินเตอร์เทรด</t>
        </is>
      </c>
      <c r="C784" s="26" t="n">
        <v>8153.4</v>
      </c>
      <c r="D784" s="20" t="inlineStr">
        <is>
          <t>IB3007951</t>
        </is>
      </c>
      <c r="E784" s="19" t="inlineStr">
        <is>
          <t>โอน 2/7/66</t>
        </is>
      </c>
      <c r="F784" s="19" t="inlineStr">
        <is>
          <t>ลงคอมพ์แล้ว</t>
        </is>
      </c>
    </row>
    <row r="785">
      <c r="A785" s="157" t="n">
        <v>24271</v>
      </c>
      <c r="B785" s="19" t="inlineStr">
        <is>
          <t>ทาเลนท์อินเตอร์เทรด</t>
        </is>
      </c>
      <c r="C785" s="26" t="n">
        <v>11209.32</v>
      </c>
      <c r="D785" s="20" t="inlineStr">
        <is>
          <t>IB3008531</t>
        </is>
      </c>
      <c r="E785" s="19" t="inlineStr">
        <is>
          <t>โอน 2/7/66</t>
        </is>
      </c>
      <c r="F785" s="19" t="inlineStr">
        <is>
          <t>ลงคอมพ์แล้ว</t>
        </is>
      </c>
    </row>
    <row r="786">
      <c r="A786" s="157" t="n">
        <v>24184</v>
      </c>
      <c r="B786" s="19" t="inlineStr">
        <is>
          <t>ทาเลนท์อินเตอร์เทรด</t>
        </is>
      </c>
      <c r="C786" s="26" t="n">
        <v>4681.25</v>
      </c>
      <c r="D786" s="20" t="inlineStr">
        <is>
          <t>IB3008935</t>
        </is>
      </c>
      <c r="E786" s="19" t="inlineStr">
        <is>
          <t>โอน 2/7/66</t>
        </is>
      </c>
      <c r="F786" s="19" t="inlineStr">
        <is>
          <t>ลงคอมพ์แล้ว</t>
        </is>
      </c>
    </row>
    <row r="787">
      <c r="A787" s="157" t="n">
        <v>24196</v>
      </c>
      <c r="B787" s="19" t="inlineStr">
        <is>
          <t>ทาเลนท์อินเตอร์เทรด</t>
        </is>
      </c>
      <c r="C787" s="26" t="n">
        <v>1537.59</v>
      </c>
      <c r="D787" s="20" t="inlineStr">
        <is>
          <t>IB3009612</t>
        </is>
      </c>
      <c r="E787" s="19" t="inlineStr">
        <is>
          <t>โอน 2/7/66</t>
        </is>
      </c>
      <c r="F787" s="19" t="inlineStr">
        <is>
          <t>ลงคอมพ์แล้ว</t>
        </is>
      </c>
    </row>
    <row r="788">
      <c r="A788" s="157" t="n">
        <v>24196</v>
      </c>
      <c r="B788" s="19" t="inlineStr">
        <is>
          <t>ทาเลนท์อินเตอร์เทรด</t>
        </is>
      </c>
      <c r="C788" s="26" t="n">
        <v>609.9</v>
      </c>
      <c r="D788" s="20" t="inlineStr">
        <is>
          <t>IB3009634</t>
        </is>
      </c>
      <c r="E788" s="19" t="inlineStr">
        <is>
          <t>โอน 2/7/66</t>
        </is>
      </c>
      <c r="F788" s="19" t="inlineStr">
        <is>
          <t>ลงคอมพ์แล้ว</t>
        </is>
      </c>
    </row>
    <row r="789" customFormat="1" s="48">
      <c r="A789" s="160" t="n">
        <v>24196</v>
      </c>
      <c r="B789" s="48" t="inlineStr">
        <is>
          <t>ทาเลนท์อินเตอร์เทรด -- ใบลดหนี้</t>
        </is>
      </c>
      <c r="C789" s="41" t="n">
        <v>-347.75</v>
      </c>
      <c r="D789" s="46" t="inlineStr">
        <is>
          <t>SR6603041</t>
        </is>
      </c>
      <c r="E789" s="19" t="inlineStr">
        <is>
          <t>โอน 2/7/66</t>
        </is>
      </c>
      <c r="F789" s="48" t="inlineStr">
        <is>
          <t>ลงคอมพ์แล้ว</t>
        </is>
      </c>
    </row>
    <row r="791">
      <c r="B791" s="22" t="inlineStr">
        <is>
          <t>ต้นทุนอะไหล่</t>
        </is>
      </c>
    </row>
    <row r="792">
      <c r="A792" s="157" t="n">
        <v>24170</v>
      </c>
      <c r="B792" s="19" t="inlineStr">
        <is>
          <t xml:space="preserve">กิ๊บน๊อต / ร้านต้นคิด   </t>
        </is>
      </c>
      <c r="C792" s="26" t="n">
        <v>600</v>
      </c>
      <c r="E792" s="19" t="inlineStr">
        <is>
          <t>โอน 4/3/66</t>
        </is>
      </c>
    </row>
    <row r="793">
      <c r="A793" s="157" t="n">
        <v>24170</v>
      </c>
      <c r="B793" s="19" t="inlineStr">
        <is>
          <t xml:space="preserve">กิ๊บน๊อต / ร้านต้นคิด   </t>
        </is>
      </c>
      <c r="C793" s="26" t="n">
        <v>6560</v>
      </c>
      <c r="E793" s="19" t="inlineStr">
        <is>
          <t>โอน 4/3/66</t>
        </is>
      </c>
    </row>
    <row r="794">
      <c r="A794" s="157" t="n">
        <v>24180</v>
      </c>
      <c r="B794" s="19" t="inlineStr">
        <is>
          <t xml:space="preserve">กิ๊บน๊อต / ร้านต้นคิด   </t>
        </is>
      </c>
      <c r="C794" s="26" t="n">
        <v>1500</v>
      </c>
      <c r="E794" s="19" t="inlineStr">
        <is>
          <t>โอน 3/5/66</t>
        </is>
      </c>
    </row>
    <row r="795">
      <c r="A795" s="157" t="n">
        <v>24190</v>
      </c>
      <c r="B795" s="19" t="inlineStr">
        <is>
          <t xml:space="preserve">กิ๊บน๊อต / ร้านต้นคิด   </t>
        </is>
      </c>
      <c r="C795" s="26" t="n">
        <v>1900</v>
      </c>
      <c r="E795" s="19" t="inlineStr">
        <is>
          <t>โอน 3/5/66</t>
        </is>
      </c>
    </row>
    <row r="796">
      <c r="B796" s="19" t="inlineStr">
        <is>
          <t>ร้านจิตต์ อะไหล่ Due 27/2 - 4/3/2566</t>
        </is>
      </c>
      <c r="C796" s="26" t="n">
        <v>99754.35000000001</v>
      </c>
      <c r="E796" s="19" t="inlineStr">
        <is>
          <t>โอน 6/3/66</t>
        </is>
      </c>
    </row>
    <row r="797">
      <c r="B797" s="19" t="inlineStr">
        <is>
          <t>ร้านจิตต์ อะไหล่ Due 6 - 11/3/2566</t>
        </is>
      </c>
      <c r="C797" s="26" t="n">
        <v>69527.78999999999</v>
      </c>
      <c r="E797" s="19" t="inlineStr">
        <is>
          <t>โอน 13/3/66</t>
        </is>
      </c>
    </row>
    <row r="798">
      <c r="B798" s="19" t="inlineStr">
        <is>
          <t>ร้านจิตต์ อะไหล่ Due 13 - 18/3/2566</t>
        </is>
      </c>
      <c r="C798" s="26" t="n">
        <v>55944.55</v>
      </c>
      <c r="E798" s="19" t="inlineStr">
        <is>
          <t>โอน 20/3/66</t>
        </is>
      </c>
    </row>
    <row r="799">
      <c r="B799" s="19" t="inlineStr">
        <is>
          <t>ร้านจิตต์ อะไหล่ Due 20 - 25/3/2566</t>
        </is>
      </c>
      <c r="C799" s="26" t="n">
        <v>90300.88</v>
      </c>
      <c r="E799" s="19" t="inlineStr">
        <is>
          <t>โอน 27/3/66</t>
        </is>
      </c>
    </row>
    <row r="800">
      <c r="B800" s="19" t="inlineStr">
        <is>
          <t>ร้านจิตต์ อะไหล่ Due 27/3 - 1/4/2566</t>
        </is>
      </c>
      <c r="C800" s="26" t="n">
        <v>59505.81</v>
      </c>
      <c r="E800" s="19" t="inlineStr">
        <is>
          <t>โอน 4/4/66</t>
        </is>
      </c>
    </row>
    <row r="801">
      <c r="B801" s="19" t="inlineStr">
        <is>
          <t>ศรีสยาม Due 27/2 - 5/3/66</t>
        </is>
      </c>
      <c r="C801" s="26" t="n">
        <v>43042.94</v>
      </c>
      <c r="E801" s="19" t="inlineStr">
        <is>
          <t>โอน 10/4/66</t>
        </is>
      </c>
    </row>
    <row r="802">
      <c r="B802" s="19" t="inlineStr">
        <is>
          <t>ศรีสยาม Due 6 - 12/3/66</t>
        </is>
      </c>
      <c r="C802" s="26" t="n">
        <v>103851.76</v>
      </c>
      <c r="E802" s="19" t="inlineStr">
        <is>
          <t>โอน 10/4/66</t>
        </is>
      </c>
    </row>
    <row r="803">
      <c r="B803" s="19" t="inlineStr">
        <is>
          <t>ศรีสยาม Due 13 - 19/3/66</t>
        </is>
      </c>
      <c r="C803" s="26" t="n">
        <v>49368.01</v>
      </c>
      <c r="E803" s="19" t="inlineStr">
        <is>
          <t>โอน 23/4/66</t>
        </is>
      </c>
    </row>
    <row r="804">
      <c r="B804" s="19" t="inlineStr">
        <is>
          <t>ศรีสยาม Due 20 - 26/3/66</t>
        </is>
      </c>
      <c r="C804" s="26" t="n">
        <v>40464.62</v>
      </c>
      <c r="E804" s="19" t="inlineStr">
        <is>
          <t>โอน 23/4/66</t>
        </is>
      </c>
    </row>
    <row r="805">
      <c r="B805" s="19" t="inlineStr">
        <is>
          <t>ศรีสยาม Due 27/3 - 2/4/66</t>
        </is>
      </c>
      <c r="C805" s="26" t="n">
        <v>38157.15</v>
      </c>
      <c r="E805" s="19" t="inlineStr">
        <is>
          <t>โอน 6/5/66</t>
        </is>
      </c>
    </row>
    <row r="806">
      <c r="B806" s="19" t="inlineStr">
        <is>
          <t>ร้านเจ๊แอน</t>
        </is>
      </c>
      <c r="C806" s="26" t="n">
        <v>31310</v>
      </c>
      <c r="E806" s="19" t="inlineStr">
        <is>
          <t>โอน 4/2/66</t>
        </is>
      </c>
    </row>
    <row r="807">
      <c r="B807" s="19" t="inlineStr">
        <is>
          <t xml:space="preserve">ร้านโสภา </t>
        </is>
      </c>
      <c r="C807" s="26" t="n">
        <v>5200</v>
      </c>
      <c r="E807" s="19" t="inlineStr">
        <is>
          <t>โอน 2/7/66</t>
        </is>
      </c>
    </row>
    <row r="809" customFormat="1" s="28">
      <c r="A809" s="102" t="inlineStr">
        <is>
          <t>รายการซื้อสินค้าเข้า ประจำเดือน 4/2566</t>
        </is>
      </c>
      <c r="B809" s="158" t="n"/>
      <c r="C809" s="158" t="n"/>
      <c r="D809" s="158" t="n"/>
      <c r="E809" s="158" t="n"/>
      <c r="F809" s="27" t="n"/>
      <c r="G809" s="27" t="n"/>
      <c r="H809" s="27" t="n"/>
      <c r="I809" s="27" t="n"/>
      <c r="J809" s="27" t="n"/>
    </row>
    <row r="810" customFormat="1" s="20">
      <c r="A810" s="159" t="inlineStr">
        <is>
          <t>ว/ด/ป</t>
        </is>
      </c>
      <c r="B810" s="21" t="inlineStr">
        <is>
          <t>ชื่อร้านค้า</t>
        </is>
      </c>
      <c r="C810" s="25" t="inlineStr">
        <is>
          <t>ยอดรวม</t>
        </is>
      </c>
      <c r="D810" s="21" t="inlineStr">
        <is>
          <t>เลขที่บิล</t>
        </is>
      </c>
      <c r="E810" s="21" t="inlineStr">
        <is>
          <t>หมายเหตุ</t>
        </is>
      </c>
    </row>
    <row r="811">
      <c r="B811" s="22" t="inlineStr">
        <is>
          <t>ต้นทุนสี</t>
        </is>
      </c>
    </row>
    <row r="812">
      <c r="A812" s="157" t="n">
        <v>24202</v>
      </c>
      <c r="B812" s="19" t="inlineStr">
        <is>
          <t xml:space="preserve">ออโต้เทรด มาร์เก็ตติ้ง </t>
        </is>
      </c>
      <c r="C812" s="26" t="n">
        <v>19677.3</v>
      </c>
      <c r="D812" s="20" t="inlineStr">
        <is>
          <t>IV1430190</t>
        </is>
      </c>
      <c r="E812" s="19" t="inlineStr">
        <is>
          <t>โอน 5/4/66</t>
        </is>
      </c>
    </row>
    <row r="813" customFormat="1" s="48">
      <c r="A813" s="160" t="n">
        <v>24202</v>
      </c>
      <c r="B813" s="48" t="inlineStr">
        <is>
          <t>ออโต้เทรด มาร์เก็ตติ้ง -- หักคืนค่ากระดาษทรายที่รับคืน 6แพ็ค</t>
        </is>
      </c>
      <c r="C813" s="41" t="n">
        <v>-3755.7</v>
      </c>
      <c r="D813" s="46" t="n"/>
      <c r="E813" s="48" t="inlineStr">
        <is>
          <t>เคลียร์ยอดโอน 5/4/66</t>
        </is>
      </c>
      <c r="F813" s="48" t="inlineStr">
        <is>
          <t>คืน 12แพ็ค/แพ็คละ 50แผ่น ร้านเลยรวมเป็น 6แพ็ค/แพ็คละ 100 แผ่น (ราคาแผ่นละ 9บาท)</t>
        </is>
      </c>
    </row>
    <row r="814">
      <c r="A814" s="157" t="n">
        <v>24215</v>
      </c>
      <c r="B814" s="19" t="inlineStr">
        <is>
          <t xml:space="preserve">ออโต้เทรด มาร์เก็ตติ้ง </t>
        </is>
      </c>
      <c r="C814" s="26" t="n">
        <v>10015.2</v>
      </c>
      <c r="D814" s="20" t="inlineStr">
        <is>
          <t>IV1430628</t>
        </is>
      </c>
      <c r="E814" s="19" t="inlineStr">
        <is>
          <t>โอน 24/4/66</t>
        </is>
      </c>
    </row>
    <row r="815">
      <c r="A815" s="157" t="n">
        <v>24221</v>
      </c>
      <c r="B815" s="19" t="inlineStr">
        <is>
          <t xml:space="preserve">บจก. วีที คัลเลอร์ โปร </t>
        </is>
      </c>
      <c r="C815" s="26" t="n">
        <v>128956.4</v>
      </c>
      <c r="D815" s="20" t="inlineStr">
        <is>
          <t>IV226-66</t>
        </is>
      </c>
      <c r="E815" s="19" t="inlineStr">
        <is>
          <t>โอน 2/7/66</t>
        </is>
      </c>
      <c r="F815" s="19" t="inlineStr">
        <is>
          <t>ลงคอมพ์แล้ว</t>
        </is>
      </c>
    </row>
    <row r="816">
      <c r="A816" s="157" t="n">
        <v>24222</v>
      </c>
      <c r="B816" s="19" t="inlineStr">
        <is>
          <t xml:space="preserve">บจก. วีที คัลเลอร์ โปร </t>
        </is>
      </c>
      <c r="C816" s="26" t="n">
        <v>7062</v>
      </c>
      <c r="D816" s="20" t="inlineStr">
        <is>
          <t>IV230-66</t>
        </is>
      </c>
      <c r="E816" s="19" t="inlineStr">
        <is>
          <t>โอน 2/7/66</t>
        </is>
      </c>
      <c r="F816" s="19" t="inlineStr">
        <is>
          <t>ลงคอมพ์แล้ว</t>
        </is>
      </c>
    </row>
    <row r="817">
      <c r="A817" s="157" t="n">
        <v>24225</v>
      </c>
      <c r="B817" s="19" t="inlineStr">
        <is>
          <t>บจก. วีที คัลเลอร์ โปร -- กระดาษกาว (จ่ายสด)</t>
        </is>
      </c>
      <c r="C817" s="26" t="n">
        <v>5000</v>
      </c>
      <c r="E817" s="19" t="inlineStr">
        <is>
          <t>โอน 28/4/66</t>
        </is>
      </c>
    </row>
    <row r="818">
      <c r="A818" s="157" t="n">
        <v>24200</v>
      </c>
      <c r="B818" s="19" t="inlineStr">
        <is>
          <t>ทาเลนท์อินเตอร์เทรด</t>
        </is>
      </c>
      <c r="C818" s="26" t="n">
        <v>1537.59</v>
      </c>
      <c r="D818" s="20" t="inlineStr">
        <is>
          <t>IB3009871</t>
        </is>
      </c>
      <c r="E818" s="19" t="inlineStr">
        <is>
          <t>โอน 2/7/66</t>
        </is>
      </c>
      <c r="F818" s="19" t="inlineStr">
        <is>
          <t>ลงคอมพ์แล้ว</t>
        </is>
      </c>
    </row>
    <row r="819">
      <c r="A819" s="157" t="n">
        <v>24215</v>
      </c>
      <c r="B819" s="19" t="inlineStr">
        <is>
          <t>ทาเลนท์อินเตอร์เทรด</t>
        </is>
      </c>
      <c r="C819" s="26" t="n">
        <v>2953.2</v>
      </c>
      <c r="D819" s="20" t="inlineStr">
        <is>
          <t>IV2210406</t>
        </is>
      </c>
      <c r="E819" s="19" t="inlineStr">
        <is>
          <t>โอน 2/7/66</t>
        </is>
      </c>
      <c r="F819" s="19" t="inlineStr">
        <is>
          <t>ลงคอมพ์แล้ว</t>
        </is>
      </c>
    </row>
    <row r="820">
      <c r="A820" s="157" t="n">
        <v>24216</v>
      </c>
      <c r="B820" s="19" t="inlineStr">
        <is>
          <t xml:space="preserve">ออโต้เทรด มาร์เก็ตติ้ง </t>
        </is>
      </c>
      <c r="C820" s="26" t="n">
        <v>10015.2</v>
      </c>
      <c r="D820" s="20" t="inlineStr">
        <is>
          <t>IV1430628</t>
        </is>
      </c>
      <c r="E820" s="19" t="inlineStr">
        <is>
          <t>โอน 24/4/66</t>
        </is>
      </c>
      <c r="F820" s="19" t="inlineStr">
        <is>
          <t>ลงคอมพ์แล้ว</t>
        </is>
      </c>
    </row>
    <row r="822">
      <c r="B822" s="22" t="inlineStr">
        <is>
          <t>ต้นทุนอะไหล่</t>
        </is>
      </c>
    </row>
    <row r="823">
      <c r="A823" s="157" t="n">
        <v>24203</v>
      </c>
      <c r="B823" s="19" t="inlineStr">
        <is>
          <t>ค่ากิ๊บน๊อต / ร้าน 55 กิ๊บน๊อต</t>
        </is>
      </c>
      <c r="C823" s="26" t="n">
        <v>1000</v>
      </c>
      <c r="E823" s="19" t="inlineStr">
        <is>
          <t>โอน 7/4/66</t>
        </is>
      </c>
    </row>
    <row r="824">
      <c r="A824" s="157" t="n">
        <v>24198</v>
      </c>
      <c r="B824" s="19" t="inlineStr">
        <is>
          <t xml:space="preserve">กิ๊บน๊อต / ร้านต้นคิด   </t>
        </is>
      </c>
      <c r="C824" s="26" t="n">
        <v>3050</v>
      </c>
      <c r="E824" s="19" t="inlineStr">
        <is>
          <t>โอน 3/5/66</t>
        </is>
      </c>
    </row>
    <row r="825">
      <c r="B825" s="19" t="inlineStr">
        <is>
          <t>ร้านจิตต์ อะไหล่ Due 3 - 8/4/2566</t>
        </is>
      </c>
      <c r="C825" s="26" t="n">
        <v>23256</v>
      </c>
      <c r="E825" s="19" t="inlineStr">
        <is>
          <t>โอน 19/4/66</t>
        </is>
      </c>
    </row>
    <row r="826">
      <c r="B826" s="19" t="inlineStr">
        <is>
          <t>ร้านจิตต์ อะไหล่ Due 10 - 22/4/2566</t>
        </is>
      </c>
      <c r="C826" s="26" t="n">
        <v>45160.72</v>
      </c>
      <c r="E826" s="19" t="inlineStr">
        <is>
          <t>โอน 24/4/66</t>
        </is>
      </c>
    </row>
    <row r="827">
      <c r="B827" s="19" t="inlineStr">
        <is>
          <t>ร้านจิตต์ อะไหล่ Due 24 - 29/4/2566</t>
        </is>
      </c>
      <c r="C827" s="26" t="n">
        <v>93628.55</v>
      </c>
      <c r="E827" s="19" t="inlineStr">
        <is>
          <t>โอน 3/5/66</t>
        </is>
      </c>
    </row>
    <row r="828">
      <c r="B828" s="19" t="inlineStr">
        <is>
          <t>ศรีสยาม Due 3 - 9/4/66</t>
        </is>
      </c>
      <c r="C828" s="26" t="n">
        <v>8644.889999999999</v>
      </c>
      <c r="E828" s="19" t="inlineStr">
        <is>
          <t>โอน 12/5/66</t>
        </is>
      </c>
    </row>
    <row r="829">
      <c r="B829" s="19" t="inlineStr">
        <is>
          <t>ศรีสยาม Due 10 - 16/4/66 -- ยอดติดลบ</t>
        </is>
      </c>
      <c r="C829" s="41" t="n">
        <v>-155</v>
      </c>
    </row>
    <row r="830">
      <c r="B830" s="19" t="inlineStr">
        <is>
          <t>ศรีสยาม Due 17 - 23/4/66</t>
        </is>
      </c>
      <c r="C830" s="26" t="n">
        <v>49217.82</v>
      </c>
      <c r="E830" s="19" t="inlineStr">
        <is>
          <t>โอน 24/5/66</t>
        </is>
      </c>
    </row>
    <row r="831">
      <c r="B831" s="19" t="inlineStr">
        <is>
          <t>ศรีสยาม Due 24 - 30/4/66</t>
        </is>
      </c>
      <c r="C831" s="26" t="n">
        <v>22620.47</v>
      </c>
      <c r="E831" s="19" t="inlineStr">
        <is>
          <t>โอน 1/6/66</t>
        </is>
      </c>
    </row>
    <row r="832">
      <c r="B832" s="19" t="inlineStr">
        <is>
          <t>ร้านเจ๊แอน</t>
        </is>
      </c>
      <c r="C832" s="26" t="n">
        <v>12350</v>
      </c>
      <c r="E832" s="19" t="inlineStr">
        <is>
          <t>โอน 3/5/66</t>
        </is>
      </c>
    </row>
    <row r="833">
      <c r="B833" s="19" t="inlineStr">
        <is>
          <t>ร้านโสภา</t>
        </is>
      </c>
      <c r="C833" s="26" t="n">
        <v>2500</v>
      </c>
      <c r="E833" s="19" t="inlineStr">
        <is>
          <t>โอน 2/7/66</t>
        </is>
      </c>
    </row>
    <row r="835" customFormat="1" s="28">
      <c r="A835" s="102" t="inlineStr">
        <is>
          <t>รายการซื้อสินค้าเข้า ประจำเดือน 5/2566</t>
        </is>
      </c>
      <c r="B835" s="158" t="n"/>
      <c r="C835" s="158" t="n"/>
      <c r="D835" s="158" t="n"/>
      <c r="E835" s="158" t="n"/>
      <c r="F835" s="27" t="n"/>
      <c r="G835" s="27" t="n"/>
      <c r="H835" s="27" t="n"/>
      <c r="I835" s="27" t="n"/>
      <c r="J835" s="27" t="n"/>
    </row>
    <row r="836" customFormat="1" s="20">
      <c r="A836" s="159" t="inlineStr">
        <is>
          <t>ว/ด/ป</t>
        </is>
      </c>
      <c r="B836" s="21" t="inlineStr">
        <is>
          <t>ชื่อร้านค้า</t>
        </is>
      </c>
      <c r="C836" s="25" t="inlineStr">
        <is>
          <t>ยอดรวม</t>
        </is>
      </c>
      <c r="D836" s="21" t="inlineStr">
        <is>
          <t>เลขที่บิล</t>
        </is>
      </c>
      <c r="E836" s="21" t="inlineStr">
        <is>
          <t>หมายเหตุ</t>
        </is>
      </c>
    </row>
    <row r="837">
      <c r="B837" s="22" t="inlineStr">
        <is>
          <t>ต้นทุนสี</t>
        </is>
      </c>
    </row>
    <row r="838">
      <c r="A838" s="157" t="n">
        <v>24240</v>
      </c>
      <c r="B838" s="19" t="inlineStr">
        <is>
          <t xml:space="preserve">ออโต้เทรด มาร์เก็ตติ้ง </t>
        </is>
      </c>
      <c r="C838" s="26" t="n">
        <v>10143.6</v>
      </c>
      <c r="D838" s="20" t="inlineStr">
        <is>
          <t>IV1431907</t>
        </is>
      </c>
      <c r="E838" s="19" t="inlineStr">
        <is>
          <t>โอน 16/5/66</t>
        </is>
      </c>
    </row>
    <row r="839">
      <c r="A839" s="157" t="n">
        <v>24244</v>
      </c>
      <c r="B839" s="19" t="inlineStr">
        <is>
          <t xml:space="preserve">ออโต้เทรด มาร์เก็ตติ้ง </t>
        </is>
      </c>
      <c r="C839" s="26" t="n">
        <v>599.2</v>
      </c>
      <c r="D839" s="20" t="inlineStr">
        <is>
          <t>IV1432054</t>
        </is>
      </c>
      <c r="E839" s="19" t="inlineStr">
        <is>
          <t>โอน 23/5/66</t>
        </is>
      </c>
      <c r="F839" s="19" t="inlineStr">
        <is>
          <t>ลงคอมพ์แล้ว</t>
        </is>
      </c>
    </row>
    <row r="840">
      <c r="A840" s="157" t="n">
        <v>24244</v>
      </c>
      <c r="B840" s="19" t="inlineStr">
        <is>
          <t xml:space="preserve">ออโต้เทรด มาร์เก็ตติ้ง </t>
        </is>
      </c>
      <c r="C840" s="26" t="n">
        <v>1338.57</v>
      </c>
      <c r="D840" s="20" t="inlineStr">
        <is>
          <t>IV1432091</t>
        </is>
      </c>
      <c r="E840" s="19" t="inlineStr">
        <is>
          <t>โอน 23/5/66</t>
        </is>
      </c>
      <c r="F840" s="19" t="inlineStr">
        <is>
          <t>ลงคอมพ์แล้ว</t>
        </is>
      </c>
    </row>
    <row r="841">
      <c r="A841" s="157" t="n">
        <v>24229</v>
      </c>
      <c r="B841" s="19" t="inlineStr">
        <is>
          <t>ทาเลนท์อินเตอร์เทรด</t>
        </is>
      </c>
      <c r="C841" s="26" t="n">
        <v>5450.58</v>
      </c>
      <c r="D841" s="20" t="inlineStr">
        <is>
          <t>IV2211226</t>
        </is>
      </c>
      <c r="E841" s="19" t="inlineStr">
        <is>
          <t>โอน 9/9/66</t>
        </is>
      </c>
      <c r="F841" s="19" t="inlineStr">
        <is>
          <t>ลงคอมพ์แล้ว</t>
        </is>
      </c>
    </row>
    <row r="842">
      <c r="A842" s="157" t="n">
        <v>24231</v>
      </c>
      <c r="B842" s="19" t="inlineStr">
        <is>
          <t>ทาเลนท์อินเตอร์เทรด</t>
        </is>
      </c>
      <c r="C842" s="26" t="n">
        <v>1712</v>
      </c>
      <c r="D842" s="20" t="inlineStr">
        <is>
          <t>IV2211423</t>
        </is>
      </c>
      <c r="E842" s="19" t="inlineStr">
        <is>
          <t>โอน 9/9/66</t>
        </is>
      </c>
      <c r="F842" s="19" t="inlineStr">
        <is>
          <t>ลงคอมพ์แล้ว</t>
        </is>
      </c>
    </row>
    <row r="843">
      <c r="A843" s="157" t="n">
        <v>24245</v>
      </c>
      <c r="B843" s="19" t="inlineStr">
        <is>
          <t>ทาเลนท์อินเตอร์เทรด</t>
        </is>
      </c>
      <c r="C843" s="26" t="n">
        <v>7276</v>
      </c>
      <c r="D843" s="20" t="inlineStr">
        <is>
          <t>IV2212326</t>
        </is>
      </c>
      <c r="E843" s="19" t="inlineStr">
        <is>
          <t>โอน 9/9/66</t>
        </is>
      </c>
      <c r="F843" s="19" t="inlineStr">
        <is>
          <t>ลงคอมพ์แล้ว</t>
        </is>
      </c>
      <c r="H843" s="26" t="n"/>
    </row>
    <row r="844">
      <c r="A844" s="157" t="n">
        <v>24250</v>
      </c>
      <c r="B844" s="19" t="inlineStr">
        <is>
          <t>ทาเลนท์อินเตอร์เทรด</t>
        </is>
      </c>
      <c r="C844" s="26" t="n">
        <v>4530.38</v>
      </c>
      <c r="D844" s="20" t="inlineStr">
        <is>
          <t>IV2212637</t>
        </is>
      </c>
      <c r="E844" s="19" t="inlineStr">
        <is>
          <t>โอน 9/9/66</t>
        </is>
      </c>
      <c r="F844" s="19" t="inlineStr">
        <is>
          <t>ลงคอมพ์แล้ว</t>
        </is>
      </c>
    </row>
    <row r="845">
      <c r="A845" s="157" t="n">
        <v>24251</v>
      </c>
      <c r="B845" s="19" t="inlineStr">
        <is>
          <t>ทาเลนท์อินเตอร์เทรด</t>
        </is>
      </c>
      <c r="C845" s="26" t="n">
        <v>6663.96</v>
      </c>
      <c r="D845" s="20" t="inlineStr">
        <is>
          <t>IV2212728</t>
        </is>
      </c>
      <c r="E845" s="19" t="inlineStr">
        <is>
          <t>โอน 9/9/66</t>
        </is>
      </c>
      <c r="F845" s="19" t="inlineStr">
        <is>
          <t>ลงคอมพ์แล้ว</t>
        </is>
      </c>
    </row>
    <row r="846">
      <c r="A846" s="157" t="n">
        <v>24253</v>
      </c>
      <c r="B846" s="19" t="inlineStr">
        <is>
          <t>ทาเลนท์อินเตอร์เทรด</t>
        </is>
      </c>
      <c r="C846" s="26" t="n">
        <v>2953.2</v>
      </c>
      <c r="D846" s="20" t="inlineStr">
        <is>
          <t>IV2212851</t>
        </is>
      </c>
      <c r="E846" s="19" t="inlineStr">
        <is>
          <t>โอน 9/9/66</t>
        </is>
      </c>
      <c r="F846" s="19" t="inlineStr">
        <is>
          <t>ลงคอมพ์แล้ว</t>
        </is>
      </c>
    </row>
    <row r="847">
      <c r="A847" s="157" t="n">
        <v>24258</v>
      </c>
      <c r="B847" s="19" t="inlineStr">
        <is>
          <t>ทาเลนท์อินเตอร์เทรด</t>
        </is>
      </c>
      <c r="C847" s="26" t="n">
        <v>7318.8</v>
      </c>
      <c r="D847" s="20" t="inlineStr">
        <is>
          <t>IV2213077</t>
        </is>
      </c>
      <c r="E847" s="19" t="inlineStr">
        <is>
          <t>โอน 9/9/66</t>
        </is>
      </c>
      <c r="F847" s="19" t="inlineStr">
        <is>
          <t>ลงคอมพ์แล้ว</t>
        </is>
      </c>
    </row>
    <row r="848">
      <c r="A848" s="157" t="n">
        <v>24247</v>
      </c>
      <c r="B848" s="19" t="inlineStr">
        <is>
          <t>หจก. ไทยออโต้โคท (น้ำยาป้องกันสนิม ออโต้โคท/ทัฟโค้ท สีดำ)</t>
        </is>
      </c>
      <c r="C848" s="26" t="n">
        <v>6500</v>
      </c>
      <c r="E848" s="19" t="inlineStr">
        <is>
          <t>โอน 22/5/66</t>
        </is>
      </c>
    </row>
    <row r="849">
      <c r="A849" s="157" t="n">
        <v>24231</v>
      </c>
      <c r="B849" s="19" t="inlineStr">
        <is>
          <t>ไทยนครพัฒนา</t>
        </is>
      </c>
      <c r="C849" s="26" t="n">
        <v>23074.55</v>
      </c>
      <c r="D849" s="20" t="inlineStr">
        <is>
          <t>INV23050155</t>
        </is>
      </c>
      <c r="E849" s="19" t="inlineStr">
        <is>
          <t>โอน 2/7/66</t>
        </is>
      </c>
      <c r="F849" s="19" t="inlineStr">
        <is>
          <t>ลงคอมพ์แล้ว</t>
        </is>
      </c>
    </row>
    <row r="850">
      <c r="A850" s="157" t="n">
        <v>24233</v>
      </c>
      <c r="B850" s="19" t="inlineStr">
        <is>
          <t>ไทยนครพัฒนา</t>
        </is>
      </c>
      <c r="C850" s="26" t="n">
        <v>6527</v>
      </c>
      <c r="D850" s="20" t="inlineStr">
        <is>
          <t>INV23050217</t>
        </is>
      </c>
      <c r="E850" s="19" t="inlineStr">
        <is>
          <t>โอน 2/7/66</t>
        </is>
      </c>
      <c r="F850" s="19" t="inlineStr">
        <is>
          <t>ลงคอมพ์แล้ว</t>
        </is>
      </c>
    </row>
    <row r="851">
      <c r="A851" s="157" t="n">
        <v>24242</v>
      </c>
      <c r="B851" s="19" t="inlineStr">
        <is>
          <t>ห้างหุ้นส่วนจำกัด พี.บี. เพ้นต์</t>
        </is>
      </c>
      <c r="C851" s="26" t="n">
        <v>51360</v>
      </c>
      <c r="D851" s="20" t="inlineStr">
        <is>
          <t>66/287</t>
        </is>
      </c>
      <c r="E851" s="19" t="inlineStr">
        <is>
          <t>โอน 8/8/66</t>
        </is>
      </c>
      <c r="F851" s="19" t="inlineStr">
        <is>
          <t>ลงคอมพ์แล้ว</t>
        </is>
      </c>
    </row>
    <row r="853">
      <c r="B853" s="22" t="inlineStr">
        <is>
          <t>ต้นทุนอะไหล่</t>
        </is>
      </c>
    </row>
    <row r="854">
      <c r="B854" s="19" t="inlineStr">
        <is>
          <t>ร้านจิตต์ อะไหล่ Due 1 - 6/5/2566</t>
        </is>
      </c>
      <c r="C854" s="26" t="n">
        <v>50873.26</v>
      </c>
      <c r="E854" s="19" t="inlineStr">
        <is>
          <t>โอน 8/5/66</t>
        </is>
      </c>
    </row>
    <row r="855">
      <c r="B855" s="19" t="inlineStr">
        <is>
          <t>ร้านจิตต์ อะไหล่ Due 7 - 13/5/2566</t>
        </is>
      </c>
      <c r="C855" s="26" t="n">
        <v>88301.66</v>
      </c>
      <c r="E855" s="19" t="inlineStr">
        <is>
          <t>โอน 15/5/66</t>
        </is>
      </c>
    </row>
    <row r="856">
      <c r="B856" s="19" t="inlineStr">
        <is>
          <t>ร้านจิตต์ อะไหล่ Due 15 - 20/5/2566</t>
        </is>
      </c>
      <c r="C856" s="26" t="n">
        <v>55331.58</v>
      </c>
      <c r="E856" s="19" t="inlineStr">
        <is>
          <t>โอน 22/5/66</t>
        </is>
      </c>
    </row>
    <row r="857">
      <c r="B857" s="19" t="inlineStr">
        <is>
          <t>ร้านจิตต์ อะไหล่ Due 22 - 27/5/2566</t>
        </is>
      </c>
      <c r="C857" s="26" t="n">
        <v>92950.85000000001</v>
      </c>
      <c r="E857" s="19" t="inlineStr">
        <is>
          <t>โอน 29/5/66</t>
        </is>
      </c>
    </row>
    <row r="858">
      <c r="B858" s="19" t="inlineStr">
        <is>
          <t>ร้านจิตต์ อะไหล่ Due 29/5 - 3/6/2566</t>
        </is>
      </c>
      <c r="C858" s="26" t="n">
        <v>108076.47</v>
      </c>
      <c r="E858" s="19" t="inlineStr">
        <is>
          <t>โอน 7/6/66</t>
        </is>
      </c>
    </row>
    <row r="859">
      <c r="B859" s="19" t="inlineStr">
        <is>
          <t>ศรีสยาม Due 1 - 7/5/66</t>
        </is>
      </c>
      <c r="C859" s="26" t="n">
        <v>43911.45</v>
      </c>
      <c r="E859" s="19" t="inlineStr">
        <is>
          <t>โอน 11/6/66</t>
        </is>
      </c>
    </row>
    <row r="860">
      <c r="B860" s="19" t="inlineStr">
        <is>
          <t>ศรีสยาม Due 8 - 14/5/66</t>
        </is>
      </c>
      <c r="C860" s="26" t="n">
        <v>31266.01</v>
      </c>
      <c r="E860" s="19" t="inlineStr">
        <is>
          <t>โอน 17/6/66</t>
        </is>
      </c>
    </row>
    <row r="861">
      <c r="B861" s="19" t="inlineStr">
        <is>
          <t>ศรีสยาม Due 15 - 21/5/66</t>
        </is>
      </c>
      <c r="C861" s="26" t="n">
        <v>75861.02</v>
      </c>
      <c r="E861" s="19" t="inlineStr">
        <is>
          <t>โอน 24/6/66</t>
        </is>
      </c>
    </row>
    <row r="862">
      <c r="B862" s="19" t="inlineStr">
        <is>
          <t>ศรีสยาม Due 22 - 28/5/66</t>
        </is>
      </c>
      <c r="C862" s="26" t="n">
        <v>54977.13</v>
      </c>
      <c r="E862" s="19" t="inlineStr">
        <is>
          <t>โอน 2/7/66</t>
        </is>
      </c>
    </row>
    <row r="863">
      <c r="B863" s="19" t="inlineStr">
        <is>
          <t>ร้านเจ๊แอน</t>
        </is>
      </c>
      <c r="C863" s="26" t="n">
        <v>39730</v>
      </c>
      <c r="E863" s="19" t="inlineStr">
        <is>
          <t>โอน 8/6/66</t>
        </is>
      </c>
    </row>
    <row r="864">
      <c r="B864" s="19" t="inlineStr">
        <is>
          <t>ร้านโสภา</t>
        </is>
      </c>
      <c r="C864" s="26" t="n">
        <v>1950</v>
      </c>
      <c r="E864" s="19" t="inlineStr">
        <is>
          <t>โอน 2/7/66</t>
        </is>
      </c>
    </row>
    <row r="866" customFormat="1" s="28">
      <c r="A866" s="102" t="inlineStr">
        <is>
          <t>รายการซื้อสินค้าเข้า ประจำเดือน 6/2566</t>
        </is>
      </c>
      <c r="B866" s="158" t="n"/>
      <c r="C866" s="158" t="n"/>
      <c r="D866" s="158" t="n"/>
      <c r="E866" s="158" t="n"/>
      <c r="F866" s="27" t="n"/>
      <c r="G866" s="27" t="n"/>
      <c r="H866" s="27" t="n"/>
      <c r="I866" s="27" t="n"/>
      <c r="J866" s="27" t="n"/>
    </row>
    <row r="867" customFormat="1" s="20">
      <c r="A867" s="159" t="inlineStr">
        <is>
          <t>ว/ด/ป</t>
        </is>
      </c>
      <c r="B867" s="21" t="inlineStr">
        <is>
          <t>ชื่อร้านค้า</t>
        </is>
      </c>
      <c r="C867" s="25" t="inlineStr">
        <is>
          <t>ยอดรวม</t>
        </is>
      </c>
      <c r="D867" s="21" t="inlineStr">
        <is>
          <t>เลขที่บิล</t>
        </is>
      </c>
      <c r="E867" s="21" t="inlineStr">
        <is>
          <t>หมายเหตุ</t>
        </is>
      </c>
    </row>
    <row r="868">
      <c r="B868" s="22" t="inlineStr">
        <is>
          <t>ต้นทุนสี</t>
        </is>
      </c>
    </row>
    <row r="869">
      <c r="A869" s="157" t="n">
        <v>24279</v>
      </c>
      <c r="B869" s="19" t="inlineStr">
        <is>
          <t>บจก. วีที คัลเลอร์ โปร -- กระดาษกาว (จ่ายสด)</t>
        </is>
      </c>
      <c r="C869" s="26" t="n">
        <v>3168</v>
      </c>
      <c r="E869" s="19" t="inlineStr">
        <is>
          <t>โอน 21/6/66</t>
        </is>
      </c>
    </row>
    <row r="870">
      <c r="A870" s="157" t="n">
        <v>24271</v>
      </c>
      <c r="B870" s="19" t="inlineStr">
        <is>
          <t xml:space="preserve">บจก. วีที คัลเลอร์ โปร </t>
        </is>
      </c>
      <c r="C870" s="26" t="n">
        <v>34775</v>
      </c>
      <c r="D870" s="20" t="inlineStr">
        <is>
          <t>IV329-66</t>
        </is>
      </c>
      <c r="E870" s="19" t="inlineStr">
        <is>
          <t>โอน 7/9/66</t>
        </is>
      </c>
      <c r="F870" s="19" t="inlineStr">
        <is>
          <t>ลงคอมพ์แล้ว</t>
        </is>
      </c>
    </row>
    <row r="871">
      <c r="A871" s="157" t="n">
        <v>24272</v>
      </c>
      <c r="B871" s="19" t="inlineStr">
        <is>
          <t xml:space="preserve">บจก. วีที คัลเลอร์ โปร </t>
        </is>
      </c>
      <c r="C871" s="26" t="n">
        <v>21770.22</v>
      </c>
      <c r="D871" s="20" t="inlineStr">
        <is>
          <t>IV336-66</t>
        </is>
      </c>
      <c r="E871" s="19" t="inlineStr">
        <is>
          <t>โอน 7/9/66</t>
        </is>
      </c>
      <c r="F871" s="19" t="inlineStr">
        <is>
          <t>ลงคอมพ์แล้ว</t>
        </is>
      </c>
      <c r="H871" s="26">
        <f>SUM(C870+C871+C872+C873+C874)</f>
        <v/>
      </c>
    </row>
    <row r="872">
      <c r="A872" s="157" t="n">
        <v>24282</v>
      </c>
      <c r="B872" s="19" t="inlineStr">
        <is>
          <t xml:space="preserve">บจก. วีที คัลเลอร์ โปร </t>
        </is>
      </c>
      <c r="C872" s="26" t="n">
        <v>34293.5</v>
      </c>
      <c r="D872" s="20" t="inlineStr">
        <is>
          <t>IV352-66</t>
        </is>
      </c>
      <c r="E872" s="19" t="inlineStr">
        <is>
          <t>โอน 7/9/66</t>
        </is>
      </c>
      <c r="F872" s="19" t="inlineStr">
        <is>
          <t>ลงคอมพ์แล้ว</t>
        </is>
      </c>
      <c r="H872" s="26" t="n"/>
    </row>
    <row r="873">
      <c r="A873" s="157" t="n">
        <v>24282</v>
      </c>
      <c r="B873" s="19" t="inlineStr">
        <is>
          <t xml:space="preserve">บจก. วีที คัลเลอร์ โปร </t>
        </is>
      </c>
      <c r="C873" s="26" t="n">
        <v>60241</v>
      </c>
      <c r="D873" s="20" t="inlineStr">
        <is>
          <t>IV353-66</t>
        </is>
      </c>
      <c r="E873" s="19" t="inlineStr">
        <is>
          <t>โอน 7/9/66</t>
        </is>
      </c>
      <c r="F873" s="19" t="inlineStr">
        <is>
          <t>ลงคอมพ์แล้ว</t>
        </is>
      </c>
    </row>
    <row r="874">
      <c r="A874" s="157" t="n">
        <v>24282</v>
      </c>
      <c r="B874" s="19" t="inlineStr">
        <is>
          <t xml:space="preserve">บจก. วีที คัลเลอร์ โปร </t>
        </is>
      </c>
      <c r="C874" s="26" t="n">
        <v>131224.8</v>
      </c>
      <c r="D874" s="20" t="inlineStr">
        <is>
          <t>IV354-66</t>
        </is>
      </c>
      <c r="E874" s="19" t="inlineStr">
        <is>
          <t>โอน 7/9/66</t>
        </is>
      </c>
      <c r="F874" s="19" t="inlineStr">
        <is>
          <t>ลงคอมพ์แล้ว</t>
        </is>
      </c>
    </row>
    <row r="875">
      <c r="A875" s="157" t="n">
        <v>24273</v>
      </c>
      <c r="B875" s="19" t="inlineStr">
        <is>
          <t>ห้างหุ้นส่วนจากัด พีอาร์โอ ซัพพลาย</t>
        </is>
      </c>
      <c r="C875" s="26" t="n">
        <v>3531</v>
      </c>
      <c r="E875" s="19" t="inlineStr">
        <is>
          <t>โอน 15/6/66</t>
        </is>
      </c>
    </row>
    <row r="876">
      <c r="A876" s="157" t="n">
        <v>24273</v>
      </c>
      <c r="B876" s="19" t="inlineStr">
        <is>
          <t>ทาเลนท์อินเตอร์เทรด</t>
        </is>
      </c>
      <c r="C876" s="26" t="n">
        <v>10143.6</v>
      </c>
      <c r="D876" s="20" t="inlineStr">
        <is>
          <t>IV2214252</t>
        </is>
      </c>
      <c r="E876" s="19" t="inlineStr">
        <is>
          <t>โอน 7/10/66</t>
        </is>
      </c>
      <c r="F876" s="19" t="inlineStr">
        <is>
          <t>ลงคอมพ์แล้ว</t>
        </is>
      </c>
    </row>
    <row r="877">
      <c r="A877" s="157" t="n">
        <v>24277</v>
      </c>
      <c r="B877" s="19" t="inlineStr">
        <is>
          <t>ทาเลนท์อินเตอร์เทรด</t>
        </is>
      </c>
      <c r="C877" s="26" t="n">
        <v>3638</v>
      </c>
      <c r="D877" s="20" t="inlineStr">
        <is>
          <t>IV2214486</t>
        </is>
      </c>
      <c r="E877" s="19" t="inlineStr">
        <is>
          <t>โอน 7/10/66</t>
        </is>
      </c>
      <c r="F877" s="19" t="inlineStr">
        <is>
          <t>ลงคอมพ์แล้ว</t>
        </is>
      </c>
    </row>
    <row r="878">
      <c r="A878" s="157" t="n">
        <v>24278</v>
      </c>
      <c r="B878" s="19" t="inlineStr">
        <is>
          <t>ทาเลนท์อินเตอร์เทรด</t>
        </is>
      </c>
      <c r="C878" s="26" t="n">
        <v>5906.4</v>
      </c>
      <c r="D878" s="20" t="inlineStr">
        <is>
          <t>IV2214540</t>
        </is>
      </c>
      <c r="E878" s="19" t="inlineStr">
        <is>
          <t>โอน 7/10/66</t>
        </is>
      </c>
      <c r="F878" s="19" t="inlineStr">
        <is>
          <t>ลงคอมพ์แล้ว</t>
        </is>
      </c>
    </row>
    <row r="879">
      <c r="A879" s="157" t="n">
        <v>24270</v>
      </c>
      <c r="B879" s="19" t="inlineStr">
        <is>
          <t>ไทยนครพัฒนา</t>
        </is>
      </c>
      <c r="C879" s="26" t="n">
        <v>28729.5</v>
      </c>
      <c r="D879" s="20" t="inlineStr">
        <is>
          <t>INV23060429</t>
        </is>
      </c>
      <c r="E879" s="19" t="inlineStr">
        <is>
          <t>โอน 8/8/66</t>
        </is>
      </c>
      <c r="F879" s="19" t="inlineStr">
        <is>
          <t>ลงคอมพ์แล้ว</t>
        </is>
      </c>
    </row>
    <row r="880">
      <c r="A880" s="157" t="n">
        <v>24272</v>
      </c>
      <c r="B880" s="19" t="inlineStr">
        <is>
          <t xml:space="preserve">ออโต้เทรด มาร์เก็ตติ้ง </t>
        </is>
      </c>
      <c r="C880" s="26" t="n">
        <v>23329.21</v>
      </c>
      <c r="D880" s="20" t="inlineStr">
        <is>
          <t>IV1433445</t>
        </is>
      </c>
      <c r="E880" s="19" t="inlineStr">
        <is>
          <t>โอน 24/6/66</t>
        </is>
      </c>
      <c r="F880" s="19" t="inlineStr">
        <is>
          <t>ลงคอมพ์แล้ว</t>
        </is>
      </c>
    </row>
    <row r="881">
      <c r="A881" s="157" t="n">
        <v>24284</v>
      </c>
      <c r="B881" s="19" t="inlineStr">
        <is>
          <t>ห้างหุ้นส่วนจำกัด พี.บี. เพ้นต์</t>
        </is>
      </c>
      <c r="C881" s="26" t="n">
        <v>51360</v>
      </c>
      <c r="D881" s="20" t="inlineStr">
        <is>
          <t>66/393</t>
        </is>
      </c>
      <c r="E881" s="19" t="inlineStr">
        <is>
          <t>โอน 9/9/66</t>
        </is>
      </c>
      <c r="F881" s="19" t="inlineStr">
        <is>
          <t>ลงคอมพ์แล้ว</t>
        </is>
      </c>
    </row>
    <row r="883">
      <c r="B883" s="22" t="inlineStr">
        <is>
          <t>ต้นทุนอะไหล่</t>
        </is>
      </c>
    </row>
    <row r="884">
      <c r="B884" s="19" t="inlineStr">
        <is>
          <t>ศรีสยาม Due 29/5 - 4/6/66</t>
        </is>
      </c>
      <c r="C884" s="26" t="n">
        <v>46261.66</v>
      </c>
      <c r="E884" s="19" t="inlineStr">
        <is>
          <t>โอน 9/7/66</t>
        </is>
      </c>
    </row>
    <row r="885">
      <c r="B885" s="19" t="inlineStr">
        <is>
          <t>ศรีสยาม Due 5 - 11/6/66</t>
        </is>
      </c>
      <c r="C885" s="26" t="n">
        <v>59623.52</v>
      </c>
      <c r="E885" s="19" t="inlineStr">
        <is>
          <t>โอน 17/7/66</t>
        </is>
      </c>
    </row>
    <row r="886">
      <c r="B886" s="19" t="inlineStr">
        <is>
          <t>ศรีสยาม Due 12 - 18/6/66</t>
        </is>
      </c>
      <c r="C886" s="26" t="n">
        <v>149007.04</v>
      </c>
      <c r="E886" s="19" t="inlineStr">
        <is>
          <t>โอน 19/7/66</t>
        </is>
      </c>
    </row>
    <row r="887">
      <c r="B887" s="19" t="inlineStr">
        <is>
          <t>ศรีสยาม Due 19 - 25/6/66</t>
        </is>
      </c>
      <c r="C887" s="26" t="n">
        <v>19413.85</v>
      </c>
      <c r="E887" s="19" t="inlineStr">
        <is>
          <t>โอน 3/8/66</t>
        </is>
      </c>
    </row>
    <row r="888">
      <c r="B888" s="19" t="inlineStr">
        <is>
          <t>ศรีสยาม Due 26/6 - 2/7/66</t>
        </is>
      </c>
      <c r="C888" s="26" t="n">
        <v>116985.31</v>
      </c>
      <c r="E888" s="19" t="inlineStr">
        <is>
          <t>โอน 3/8/66</t>
        </is>
      </c>
    </row>
    <row r="889">
      <c r="B889" s="19" t="inlineStr">
        <is>
          <t>ร้านจิตต์ อะไหล่ Due 5 - 10/6/2566</t>
        </is>
      </c>
      <c r="C889" s="26" t="n">
        <v>84275.5</v>
      </c>
      <c r="E889" s="19" t="inlineStr">
        <is>
          <t>โอน 13/6/66</t>
        </is>
      </c>
    </row>
    <row r="890">
      <c r="B890" s="19" t="inlineStr">
        <is>
          <t>ร้านจิตต์ อะไหล่ Due 12 - 17/6/2566</t>
        </is>
      </c>
      <c r="C890" s="26" t="n">
        <v>67813.92999999999</v>
      </c>
      <c r="E890" s="19" t="inlineStr">
        <is>
          <t>โอน 20/6/66</t>
        </is>
      </c>
    </row>
    <row r="891">
      <c r="B891" s="19" t="inlineStr">
        <is>
          <t>ร้านจิตต์ อะไหล่ Due 19 - 24/6/2566</t>
        </is>
      </c>
      <c r="C891" s="26" t="n">
        <v>75295.25999999999</v>
      </c>
      <c r="E891" s="19" t="inlineStr">
        <is>
          <t>โอน 26/6/66</t>
        </is>
      </c>
    </row>
    <row r="892">
      <c r="B892" s="19" t="inlineStr">
        <is>
          <t>ร้านจิตต์ อะไหล่ Due 26/6 - 1/7/2566</t>
        </is>
      </c>
      <c r="C892" s="26" t="n">
        <v>59675.94</v>
      </c>
      <c r="E892" s="19" t="inlineStr">
        <is>
          <t>โอน 5/7/66</t>
        </is>
      </c>
    </row>
    <row r="893">
      <c r="A893" s="157" t="n">
        <v>24269</v>
      </c>
      <c r="B893" s="19" t="inlineStr">
        <is>
          <t>ค่ากิ๊บน๊อต / ร้าน 55 กิ๊บน๊อต</t>
        </is>
      </c>
      <c r="E893" s="19" t="inlineStr">
        <is>
          <t>โอน 13/6/66</t>
        </is>
      </c>
    </row>
    <row r="894">
      <c r="B894" s="19" t="inlineStr">
        <is>
          <t>ร้านโสภา</t>
        </is>
      </c>
      <c r="C894" s="26" t="n">
        <v>2150</v>
      </c>
      <c r="E894" s="19" t="inlineStr">
        <is>
          <t>โอน 2/7/66</t>
        </is>
      </c>
    </row>
    <row r="895">
      <c r="B895" s="19" t="inlineStr">
        <is>
          <t>ร้านเจ๊แอน</t>
        </is>
      </c>
      <c r="C895" s="26" t="n">
        <v>44230</v>
      </c>
      <c r="E895" s="19" t="inlineStr">
        <is>
          <t>โอน 2/7/66</t>
        </is>
      </c>
    </row>
    <row r="897" customFormat="1" s="28">
      <c r="A897" s="102" t="inlineStr">
        <is>
          <t>รายการซื้อสินค้าเข้า ประจำเดือน 7/2566</t>
        </is>
      </c>
      <c r="B897" s="158" t="n"/>
      <c r="C897" s="158" t="n"/>
      <c r="D897" s="158" t="n"/>
      <c r="E897" s="158" t="n"/>
      <c r="F897" s="27" t="n"/>
      <c r="G897" s="27" t="n"/>
      <c r="H897" s="27" t="n"/>
      <c r="I897" s="27" t="n"/>
      <c r="J897" s="27" t="n"/>
    </row>
    <row r="898" customFormat="1" s="20">
      <c r="A898" s="159" t="inlineStr">
        <is>
          <t>ว/ด/ป</t>
        </is>
      </c>
      <c r="B898" s="21" t="inlineStr">
        <is>
          <t>ชื่อร้านค้า</t>
        </is>
      </c>
      <c r="C898" s="25" t="inlineStr">
        <is>
          <t>ยอดรวม</t>
        </is>
      </c>
      <c r="D898" s="21" t="inlineStr">
        <is>
          <t>เลขที่บิล</t>
        </is>
      </c>
      <c r="E898" s="21" t="inlineStr">
        <is>
          <t>หมายเหตุ</t>
        </is>
      </c>
    </row>
    <row r="899">
      <c r="B899" s="22" t="inlineStr">
        <is>
          <t>ต้นทุนสี</t>
        </is>
      </c>
    </row>
    <row r="900">
      <c r="A900" s="157" t="n">
        <v>24299</v>
      </c>
      <c r="B900" s="19" t="inlineStr">
        <is>
          <t>บจก. ฟอร์เวิร์ด อินคอร์ปอร์เรชั่น (ประเทศไทย)</t>
        </is>
      </c>
      <c r="C900" s="26" t="n">
        <v>16050</v>
      </c>
      <c r="D900" s="20" t="inlineStr">
        <is>
          <t>FW6607396</t>
        </is>
      </c>
      <c r="E900" s="19" t="inlineStr">
        <is>
          <t>โอน 11/7/66</t>
        </is>
      </c>
    </row>
    <row r="901">
      <c r="A901" s="157" t="n">
        <v>24313</v>
      </c>
      <c r="B901" s="19" t="inlineStr">
        <is>
          <t>ห้างหุ้นส่วนจำกัด พี.บี. เพ้นต์</t>
        </is>
      </c>
      <c r="C901" s="26" t="n">
        <v>51360</v>
      </c>
      <c r="D901" s="20" t="inlineStr">
        <is>
          <t>66/456</t>
        </is>
      </c>
      <c r="E901" s="19" t="inlineStr">
        <is>
          <t>โอน 19/10/66</t>
        </is>
      </c>
      <c r="F901" s="19" t="inlineStr">
        <is>
          <t>ลงคอมพ์แล้ว</t>
        </is>
      </c>
    </row>
    <row r="902">
      <c r="A902" s="157" t="n">
        <v>24298</v>
      </c>
      <c r="B902" s="19" t="inlineStr">
        <is>
          <t>ไทยนครพัฒนา</t>
        </is>
      </c>
      <c r="C902" s="26" t="n">
        <v>35470.5</v>
      </c>
      <c r="D902" s="20" t="inlineStr">
        <is>
          <t>INV23070398</t>
        </is>
      </c>
      <c r="E902" s="19" t="inlineStr">
        <is>
          <t>โอน 9/9/66</t>
        </is>
      </c>
      <c r="F902" s="19" t="inlineStr">
        <is>
          <t>ลงคอมพ์แล้ว</t>
        </is>
      </c>
    </row>
    <row r="903">
      <c r="A903" s="157" t="n">
        <v>24293</v>
      </c>
      <c r="B903" s="19" t="inlineStr">
        <is>
          <t xml:space="preserve">บจก. วีที คัลเลอร์ โปร </t>
        </is>
      </c>
      <c r="C903" s="26" t="n">
        <v>2996</v>
      </c>
      <c r="D903" s="20" t="inlineStr">
        <is>
          <t>IV374-66</t>
        </is>
      </c>
      <c r="E903" s="19" t="inlineStr">
        <is>
          <t>โอน 29/9/66</t>
        </is>
      </c>
      <c r="F903" s="19" t="inlineStr">
        <is>
          <t>ลงคอมพ์แล้ว</t>
        </is>
      </c>
    </row>
    <row r="904">
      <c r="A904" s="157" t="n">
        <v>24298</v>
      </c>
      <c r="B904" s="19" t="inlineStr">
        <is>
          <t xml:space="preserve">บจก. วีที คัลเลอร์ โปร </t>
        </is>
      </c>
      <c r="C904" s="26" t="n">
        <v>39258.3</v>
      </c>
      <c r="D904" s="20" t="inlineStr">
        <is>
          <t>IV387-66</t>
        </is>
      </c>
      <c r="E904" s="19" t="inlineStr">
        <is>
          <t>โอน 29/9/66</t>
        </is>
      </c>
      <c r="F904" s="19" t="inlineStr">
        <is>
          <t>ลงคอมพ์แล้ว</t>
        </is>
      </c>
    </row>
    <row r="905">
      <c r="A905" s="157" t="n">
        <v>24309</v>
      </c>
      <c r="B905" s="19" t="inlineStr">
        <is>
          <t xml:space="preserve">บจก. วีที คัลเลอร์ โปร </t>
        </is>
      </c>
      <c r="C905" s="26" t="n">
        <v>37985</v>
      </c>
      <c r="D905" s="20" t="inlineStr">
        <is>
          <t>IV410-66</t>
        </is>
      </c>
      <c r="E905" s="19" t="inlineStr">
        <is>
          <t>โอน 29/9/66</t>
        </is>
      </c>
      <c r="F905" s="19" t="inlineStr">
        <is>
          <t>ลงคอมพ์แล้ว</t>
        </is>
      </c>
    </row>
    <row r="906">
      <c r="A906" s="157" t="n">
        <v>24315</v>
      </c>
      <c r="B906" s="19" t="inlineStr">
        <is>
          <t xml:space="preserve">บจก. วีที คัลเลอร์ โปร </t>
        </is>
      </c>
      <c r="C906" s="26" t="n">
        <v>33972.5</v>
      </c>
      <c r="D906" s="20" t="inlineStr">
        <is>
          <t>IV423-66</t>
        </is>
      </c>
      <c r="E906" s="19" t="inlineStr">
        <is>
          <t>โอน 29/9/66</t>
        </is>
      </c>
      <c r="F906" s="19" t="inlineStr">
        <is>
          <t>ลงคอมพ์แล้ว</t>
        </is>
      </c>
    </row>
    <row r="907">
      <c r="A907" s="157" t="n">
        <v>24315</v>
      </c>
      <c r="B907" s="19" t="inlineStr">
        <is>
          <t xml:space="preserve">บจก. วีที คัลเลอร์ โปร </t>
        </is>
      </c>
      <c r="C907" s="26" t="n">
        <v>45956.5</v>
      </c>
      <c r="D907" s="20" t="inlineStr">
        <is>
          <t>IV424-66</t>
        </is>
      </c>
      <c r="E907" s="19" t="inlineStr">
        <is>
          <t>โอน 29/9/66</t>
        </is>
      </c>
      <c r="F907" s="19" t="inlineStr">
        <is>
          <t>ลงคอมพ์แล้ว</t>
        </is>
      </c>
    </row>
    <row r="908">
      <c r="A908" s="157" t="n">
        <v>24315</v>
      </c>
      <c r="B908" s="19" t="inlineStr">
        <is>
          <t xml:space="preserve">บจก. วีที คัลเลอร์ โปร </t>
        </is>
      </c>
      <c r="C908" s="26" t="n">
        <v>113355.8</v>
      </c>
      <c r="D908" s="20" t="inlineStr">
        <is>
          <t>IV425-66</t>
        </is>
      </c>
      <c r="E908" s="19" t="inlineStr">
        <is>
          <t>โอน 29/9/66</t>
        </is>
      </c>
      <c r="F908" s="19" t="inlineStr">
        <is>
          <t>ลงคอมพ์แล้ว</t>
        </is>
      </c>
    </row>
    <row r="909">
      <c r="A909" s="157" t="n">
        <v>24302</v>
      </c>
      <c r="B909" s="19" t="inlineStr">
        <is>
          <t>ทาเลนท์อินเตอร์เทรด</t>
        </is>
      </c>
      <c r="C909" s="26" t="n">
        <v>4647.08</v>
      </c>
      <c r="D909" s="20" t="inlineStr">
        <is>
          <t>IV2216248</t>
        </is>
      </c>
      <c r="E909" s="19" t="inlineStr">
        <is>
          <t>โอน 7/10/66</t>
        </is>
      </c>
      <c r="F909" s="19" t="inlineStr">
        <is>
          <t>ลงคอมพ์แล้ว</t>
        </is>
      </c>
    </row>
    <row r="911">
      <c r="B911" s="22" t="inlineStr">
        <is>
          <t>ต้นทุนอะไหล่</t>
        </is>
      </c>
    </row>
    <row r="912">
      <c r="B912" s="19" t="inlineStr">
        <is>
          <t>ร้านเจ๊แอน</t>
        </is>
      </c>
      <c r="C912" s="26" t="n">
        <v>26070</v>
      </c>
      <c r="E912" s="19" t="inlineStr">
        <is>
          <t>โอน 3/8/66</t>
        </is>
      </c>
    </row>
    <row r="913">
      <c r="B913" s="19" t="inlineStr">
        <is>
          <t>ศรีสยาม Due 3 - 9/7/66</t>
        </is>
      </c>
      <c r="C913" s="26" t="n">
        <v>131448.26</v>
      </c>
      <c r="E913" s="19" t="inlineStr">
        <is>
          <t>โอน 16/8/66</t>
        </is>
      </c>
    </row>
    <row r="914">
      <c r="B914" s="19" t="inlineStr">
        <is>
          <t>ศรีสยาม Due 10 - 16/7/66</t>
        </is>
      </c>
      <c r="C914" s="26" t="n">
        <v>131639.25</v>
      </c>
      <c r="E914" s="19" t="inlineStr">
        <is>
          <t>โอน 16/8/66</t>
        </is>
      </c>
    </row>
    <row r="915">
      <c r="B915" s="19" t="inlineStr">
        <is>
          <t>ศรีสยาม Due 17 - 23/7/66</t>
        </is>
      </c>
      <c r="C915" s="26" t="n">
        <v>64606.24</v>
      </c>
      <c r="E915" s="19" t="inlineStr">
        <is>
          <t>โอน 4/9/66</t>
        </is>
      </c>
    </row>
    <row r="916">
      <c r="B916" s="19" t="inlineStr">
        <is>
          <t>ศรีสยาม Due 24 - 30/7/66</t>
        </is>
      </c>
      <c r="C916" s="26" t="n">
        <v>46228.16</v>
      </c>
      <c r="E916" s="19" t="inlineStr">
        <is>
          <t>โอน 4/9/66</t>
        </is>
      </c>
    </row>
    <row r="917">
      <c r="B917" s="19" t="inlineStr">
        <is>
          <t>ร้านจิตต์ อะไหล่ Due 3 - 8/7/2566</t>
        </is>
      </c>
      <c r="C917" s="26" t="n">
        <v>92043.56</v>
      </c>
      <c r="E917" s="19" t="inlineStr">
        <is>
          <t>โอน 11/7/66</t>
        </is>
      </c>
    </row>
    <row r="918">
      <c r="B918" s="19" t="inlineStr">
        <is>
          <t>ร้านจิตต์ อะไหล่ Due 10 - 31/7/2566</t>
        </is>
      </c>
      <c r="C918" s="26" t="n">
        <v>183207.92</v>
      </c>
      <c r="E918" s="19" t="inlineStr">
        <is>
          <t>โอน 16/8/66</t>
        </is>
      </c>
      <c r="G918" s="26" t="n"/>
    </row>
    <row r="919">
      <c r="B919" s="19" t="inlineStr">
        <is>
          <t>ร้านโสภา</t>
        </is>
      </c>
      <c r="C919" s="26" t="n">
        <v>5500</v>
      </c>
      <c r="E919" s="19" t="inlineStr">
        <is>
          <t>โอน 17/11/66</t>
        </is>
      </c>
    </row>
    <row r="921" customFormat="1" s="28">
      <c r="A921" s="102" t="inlineStr">
        <is>
          <t>รายการซื้อสินค้าเข้า ประจำเดือน 8/2566</t>
        </is>
      </c>
      <c r="B921" s="158" t="n"/>
      <c r="C921" s="158" t="n"/>
      <c r="D921" s="158" t="n"/>
      <c r="E921" s="158" t="n"/>
      <c r="F921" s="27" t="n"/>
      <c r="G921" s="27" t="n"/>
      <c r="H921" s="27" t="n"/>
      <c r="I921" s="27" t="n"/>
      <c r="J921" s="27" t="n"/>
    </row>
    <row r="922" customFormat="1" s="20">
      <c r="A922" s="159" t="inlineStr">
        <is>
          <t>ว/ด/ป</t>
        </is>
      </c>
      <c r="B922" s="21" t="inlineStr">
        <is>
          <t>ชื่อร้านค้า</t>
        </is>
      </c>
      <c r="C922" s="25" t="inlineStr">
        <is>
          <t>ยอดรวม</t>
        </is>
      </c>
      <c r="D922" s="21" t="inlineStr">
        <is>
          <t>เลขที่บิล</t>
        </is>
      </c>
      <c r="E922" s="21" t="inlineStr">
        <is>
          <t>หมายเหตุ</t>
        </is>
      </c>
    </row>
    <row r="923">
      <c r="B923" s="22" t="inlineStr">
        <is>
          <t>ต้นทุนสี</t>
        </is>
      </c>
    </row>
    <row r="924">
      <c r="A924" s="157" t="n">
        <v>24326</v>
      </c>
      <c r="B924" s="19" t="inlineStr">
        <is>
          <t xml:space="preserve">ออโต้เทรด มาร์เก็ตติ้ง </t>
        </is>
      </c>
      <c r="C924" s="26" t="n">
        <v>24396</v>
      </c>
      <c r="D924" s="20" t="inlineStr">
        <is>
          <t>IV1435877</t>
        </is>
      </c>
      <c r="E924" s="19" t="inlineStr">
        <is>
          <t>โอน 9/9/66</t>
        </is>
      </c>
      <c r="F924" s="19" t="inlineStr">
        <is>
          <t>ลงคอมพ์แล้ว</t>
        </is>
      </c>
    </row>
    <row r="925">
      <c r="A925" s="157" t="n">
        <v>24327</v>
      </c>
      <c r="B925" s="19" t="inlineStr">
        <is>
          <t xml:space="preserve">ออโต้เทรด มาร์เก็ตติ้ง </t>
        </is>
      </c>
      <c r="C925" s="26" t="n">
        <v>16906</v>
      </c>
      <c r="D925" s="20" t="inlineStr">
        <is>
          <t>IV1436009</t>
        </is>
      </c>
      <c r="E925" s="19" t="inlineStr">
        <is>
          <t>โอน 3/11/66</t>
        </is>
      </c>
      <c r="F925" s="19" t="inlineStr">
        <is>
          <t>ลงคอมพ์แล้ว</t>
        </is>
      </c>
    </row>
    <row r="926">
      <c r="A926" s="157" t="n">
        <v>24341</v>
      </c>
      <c r="B926" s="19" t="inlineStr">
        <is>
          <t>ห้างหุ้นส่วนจำกัด พี.บี. เพ้นต์</t>
        </is>
      </c>
      <c r="C926" s="26" t="n">
        <v>51360</v>
      </c>
      <c r="D926" s="20" t="inlineStr">
        <is>
          <t>66/521</t>
        </is>
      </c>
      <c r="E926" s="19" t="inlineStr">
        <is>
          <t>โอน 2/11/66</t>
        </is>
      </c>
      <c r="F926" s="19" t="inlineStr">
        <is>
          <t>ลงคอมพ์แล้ว</t>
        </is>
      </c>
    </row>
    <row r="927">
      <c r="A927" s="157" t="n">
        <v>24334</v>
      </c>
      <c r="B927" s="19" t="inlineStr">
        <is>
          <t>ไทยนครพัฒนา</t>
        </is>
      </c>
      <c r="C927" s="26" t="n">
        <v>29601.55</v>
      </c>
      <c r="D927" s="20" t="inlineStr">
        <is>
          <t>INV23080494</t>
        </is>
      </c>
      <c r="E927" s="19" t="inlineStr">
        <is>
          <t>โอน 19/10/66</t>
        </is>
      </c>
      <c r="F927" s="19" t="inlineStr">
        <is>
          <t>ลงคอมพ์แล้ว</t>
        </is>
      </c>
    </row>
    <row r="928">
      <c r="A928" s="157" t="n">
        <v>24328</v>
      </c>
      <c r="B928" s="19" t="inlineStr">
        <is>
          <t xml:space="preserve">บจก. วีที คัลเลอร์ โปร </t>
        </is>
      </c>
      <c r="C928" s="26" t="n">
        <v>9922.110000000001</v>
      </c>
      <c r="D928" s="20" t="inlineStr">
        <is>
          <t>IV450-66</t>
        </is>
      </c>
      <c r="E928" s="19" t="inlineStr">
        <is>
          <t>โอน 2/11/66</t>
        </is>
      </c>
      <c r="F928" s="19" t="inlineStr">
        <is>
          <t>ลงคอมพ์แล้ว</t>
        </is>
      </c>
      <c r="G928" s="26" t="n"/>
    </row>
    <row r="929">
      <c r="A929" s="157" t="n">
        <v>24340</v>
      </c>
      <c r="B929" s="19" t="inlineStr">
        <is>
          <t xml:space="preserve">บจก. วีที คัลเลอร์ โปร </t>
        </is>
      </c>
      <c r="C929" s="26" t="n">
        <v>59920</v>
      </c>
      <c r="D929" s="20" t="inlineStr">
        <is>
          <t>IV469-66</t>
        </is>
      </c>
      <c r="E929" s="19" t="inlineStr">
        <is>
          <t>โอน 2/11/66</t>
        </is>
      </c>
      <c r="F929" s="19" t="inlineStr">
        <is>
          <t>ลงคอมพ์แล้ว</t>
        </is>
      </c>
    </row>
    <row r="930">
      <c r="A930" s="157" t="n">
        <v>24340</v>
      </c>
      <c r="B930" s="19" t="inlineStr">
        <is>
          <t xml:space="preserve">บจก. วีที คัลเลอร์ โปร </t>
        </is>
      </c>
      <c r="C930" s="26" t="n">
        <v>151426.4</v>
      </c>
      <c r="D930" s="20" t="inlineStr">
        <is>
          <t>IV470-66</t>
        </is>
      </c>
      <c r="E930" s="19" t="inlineStr">
        <is>
          <t>โอน 2/11/66</t>
        </is>
      </c>
      <c r="F930" s="19" t="inlineStr">
        <is>
          <t>ลงคอมพ์แล้ว</t>
        </is>
      </c>
    </row>
    <row r="931">
      <c r="A931" s="157" t="n">
        <v>24320</v>
      </c>
      <c r="B931" s="19" t="inlineStr">
        <is>
          <t>ทาเลนท์อินเตอร์เทรด</t>
        </is>
      </c>
      <c r="C931" s="26" t="n">
        <v>1129.92</v>
      </c>
      <c r="D931" s="20" t="inlineStr">
        <is>
          <t>IV2217111</t>
        </is>
      </c>
      <c r="E931" s="19" t="inlineStr">
        <is>
          <t>โอน 17/11/66</t>
        </is>
      </c>
      <c r="F931" s="19" t="inlineStr">
        <is>
          <t>ลงคอมพ์แล้ว</t>
        </is>
      </c>
    </row>
    <row r="932">
      <c r="A932" s="157" t="n">
        <v>24321</v>
      </c>
      <c r="B932" s="19" t="inlineStr">
        <is>
          <t>ทาเลนท์อินเตอร์เทรด</t>
        </is>
      </c>
      <c r="C932" s="26" t="n">
        <v>2050.12</v>
      </c>
      <c r="D932" s="20" t="inlineStr">
        <is>
          <t>IV2217239</t>
        </is>
      </c>
      <c r="E932" s="19" t="inlineStr">
        <is>
          <t>โอน 17/11/66</t>
        </is>
      </c>
      <c r="F932" s="19" t="inlineStr">
        <is>
          <t>ลงคอมพ์แล้ว</t>
        </is>
      </c>
    </row>
    <row r="933">
      <c r="A933" s="157" t="n">
        <v>24329</v>
      </c>
      <c r="B933" s="19" t="inlineStr">
        <is>
          <t>ทาเลนท์อินเตอร์เทรด</t>
        </is>
      </c>
      <c r="C933" s="26" t="n">
        <v>2953.2</v>
      </c>
      <c r="D933" s="20" t="inlineStr">
        <is>
          <t>IV2217919</t>
        </is>
      </c>
      <c r="E933" s="19" t="inlineStr">
        <is>
          <t>โอน 17/11/66</t>
        </is>
      </c>
      <c r="F933" s="19" t="inlineStr">
        <is>
          <t>ลงคอมพ์แล้ว</t>
        </is>
      </c>
    </row>
    <row r="934">
      <c r="A934" s="157" t="n">
        <v>24330</v>
      </c>
      <c r="B934" s="19" t="inlineStr">
        <is>
          <t>ทาเลนท์อินเตอร์เทรด</t>
        </is>
      </c>
      <c r="C934" s="26" t="n">
        <v>3477.5</v>
      </c>
      <c r="D934" s="20" t="inlineStr">
        <is>
          <t>IV2217986</t>
        </is>
      </c>
      <c r="E934" s="19" t="inlineStr">
        <is>
          <t>โอน 17/11/66</t>
        </is>
      </c>
      <c r="F934" s="19" t="inlineStr">
        <is>
          <t>ลงคอมพ์แล้ว</t>
        </is>
      </c>
    </row>
    <row r="935">
      <c r="A935" s="157" t="n">
        <v>24334</v>
      </c>
      <c r="B935" s="19" t="inlineStr">
        <is>
          <t>ทาเลนท์อินเตอร์เทรด</t>
        </is>
      </c>
      <c r="C935" s="26" t="n">
        <v>719.04</v>
      </c>
      <c r="D935" s="20" t="inlineStr">
        <is>
          <t>IV2218115</t>
        </is>
      </c>
      <c r="E935" s="19" t="inlineStr">
        <is>
          <t>โอน 17/11/66</t>
        </is>
      </c>
      <c r="F935" s="19" t="inlineStr">
        <is>
          <t>ลงคอมพ์แล้ว</t>
        </is>
      </c>
    </row>
    <row r="937">
      <c r="B937" s="22" t="inlineStr">
        <is>
          <t>ต้นทุนอะไหล่</t>
        </is>
      </c>
    </row>
    <row r="938">
      <c r="A938" s="157" t="n">
        <v>24326</v>
      </c>
      <c r="B938" s="19" t="inlineStr">
        <is>
          <t>ค่ากิ๊บน๊อต / ร้าน 55 กิ๊บน๊อต</t>
        </is>
      </c>
      <c r="C938" s="26" t="n">
        <v>1600</v>
      </c>
      <c r="E938" s="19" t="inlineStr">
        <is>
          <t>โอน 7/8/66</t>
        </is>
      </c>
    </row>
    <row r="939">
      <c r="A939" s="157" t="n">
        <v>24331</v>
      </c>
      <c r="B939" s="19" t="inlineStr">
        <is>
          <t xml:space="preserve">กิ๊บน๊อต / ร้านต้นคิด   </t>
        </is>
      </c>
      <c r="C939" s="26" t="n">
        <v>1800</v>
      </c>
      <c r="F939" s="19" t="inlineStr">
        <is>
          <t>ลงคอมพ์แล้ว</t>
        </is>
      </c>
    </row>
    <row r="940">
      <c r="B940" s="19" t="inlineStr">
        <is>
          <t>ศรีสยาม Due 31/7 - 6/8/66</t>
        </is>
      </c>
      <c r="C940" s="26" t="n">
        <v>65828.02</v>
      </c>
      <c r="E940" s="19" t="inlineStr">
        <is>
          <t>โอน 7/9/66</t>
        </is>
      </c>
    </row>
    <row r="941">
      <c r="B941" s="19" t="inlineStr">
        <is>
          <t>ศรีสยาม Due 7 - 13/8/66</t>
        </is>
      </c>
      <c r="C941" s="26" t="n">
        <v>81948.08</v>
      </c>
      <c r="E941" s="19" t="inlineStr">
        <is>
          <t>โอน 18/9/66</t>
        </is>
      </c>
    </row>
    <row r="942">
      <c r="B942" s="19" t="inlineStr">
        <is>
          <t>ศรีสยาม Due 14 - 20/8/66</t>
        </is>
      </c>
      <c r="C942" s="26" t="n">
        <v>134023.92</v>
      </c>
      <c r="E942" s="19" t="inlineStr">
        <is>
          <t>โอน 25/9/66</t>
        </is>
      </c>
    </row>
    <row r="943">
      <c r="B943" s="19" t="inlineStr">
        <is>
          <t>ศรีสยาม Due 21 - 27/8/66</t>
        </is>
      </c>
      <c r="C943" s="26" t="n">
        <v>59825.77</v>
      </c>
      <c r="E943" s="19" t="inlineStr">
        <is>
          <t>โอน 29/9/66</t>
        </is>
      </c>
    </row>
    <row r="944">
      <c r="B944" s="19" t="inlineStr">
        <is>
          <t>ศรีสยาม Due 28/8 - 3/9/66</t>
        </is>
      </c>
      <c r="C944" s="26" t="n">
        <v>76298.28999999999</v>
      </c>
      <c r="E944" s="19" t="inlineStr">
        <is>
          <t>โอน 7/10/66</t>
        </is>
      </c>
    </row>
    <row r="945">
      <c r="B945" s="19" t="inlineStr">
        <is>
          <t>ร้านเจ๊แอน</t>
        </is>
      </c>
      <c r="C945" s="26" t="n">
        <v>27980</v>
      </c>
      <c r="E945" s="19" t="inlineStr">
        <is>
          <t>โอน 4/9/66</t>
        </is>
      </c>
    </row>
    <row r="946">
      <c r="B946" s="19" t="inlineStr">
        <is>
          <t>ร้านจิตต์ อะไหล่ Due 1 - 31/8/2566</t>
        </is>
      </c>
      <c r="C946" s="26" t="n">
        <v>223592.35</v>
      </c>
      <c r="E946" s="19" t="inlineStr">
        <is>
          <t>โอน 29/9/2566</t>
        </is>
      </c>
      <c r="G946" s="26" t="n"/>
    </row>
    <row r="947">
      <c r="B947" s="19" t="inlineStr">
        <is>
          <t>ร้านโสภา</t>
        </is>
      </c>
      <c r="C947" s="26" t="n">
        <v>4100</v>
      </c>
      <c r="E947" s="19" t="inlineStr">
        <is>
          <t>โอน 17/11/66</t>
        </is>
      </c>
    </row>
    <row r="950" customFormat="1" s="28">
      <c r="A950" s="102" t="inlineStr">
        <is>
          <t>รายการซื้อสินค้าเข้า ประจำเดือน 9/2566</t>
        </is>
      </c>
      <c r="B950" s="158" t="n"/>
      <c r="C950" s="158" t="n"/>
      <c r="D950" s="158" t="n"/>
      <c r="E950" s="158" t="n"/>
      <c r="F950" s="27" t="n"/>
      <c r="G950" s="27" t="n"/>
      <c r="H950" s="27" t="n"/>
      <c r="I950" s="27" t="n"/>
      <c r="J950" s="27" t="n"/>
    </row>
    <row r="951" customFormat="1" s="20">
      <c r="A951" s="159" t="inlineStr">
        <is>
          <t>ว/ด/ป</t>
        </is>
      </c>
      <c r="B951" s="21" t="inlineStr">
        <is>
          <t>ชื่อร้านค้า</t>
        </is>
      </c>
      <c r="C951" s="25" t="inlineStr">
        <is>
          <t>ยอดรวม</t>
        </is>
      </c>
      <c r="D951" s="21" t="inlineStr">
        <is>
          <t>เลขที่บิล</t>
        </is>
      </c>
      <c r="E951" s="21" t="inlineStr">
        <is>
          <t>หมายเหตุ</t>
        </is>
      </c>
    </row>
    <row r="952">
      <c r="B952" s="22" t="inlineStr">
        <is>
          <t>ต้นทุนสี</t>
        </is>
      </c>
    </row>
    <row r="953">
      <c r="A953" s="157" t="n">
        <v>24361</v>
      </c>
      <c r="B953" s="19" t="inlineStr">
        <is>
          <t>ไทยนครพัฒนา</t>
        </is>
      </c>
      <c r="C953" s="26" t="n">
        <v>36342.55</v>
      </c>
      <c r="D953" s="20" t="inlineStr">
        <is>
          <t>INV23090410</t>
        </is>
      </c>
      <c r="E953" s="19" t="inlineStr">
        <is>
          <t>โอน 17/11/66</t>
        </is>
      </c>
      <c r="F953" s="19" t="inlineStr">
        <is>
          <t>ลงคอมพ์แล้ว</t>
        </is>
      </c>
    </row>
    <row r="954">
      <c r="A954" s="157" t="n">
        <v>24371</v>
      </c>
      <c r="B954" s="19" t="inlineStr">
        <is>
          <t>ทาเลนท์อินเตอร์เทรด</t>
        </is>
      </c>
      <c r="C954" s="26" t="n">
        <v>7415.1</v>
      </c>
      <c r="D954" s="20" t="inlineStr">
        <is>
          <t>IV2220473</t>
        </is>
      </c>
      <c r="E954" s="19" t="inlineStr">
        <is>
          <t>โอน 6/1/67</t>
        </is>
      </c>
      <c r="F954" s="19" t="inlineStr">
        <is>
          <t>ลงคอมพ์แล้ว</t>
        </is>
      </c>
      <c r="H954" s="26" t="n"/>
    </row>
    <row r="955">
      <c r="A955" s="157" t="n">
        <v>24372</v>
      </c>
      <c r="B955" s="19" t="inlineStr">
        <is>
          <t>ทาเลนท์อินเตอร์เทรด</t>
        </is>
      </c>
      <c r="C955" s="26" t="n">
        <v>856</v>
      </c>
      <c r="D955" s="20" t="inlineStr">
        <is>
          <t>IV2220530</t>
        </is>
      </c>
      <c r="E955" s="19" t="inlineStr">
        <is>
          <t>โอน 6/1/67</t>
        </is>
      </c>
      <c r="F955" s="19" t="inlineStr">
        <is>
          <t>ลงคอมพ์แล้ว</t>
        </is>
      </c>
    </row>
    <row r="956">
      <c r="A956" s="157" t="n">
        <v>24372</v>
      </c>
      <c r="B956" s="19" t="inlineStr">
        <is>
          <t>ทาเลนท์อินเตอร์เทรด</t>
        </is>
      </c>
      <c r="C956" s="26" t="n">
        <v>5906.4</v>
      </c>
      <c r="D956" s="20" t="inlineStr">
        <is>
          <t>IV2220554</t>
        </is>
      </c>
      <c r="E956" s="19" t="inlineStr">
        <is>
          <t>โอน 6/1/67</t>
        </is>
      </c>
      <c r="F956" s="19" t="inlineStr">
        <is>
          <t>ลงคอมพ์แล้ว</t>
        </is>
      </c>
    </row>
    <row r="957">
      <c r="A957" s="157" t="n">
        <v>24372</v>
      </c>
      <c r="B957" s="19" t="inlineStr">
        <is>
          <t>ห้างหุ้นส่วนจำกัด พี.บี. เพ้นต์</t>
        </is>
      </c>
      <c r="C957" s="26" t="n">
        <v>51360</v>
      </c>
      <c r="D957" s="20" t="inlineStr">
        <is>
          <t>66/601</t>
        </is>
      </c>
      <c r="E957" s="19" t="inlineStr">
        <is>
          <t>โอน 13/12/66</t>
        </is>
      </c>
      <c r="F957" s="19" t="inlineStr">
        <is>
          <t>ลงคอมพ์แล้ว</t>
        </is>
      </c>
    </row>
    <row r="958">
      <c r="A958" s="157" t="n">
        <v>24358</v>
      </c>
      <c r="B958" s="19" t="inlineStr">
        <is>
          <t xml:space="preserve">บจก. วีที คัลเลอร์ โปร </t>
        </is>
      </c>
      <c r="C958" s="26" t="n">
        <v>4151.6</v>
      </c>
      <c r="D958" s="20" t="inlineStr">
        <is>
          <t>IV516-66</t>
        </is>
      </c>
      <c r="E958" s="19" t="inlineStr">
        <is>
          <t>โอน 2/12/66</t>
        </is>
      </c>
      <c r="F958" s="19" t="inlineStr">
        <is>
          <t>ลงคอมพ์แล้ว</t>
        </is>
      </c>
    </row>
    <row r="959">
      <c r="A959" s="157" t="n">
        <v>24359</v>
      </c>
      <c r="B959" s="19" t="inlineStr">
        <is>
          <t xml:space="preserve">บจก. วีที คัลเลอร์ โปร </t>
        </is>
      </c>
      <c r="C959" s="26" t="n">
        <v>33705</v>
      </c>
      <c r="D959" s="20" t="inlineStr">
        <is>
          <t>IV517-66</t>
        </is>
      </c>
      <c r="E959" s="19" t="inlineStr">
        <is>
          <t>โอน 2/12/66</t>
        </is>
      </c>
      <c r="F959" s="19" t="inlineStr">
        <is>
          <t>ลงคอมพ์แล้ว</t>
        </is>
      </c>
    </row>
    <row r="960">
      <c r="A960" s="157" t="n">
        <v>24372</v>
      </c>
      <c r="B960" s="19" t="inlineStr">
        <is>
          <t xml:space="preserve">บจก. วีที คัลเลอร์ โปร </t>
        </is>
      </c>
      <c r="C960" s="26" t="n">
        <v>77628.5</v>
      </c>
      <c r="D960" s="20" t="inlineStr">
        <is>
          <t>IV541-66</t>
        </is>
      </c>
      <c r="E960" s="19" t="inlineStr">
        <is>
          <t>โอน 2/12/66</t>
        </is>
      </c>
      <c r="F960" s="19" t="inlineStr">
        <is>
          <t>ลงคอมพ์แล้ว</t>
        </is>
      </c>
    </row>
    <row r="961">
      <c r="A961" s="157" t="n">
        <v>24372</v>
      </c>
      <c r="B961" s="19" t="inlineStr">
        <is>
          <t xml:space="preserve">บจก. วีที คัลเลอร์ โปร </t>
        </is>
      </c>
      <c r="C961" s="26" t="n">
        <v>116116.4</v>
      </c>
      <c r="D961" s="20" t="inlineStr">
        <is>
          <t>IV542-66</t>
        </is>
      </c>
      <c r="E961" s="19" t="inlineStr">
        <is>
          <t>โอน 2/12/66</t>
        </is>
      </c>
      <c r="F961" s="19" t="inlineStr">
        <is>
          <t>ลงคอมพ์แล้ว</t>
        </is>
      </c>
    </row>
    <row r="963">
      <c r="B963" s="22" t="inlineStr">
        <is>
          <t>ต้นทุนอะไหล่</t>
        </is>
      </c>
    </row>
    <row r="964">
      <c r="B964" s="19" t="inlineStr">
        <is>
          <t>ศรีสยาม Due 4 - 10/9/66</t>
        </is>
      </c>
      <c r="C964" s="26" t="n">
        <v>112802.91</v>
      </c>
      <c r="E964" s="19" t="inlineStr">
        <is>
          <t>โอน 14/10/66</t>
        </is>
      </c>
    </row>
    <row r="965">
      <c r="B965" s="19" t="inlineStr">
        <is>
          <t>ศรีสยาม Due 11 - 17/9/66</t>
        </is>
      </c>
      <c r="C965" s="26" t="n">
        <v>57054</v>
      </c>
      <c r="E965" s="19" t="inlineStr">
        <is>
          <t>โอน 19/10/66</t>
        </is>
      </c>
    </row>
    <row r="966">
      <c r="B966" s="19" t="inlineStr">
        <is>
          <t>ศรีสยาม Due 18 - 24/9/66</t>
        </is>
      </c>
      <c r="C966" s="26" t="n">
        <v>45246.48</v>
      </c>
      <c r="E966" s="19" t="inlineStr">
        <is>
          <t>โอน 26/10/66</t>
        </is>
      </c>
    </row>
    <row r="967">
      <c r="B967" s="19" t="inlineStr">
        <is>
          <t>ศรีสยาม Due 25/9 - 1/10/66</t>
        </is>
      </c>
      <c r="C967" s="26" t="n">
        <v>74669.73</v>
      </c>
      <c r="E967" s="19" t="inlineStr">
        <is>
          <t>โอน 2/11/66</t>
        </is>
      </c>
    </row>
    <row r="968">
      <c r="B968" s="19" t="inlineStr">
        <is>
          <t>ร้านเจ๊แอน</t>
        </is>
      </c>
      <c r="C968" s="26" t="n">
        <v>50650</v>
      </c>
      <c r="E968" s="19" t="inlineStr">
        <is>
          <t>โอน 3/10/66</t>
        </is>
      </c>
    </row>
    <row r="969">
      <c r="B969" s="19" t="inlineStr">
        <is>
          <t>ร้านจิตต์ อะไหล่ Due 1 - 30/9/2566</t>
        </is>
      </c>
      <c r="C969" s="26" t="n">
        <v>174670.69</v>
      </c>
      <c r="E969" s="19" t="inlineStr">
        <is>
          <t>โอน 31/10/66</t>
        </is>
      </c>
    </row>
    <row r="970">
      <c r="B970" s="19" t="inlineStr">
        <is>
          <t>ร้านโสภา</t>
        </is>
      </c>
      <c r="C970" s="26" t="n">
        <v>12400</v>
      </c>
      <c r="E970" s="19" t="inlineStr">
        <is>
          <t>โอน 17/11/66</t>
        </is>
      </c>
    </row>
    <row r="973" customFormat="1" s="28">
      <c r="A973" s="102" t="inlineStr">
        <is>
          <t>รายการซื้อสินค้าเข้า ประจำเดือน 10/2566</t>
        </is>
      </c>
      <c r="B973" s="158" t="n"/>
      <c r="C973" s="158" t="n"/>
      <c r="D973" s="158" t="n"/>
      <c r="E973" s="158" t="n"/>
      <c r="F973" s="27" t="n"/>
      <c r="G973" s="27" t="n"/>
      <c r="H973" s="27" t="n"/>
      <c r="I973" s="27" t="n"/>
      <c r="J973" s="27" t="n"/>
    </row>
    <row r="974" customFormat="1" s="20">
      <c r="A974" s="159" t="inlineStr">
        <is>
          <t>ว/ด/ป</t>
        </is>
      </c>
      <c r="B974" s="21" t="inlineStr">
        <is>
          <t>ชื่อร้านค้า</t>
        </is>
      </c>
      <c r="C974" s="25" t="inlineStr">
        <is>
          <t>ยอดรวม</t>
        </is>
      </c>
      <c r="D974" s="21" t="inlineStr">
        <is>
          <t>เลขที่บิล</t>
        </is>
      </c>
      <c r="E974" s="21" t="inlineStr">
        <is>
          <t>หมายเหตุ</t>
        </is>
      </c>
    </row>
    <row r="975">
      <c r="B975" s="22" t="inlineStr">
        <is>
          <t>ต้นทุนสี</t>
        </is>
      </c>
    </row>
    <row r="976">
      <c r="A976" s="157" t="n">
        <v>24404</v>
      </c>
      <c r="B976" s="19" t="inlineStr">
        <is>
          <t>ห้างหุ้นส่วนจำกัด พี.บี. เพ้นต์</t>
        </is>
      </c>
      <c r="C976" s="26" t="n">
        <v>51360</v>
      </c>
      <c r="D976" s="20" t="inlineStr">
        <is>
          <t>66/667</t>
        </is>
      </c>
      <c r="E976" s="19" t="inlineStr">
        <is>
          <t>โอน 27/12/66</t>
        </is>
      </c>
      <c r="F976" s="19" t="inlineStr">
        <is>
          <t>ลงคอมพ์แล้ว</t>
        </is>
      </c>
    </row>
    <row r="977">
      <c r="A977" s="157" t="n">
        <v>24385</v>
      </c>
      <c r="B977" s="19" t="inlineStr">
        <is>
          <t xml:space="preserve">ออโต้เทรด มาร์เก็ตติ้ง </t>
        </is>
      </c>
      <c r="C977" s="26" t="n">
        <v>19752.2</v>
      </c>
      <c r="D977" s="20" t="inlineStr">
        <is>
          <t>IV1438645</t>
        </is>
      </c>
      <c r="E977" s="19" t="inlineStr">
        <is>
          <t>โอน 3/11/66</t>
        </is>
      </c>
      <c r="F977" s="19" t="inlineStr">
        <is>
          <t>ลงคอมพ์แล้ว</t>
        </is>
      </c>
    </row>
    <row r="978">
      <c r="A978" s="157" t="n">
        <v>24386</v>
      </c>
      <c r="B978" s="19" t="inlineStr">
        <is>
          <t>บจก. วีที คัลเลอร์ โปร</t>
        </is>
      </c>
      <c r="C978" s="26" t="n">
        <v>1540.8</v>
      </c>
      <c r="D978" s="20" t="inlineStr">
        <is>
          <t>IV575-66</t>
        </is>
      </c>
      <c r="E978" s="19" t="inlineStr">
        <is>
          <t>โอน 27/12/66</t>
        </is>
      </c>
      <c r="F978" s="19" t="inlineStr">
        <is>
          <t>ลงคอมพ์แล้ว</t>
        </is>
      </c>
    </row>
    <row r="979">
      <c r="A979" s="157" t="n">
        <v>24396</v>
      </c>
      <c r="B979" s="19" t="inlineStr">
        <is>
          <t>บจก. วีที คัลเลอร์ โปร</t>
        </is>
      </c>
      <c r="C979" s="26" t="n">
        <v>26482.5</v>
      </c>
      <c r="D979" s="20" t="inlineStr">
        <is>
          <t>IV591-66</t>
        </is>
      </c>
      <c r="E979" s="19" t="inlineStr">
        <is>
          <t>โอน 27/12/66</t>
        </is>
      </c>
      <c r="F979" s="19" t="inlineStr">
        <is>
          <t>ลงคอมพ์แล้ว</t>
        </is>
      </c>
    </row>
    <row r="980">
      <c r="A980" s="157" t="n">
        <v>24398</v>
      </c>
      <c r="B980" s="19" t="inlineStr">
        <is>
          <t xml:space="preserve">บจก. วีที คัลเลอร์ โปร (ขนแกะ) </t>
        </is>
      </c>
      <c r="C980" s="26" t="n">
        <v>1680</v>
      </c>
      <c r="E980" s="19" t="inlineStr">
        <is>
          <t>โอน 19/10/66 (จ่ายสด)</t>
        </is>
      </c>
      <c r="F980" s="19" t="inlineStr">
        <is>
          <t>ลงคอมพ์แล้ว</t>
        </is>
      </c>
    </row>
    <row r="981">
      <c r="A981" s="157" t="n">
        <v>24401</v>
      </c>
      <c r="B981" s="19" t="inlineStr">
        <is>
          <t>บจก. วีที คัลเลอร์ โปร</t>
        </is>
      </c>
      <c r="C981" s="26" t="n">
        <v>96460.5</v>
      </c>
      <c r="D981" s="20" t="inlineStr">
        <is>
          <t>IV685-66</t>
        </is>
      </c>
      <c r="E981" s="19" t="inlineStr">
        <is>
          <t>โอน 27/12/66</t>
        </is>
      </c>
      <c r="F981" s="19" t="inlineStr">
        <is>
          <t>ลงคอมพ์แล้ว</t>
        </is>
      </c>
    </row>
    <row r="982">
      <c r="A982" s="157" t="n">
        <v>24401</v>
      </c>
      <c r="B982" s="19" t="inlineStr">
        <is>
          <t>บจก. วีที คัลเลอร์ โปร</t>
        </is>
      </c>
      <c r="C982" s="26" t="n">
        <v>119433.4</v>
      </c>
      <c r="D982" s="20" t="inlineStr">
        <is>
          <t>IV685-66</t>
        </is>
      </c>
      <c r="E982" s="19" t="inlineStr">
        <is>
          <t>โอน 27/12/66</t>
        </is>
      </c>
      <c r="F982" s="19" t="inlineStr">
        <is>
          <t>ลงคอมพ์แล้ว</t>
        </is>
      </c>
    </row>
    <row r="983">
      <c r="A983" s="157" t="n">
        <v>24404</v>
      </c>
      <c r="B983" s="19" t="inlineStr">
        <is>
          <t>บจก. วีที คัลเลอร์ โปร</t>
        </is>
      </c>
      <c r="C983" s="26" t="n">
        <v>62702</v>
      </c>
      <c r="D983" s="20" t="inlineStr">
        <is>
          <t>IV619-66</t>
        </is>
      </c>
      <c r="E983" s="19" t="inlineStr">
        <is>
          <t>โอน 27/12/66</t>
        </is>
      </c>
      <c r="F983" s="19" t="inlineStr">
        <is>
          <t>ลงคอมพ์แล้ว</t>
        </is>
      </c>
    </row>
    <row r="984">
      <c r="A984" s="157" t="n">
        <v>24404</v>
      </c>
      <c r="B984" s="19" t="inlineStr">
        <is>
          <t>บจก. วีที คัลเลอร์ โปร</t>
        </is>
      </c>
      <c r="C984" s="26" t="n">
        <v>105758.8</v>
      </c>
      <c r="D984" s="20" t="inlineStr">
        <is>
          <t>IV620-66</t>
        </is>
      </c>
      <c r="E984" s="19" t="inlineStr">
        <is>
          <t>โอน 27/12/66</t>
        </is>
      </c>
      <c r="F984" s="19" t="inlineStr">
        <is>
          <t>ลงคอมพ์แล้ว</t>
        </is>
      </c>
    </row>
    <row r="985">
      <c r="A985" s="157" t="n">
        <v>24398</v>
      </c>
      <c r="B985" s="19" t="inlineStr">
        <is>
          <t>ไทยนครพัฒนา</t>
        </is>
      </c>
      <c r="C985" s="26" t="n">
        <v>13926.05</v>
      </c>
      <c r="D985" s="20" t="inlineStr">
        <is>
          <t>INV23100640</t>
        </is>
      </c>
      <c r="E985" s="19" t="inlineStr">
        <is>
          <t>โอน 27/12/66</t>
        </is>
      </c>
      <c r="F985" s="19" t="inlineStr">
        <is>
          <t>ลงคอมพ์แล้ว</t>
        </is>
      </c>
    </row>
    <row r="986">
      <c r="A986" s="157" t="n">
        <v>24390</v>
      </c>
      <c r="B986" s="19" t="inlineStr">
        <is>
          <t>ทาเลนท์อินเตอร์เทรด</t>
        </is>
      </c>
      <c r="C986" s="26" t="n">
        <v>8166.24</v>
      </c>
      <c r="D986" s="20" t="inlineStr">
        <is>
          <t>IV2221763</t>
        </is>
      </c>
      <c r="E986" s="19" t="inlineStr">
        <is>
          <t>โอน 24/1/67</t>
        </is>
      </c>
      <c r="F986" s="19" t="inlineStr">
        <is>
          <t>ลงคอมพ์แล้ว</t>
        </is>
      </c>
      <c r="H986" s="26" t="n"/>
    </row>
    <row r="987">
      <c r="A987" s="157" t="n">
        <v>24392</v>
      </c>
      <c r="B987" s="19" t="inlineStr">
        <is>
          <t>ทาเลนท์อินเตอร์เทรด</t>
        </is>
      </c>
      <c r="C987" s="26" t="n">
        <v>442.98</v>
      </c>
      <c r="D987" s="20" t="inlineStr">
        <is>
          <t>IV2221901</t>
        </is>
      </c>
      <c r="E987" s="19" t="inlineStr">
        <is>
          <t>โอน 24/1/67</t>
        </is>
      </c>
      <c r="F987" s="19" t="inlineStr">
        <is>
          <t>ลงคอมพ์แล้ว</t>
        </is>
      </c>
    </row>
    <row r="988">
      <c r="A988" s="157" t="n">
        <v>24396</v>
      </c>
      <c r="B988" s="19" t="inlineStr">
        <is>
          <t>ทาเลนท์อินเตอร์เทรด</t>
        </is>
      </c>
      <c r="C988" s="26" t="n">
        <v>2535.9</v>
      </c>
      <c r="D988" s="20" t="inlineStr">
        <is>
          <t>IV2222022</t>
        </is>
      </c>
      <c r="E988" s="19" t="inlineStr">
        <is>
          <t>โอน 24/1/67</t>
        </is>
      </c>
      <c r="F988" s="19" t="inlineStr">
        <is>
          <t>ลงคอมพ์แล้ว</t>
        </is>
      </c>
    </row>
    <row r="989">
      <c r="A989" s="157" t="n">
        <v>24397</v>
      </c>
      <c r="B989" s="19" t="inlineStr">
        <is>
          <t>ทาเลนท์อินเตอร์เทรด</t>
        </is>
      </c>
      <c r="C989" s="26" t="n">
        <v>347.75</v>
      </c>
      <c r="D989" s="20" t="inlineStr">
        <is>
          <t>IV2222057</t>
        </is>
      </c>
      <c r="E989" s="19" t="inlineStr">
        <is>
          <t>โอน 24/1/67</t>
        </is>
      </c>
      <c r="F989" s="19" t="inlineStr">
        <is>
          <t>ลงคอมพ์แล้ว</t>
        </is>
      </c>
    </row>
    <row r="990">
      <c r="A990" s="157" t="n">
        <v>24404</v>
      </c>
      <c r="B990" s="19" t="inlineStr">
        <is>
          <t>ทาเลนท์อินเตอร์เทรด</t>
        </is>
      </c>
      <c r="C990" s="26" t="n">
        <v>1016.5</v>
      </c>
      <c r="D990" s="20" t="inlineStr">
        <is>
          <t>IV2222487</t>
        </is>
      </c>
      <c r="E990" s="19" t="inlineStr">
        <is>
          <t>โอน 24/1/67</t>
        </is>
      </c>
      <c r="F990" s="19" t="inlineStr">
        <is>
          <t>ลงคอมพ์แล้ว</t>
        </is>
      </c>
    </row>
    <row r="991">
      <c r="A991" s="157" t="n">
        <v>24406</v>
      </c>
      <c r="B991" s="19" t="inlineStr">
        <is>
          <t>ทาเลนท์อินเตอร์เทรด</t>
        </is>
      </c>
      <c r="C991" s="26" t="n">
        <v>3691.5</v>
      </c>
      <c r="D991" s="20" t="inlineStr">
        <is>
          <t>IV2222638</t>
        </is>
      </c>
      <c r="E991" s="19" t="inlineStr">
        <is>
          <t>โอน 24/1/67</t>
        </is>
      </c>
      <c r="F991" s="19" t="inlineStr">
        <is>
          <t>ลงคอมพ์แล้ว</t>
        </is>
      </c>
    </row>
    <row r="993">
      <c r="B993" s="22" t="inlineStr">
        <is>
          <t>ต้นทุนอะไหล่</t>
        </is>
      </c>
    </row>
    <row r="994">
      <c r="B994" s="19" t="inlineStr">
        <is>
          <t>ศรีสยาม Due 2 - 8/10/66</t>
        </is>
      </c>
      <c r="C994" s="26" t="n">
        <v>46638.77</v>
      </c>
      <c r="E994" s="19" t="inlineStr">
        <is>
          <t>โอน 11/11/66</t>
        </is>
      </c>
      <c r="G994" s="26" t="n"/>
    </row>
    <row r="995">
      <c r="B995" s="19" t="inlineStr">
        <is>
          <t>ศรีสยาม Due 9 - 15/10/66</t>
        </is>
      </c>
      <c r="C995" s="26" t="n">
        <v>80521.83</v>
      </c>
      <c r="E995" s="19" t="inlineStr">
        <is>
          <t>โอน 17/11/66</t>
        </is>
      </c>
    </row>
    <row r="996">
      <c r="B996" s="19" t="inlineStr">
        <is>
          <t>ศรีสยาม Due 16 - 22/10/66</t>
        </is>
      </c>
      <c r="C996" s="26" t="n">
        <v>84962.92</v>
      </c>
      <c r="E996" s="19" t="inlineStr">
        <is>
          <t>โอน 23/11/66</t>
        </is>
      </c>
    </row>
    <row r="997">
      <c r="B997" s="19" t="inlineStr">
        <is>
          <t>ศรีสยาม Due 23 - 29/10/66</t>
        </is>
      </c>
      <c r="C997" s="26" t="n">
        <v>55152.58</v>
      </c>
      <c r="E997" s="19" t="inlineStr">
        <is>
          <t>โอน 1/12/66</t>
        </is>
      </c>
    </row>
    <row r="998">
      <c r="B998" s="19" t="inlineStr">
        <is>
          <t>ร้านเจ๊แอน</t>
        </is>
      </c>
      <c r="C998" s="26" t="n">
        <v>63070</v>
      </c>
      <c r="E998" s="19" t="inlineStr">
        <is>
          <t>โอน 2/11/66</t>
        </is>
      </c>
    </row>
    <row r="999">
      <c r="B999" s="19" t="inlineStr">
        <is>
          <t>ร้านจิตต์ อะไหล่ Due 1 - 31/10/2566</t>
        </is>
      </c>
      <c r="C999" s="26" t="n">
        <v>211847.96</v>
      </c>
      <c r="E999" s="19" t="inlineStr">
        <is>
          <t>โอน 1/12/66</t>
        </is>
      </c>
    </row>
    <row r="1000">
      <c r="B1000" s="19" t="inlineStr">
        <is>
          <t>ร้านโสภา</t>
        </is>
      </c>
      <c r="C1000" s="26" t="n">
        <v>4150</v>
      </c>
      <c r="E1000" s="19" t="inlineStr">
        <is>
          <t>โอน 17/11/66</t>
        </is>
      </c>
    </row>
    <row r="1002" customFormat="1" s="28">
      <c r="A1002" s="102" t="inlineStr">
        <is>
          <t>รายการซื้อสินค้าเข้า ประจำเดือน 11/2566</t>
        </is>
      </c>
      <c r="B1002" s="158" t="n"/>
      <c r="C1002" s="158" t="n"/>
      <c r="D1002" s="158" t="n"/>
      <c r="E1002" s="158" t="n"/>
      <c r="F1002" s="27" t="n"/>
      <c r="G1002" s="27" t="n"/>
      <c r="H1002" s="27" t="n"/>
      <c r="I1002" s="27" t="n"/>
      <c r="J1002" s="27" t="n"/>
    </row>
    <row r="1003" customFormat="1" s="20">
      <c r="A1003" s="159" t="inlineStr">
        <is>
          <t>ว/ด/ป</t>
        </is>
      </c>
      <c r="B1003" s="21" t="inlineStr">
        <is>
          <t>ชื่อร้านค้า</t>
        </is>
      </c>
      <c r="C1003" s="25" t="inlineStr">
        <is>
          <t>ยอดรวม</t>
        </is>
      </c>
      <c r="D1003" s="21" t="inlineStr">
        <is>
          <t>เลขที่บิล</t>
        </is>
      </c>
      <c r="E1003" s="21" t="inlineStr">
        <is>
          <t>หมายเหตุ</t>
        </is>
      </c>
    </row>
    <row r="1004">
      <c r="B1004" s="22" t="inlineStr">
        <is>
          <t>ต้นทุนสี</t>
        </is>
      </c>
    </row>
    <row r="1005">
      <c r="A1005" s="157" t="n">
        <v>24412</v>
      </c>
      <c r="B1005" s="19" t="inlineStr">
        <is>
          <t>ทาเลนท์อินเตอร์เทรด</t>
        </is>
      </c>
      <c r="C1005" s="26" t="n">
        <v>1786.9</v>
      </c>
      <c r="D1005" s="20" t="inlineStr">
        <is>
          <t>IV2222917</t>
        </is>
      </c>
      <c r="E1005" s="19" t="inlineStr">
        <is>
          <t>โอน 25/2/67</t>
        </is>
      </c>
      <c r="F1005" s="19" t="inlineStr">
        <is>
          <t>ลงคอมพ์แล้ว</t>
        </is>
      </c>
    </row>
    <row r="1006">
      <c r="A1006" s="157" t="n">
        <v>24421</v>
      </c>
      <c r="B1006" s="19" t="inlineStr">
        <is>
          <t>ทาเลนท์อินเตอร์เทรด</t>
        </is>
      </c>
      <c r="C1006" s="26" t="n">
        <v>11000</v>
      </c>
      <c r="D1006" s="20" t="inlineStr">
        <is>
          <t>IV2223646</t>
        </is>
      </c>
      <c r="E1006" s="19" t="inlineStr">
        <is>
          <t>โอน 25/2/67</t>
        </is>
      </c>
      <c r="F1006" s="19" t="inlineStr">
        <is>
          <t>ลงคอมพ์แล้ว</t>
        </is>
      </c>
    </row>
    <row r="1007">
      <c r="A1007" s="157" t="n">
        <v>24424</v>
      </c>
      <c r="B1007" s="19" t="inlineStr">
        <is>
          <t>ทาเลนท์อินเตอร์เทรด</t>
        </is>
      </c>
      <c r="C1007" s="26" t="n">
        <v>616.3200000000001</v>
      </c>
      <c r="D1007" s="20" t="inlineStr">
        <is>
          <t>IV2223758</t>
        </is>
      </c>
      <c r="E1007" s="19" t="inlineStr">
        <is>
          <t>โอน 25/2/67</t>
        </is>
      </c>
      <c r="F1007" s="19" t="inlineStr">
        <is>
          <t>ลงคอมพ์แล้ว</t>
        </is>
      </c>
    </row>
    <row r="1008">
      <c r="A1008" s="157" t="n">
        <v>24422</v>
      </c>
      <c r="B1008" s="19" t="inlineStr">
        <is>
          <t>ไทยนครพัฒนา</t>
        </is>
      </c>
      <c r="C1008" s="26" t="n">
        <v>22657.25</v>
      </c>
      <c r="D1008" s="20" t="inlineStr">
        <is>
          <t>INV23110457</t>
        </is>
      </c>
      <c r="E1008" s="19" t="inlineStr">
        <is>
          <t>โอน 10/1/67</t>
        </is>
      </c>
      <c r="F1008" s="19" t="inlineStr">
        <is>
          <t>ลงคอมพ์แล้ว</t>
        </is>
      </c>
    </row>
    <row r="1009">
      <c r="A1009" s="157" t="n">
        <v>24401</v>
      </c>
      <c r="B1009" s="19" t="inlineStr">
        <is>
          <t>บจก. วีที คัลเลอร์ โปร</t>
        </is>
      </c>
      <c r="C1009" s="26" t="n">
        <v>96460.5</v>
      </c>
      <c r="D1009" s="20" t="inlineStr">
        <is>
          <t>IV684-66</t>
        </is>
      </c>
      <c r="E1009" s="19" t="inlineStr">
        <is>
          <t>โอน 5/2/67</t>
        </is>
      </c>
      <c r="F1009" s="19" t="inlineStr">
        <is>
          <t>ลงคอมพ์แล้ว</t>
        </is>
      </c>
    </row>
    <row r="1010">
      <c r="A1010" s="157" t="n">
        <v>24401</v>
      </c>
      <c r="B1010" s="19" t="inlineStr">
        <is>
          <t>บจก. วีที คัลเลอร์ โปร</t>
        </is>
      </c>
      <c r="C1010" s="26" t="n">
        <v>119433.4</v>
      </c>
      <c r="D1010" s="20" t="inlineStr">
        <is>
          <t>IV685-66</t>
        </is>
      </c>
      <c r="E1010" s="19" t="inlineStr">
        <is>
          <t>โอน 5/2/67</t>
        </is>
      </c>
      <c r="F1010" s="19" t="inlineStr">
        <is>
          <t>ลงคอมพ์แล้ว</t>
        </is>
      </c>
    </row>
    <row r="1011">
      <c r="A1011" s="157" t="n">
        <v>24407</v>
      </c>
      <c r="B1011" s="19" t="inlineStr">
        <is>
          <t>บจก. วีที คัลเลอร์ โปร</t>
        </is>
      </c>
      <c r="C1011" s="26" t="n">
        <v>4494</v>
      </c>
      <c r="D1011" s="20" t="inlineStr">
        <is>
          <t>IV695-66</t>
        </is>
      </c>
      <c r="E1011" s="19" t="inlineStr">
        <is>
          <t>โอน 5/2/67</t>
        </is>
      </c>
      <c r="F1011" s="19" t="inlineStr">
        <is>
          <t>ลงคอมพ์แล้ว</t>
        </is>
      </c>
    </row>
    <row r="1012">
      <c r="A1012" s="157" t="n">
        <v>24434</v>
      </c>
      <c r="B1012" s="19" t="inlineStr">
        <is>
          <t>ห้างหุ้นส่วนจำกัด พี.บี. เพ้นต์</t>
        </is>
      </c>
      <c r="C1012" s="26" t="n">
        <v>51360</v>
      </c>
      <c r="D1012" s="20" t="inlineStr">
        <is>
          <t>66/746</t>
        </is>
      </c>
      <c r="E1012" s="19" t="inlineStr">
        <is>
          <t>โอน 5/2/67</t>
        </is>
      </c>
      <c r="F1012" s="19" t="inlineStr">
        <is>
          <t>ลงคอมพ์แล้ว</t>
        </is>
      </c>
    </row>
    <row r="1013">
      <c r="A1013" s="157" t="n">
        <v>24429</v>
      </c>
      <c r="B1013" s="19" t="inlineStr">
        <is>
          <t xml:space="preserve">ออโต้เทรด มาร์เก็ตติ้ง </t>
        </is>
      </c>
      <c r="C1013" s="26" t="n">
        <v>8295.709999999999</v>
      </c>
      <c r="D1013" s="20" t="inlineStr">
        <is>
          <t>IV1440657</t>
        </is>
      </c>
      <c r="E1013" s="19" t="inlineStr">
        <is>
          <t>โอน 27/1/67</t>
        </is>
      </c>
      <c r="F1013" s="19" t="inlineStr">
        <is>
          <t>ลงคอมพ์แล้ว</t>
        </is>
      </c>
    </row>
    <row r="1014">
      <c r="A1014" s="157" t="n">
        <v>24433</v>
      </c>
      <c r="B1014" s="19" t="inlineStr">
        <is>
          <t xml:space="preserve">ออโต้เทรด มาร์เก็ตติ้ง </t>
        </is>
      </c>
      <c r="C1014" s="26" t="n">
        <v>12685.92</v>
      </c>
      <c r="D1014" s="20" t="inlineStr">
        <is>
          <t>IV1440827</t>
        </is>
      </c>
      <c r="E1014" s="19" t="inlineStr">
        <is>
          <t>โอน 27/1/67</t>
        </is>
      </c>
      <c r="F1014" s="19" t="inlineStr">
        <is>
          <t>ลงคอมพ์แล้ว</t>
        </is>
      </c>
    </row>
    <row r="1015">
      <c r="A1015" s="157" t="n">
        <v>24439</v>
      </c>
      <c r="B1015" s="19" t="inlineStr">
        <is>
          <t xml:space="preserve">ออโต้เทรด มาร์เก็ตติ้ง </t>
        </is>
      </c>
      <c r="C1015" s="26" t="n">
        <v>13910</v>
      </c>
      <c r="D1015" s="20" t="inlineStr">
        <is>
          <t>IV1441081</t>
        </is>
      </c>
      <c r="E1015" s="19" t="inlineStr">
        <is>
          <t>โอน 27/1/67</t>
        </is>
      </c>
      <c r="F1015" s="19" t="inlineStr">
        <is>
          <t>ลงคอมพ์แล้ว</t>
        </is>
      </c>
    </row>
    <row r="1017">
      <c r="B1017" s="22" t="inlineStr">
        <is>
          <t>ต้นทุนอะไหล่</t>
        </is>
      </c>
    </row>
    <row r="1018">
      <c r="B1018" s="19" t="inlineStr">
        <is>
          <t>ศรีสยาม Due 30/10 - 5/11/66</t>
        </is>
      </c>
      <c r="C1018" s="26" t="n">
        <v>60373.66</v>
      </c>
      <c r="E1018" s="19" t="inlineStr">
        <is>
          <t>โอน 7/12/66</t>
        </is>
      </c>
    </row>
    <row r="1019">
      <c r="B1019" s="19" t="inlineStr">
        <is>
          <t>ศรีสยาม Due 6 - 12/11/66</t>
        </is>
      </c>
      <c r="C1019" s="26" t="n">
        <v>68030.48</v>
      </c>
      <c r="E1019" s="19" t="inlineStr">
        <is>
          <t>โอน 13/12/66</t>
        </is>
      </c>
    </row>
    <row r="1020">
      <c r="B1020" s="19" t="inlineStr">
        <is>
          <t>ศรีสยาม Due 13 - 19/11/66</t>
        </is>
      </c>
      <c r="C1020" s="26" t="n">
        <v>38804.87</v>
      </c>
      <c r="E1020" s="19" t="inlineStr">
        <is>
          <t>โอน 21/12/66</t>
        </is>
      </c>
    </row>
    <row r="1021">
      <c r="B1021" s="19" t="inlineStr">
        <is>
          <t>ศรีสยาม Due 20 - 26/11/66</t>
        </is>
      </c>
      <c r="C1021" s="26" t="n">
        <v>71687.11</v>
      </c>
      <c r="E1021" s="19" t="inlineStr">
        <is>
          <t>โอน 27/12/66</t>
        </is>
      </c>
      <c r="G1021" s="26" t="n"/>
    </row>
    <row r="1022">
      <c r="B1022" s="19" t="inlineStr">
        <is>
          <t>ศรีสยาม Due 27/11 - 3/12/66</t>
        </is>
      </c>
      <c r="C1022" s="26" t="n">
        <v>37994.48</v>
      </c>
      <c r="E1022" s="19" t="inlineStr">
        <is>
          <t>โอน 4/1/67</t>
        </is>
      </c>
    </row>
    <row r="1023">
      <c r="A1023" s="157" t="n">
        <v>24434</v>
      </c>
      <c r="B1023" s="19" t="inlineStr">
        <is>
          <t xml:space="preserve">กิ๊บน๊อต / ร้านต้นคิด   </t>
        </is>
      </c>
      <c r="C1023" s="26" t="n">
        <v>2700</v>
      </c>
      <c r="E1023" s="19" t="inlineStr">
        <is>
          <t>โอน 2/3/67</t>
        </is>
      </c>
    </row>
    <row r="1024">
      <c r="A1024" s="157" t="n">
        <v>24438</v>
      </c>
      <c r="B1024" s="19" t="inlineStr">
        <is>
          <t>ค่ากิ๊บน๊อต / ร้าน 55 กิ๊บน๊อต</t>
        </is>
      </c>
      <c r="C1024" s="26" t="n">
        <v>2400</v>
      </c>
      <c r="E1024" s="19" t="inlineStr">
        <is>
          <t>โอน 27/11/66</t>
        </is>
      </c>
    </row>
    <row r="1025">
      <c r="A1025" s="157" t="n">
        <v>24438</v>
      </c>
      <c r="B1025" s="19" t="inlineStr">
        <is>
          <t>น้ำยาลงเบาะ-ลงล้อ</t>
        </is>
      </c>
      <c r="C1025" s="26" t="n">
        <v>2120</v>
      </c>
      <c r="E1025" s="19" t="inlineStr">
        <is>
          <t>โอน 27/11/66</t>
        </is>
      </c>
    </row>
    <row r="1026">
      <c r="B1026" s="19" t="inlineStr">
        <is>
          <t>ร้านเจ๊แอน</t>
        </is>
      </c>
      <c r="C1026" s="26" t="n">
        <v>37980</v>
      </c>
      <c r="E1026" s="19" t="inlineStr">
        <is>
          <t>โอน 2/12/66</t>
        </is>
      </c>
    </row>
    <row r="1027">
      <c r="B1027" s="19" t="inlineStr">
        <is>
          <t>ร้านจิตต์ อะไหล่ Due 1/11 - 6/12/2566</t>
        </is>
      </c>
      <c r="C1027" s="26" t="n">
        <v>226758.78</v>
      </c>
      <c r="E1027" s="19" t="inlineStr">
        <is>
          <t>โอน 4/1/67</t>
        </is>
      </c>
    </row>
    <row r="1028">
      <c r="B1028" s="19" t="inlineStr">
        <is>
          <t>ร้านโสภา</t>
        </is>
      </c>
      <c r="C1028" s="26" t="n">
        <v>6900</v>
      </c>
      <c r="E1028" s="19" t="inlineStr">
        <is>
          <t>โอน 8/6/67</t>
        </is>
      </c>
    </row>
    <row r="1030" customFormat="1" s="28">
      <c r="A1030" s="102" t="inlineStr">
        <is>
          <t>รายการซื้อสินค้าเข้า ประจำเดือน 12/2566</t>
        </is>
      </c>
      <c r="B1030" s="158" t="n"/>
      <c r="C1030" s="158" t="n"/>
      <c r="D1030" s="158" t="n"/>
      <c r="E1030" s="158" t="n"/>
      <c r="F1030" s="27" t="n"/>
      <c r="G1030" s="27" t="n"/>
      <c r="H1030" s="27" t="n"/>
      <c r="I1030" s="27" t="n"/>
      <c r="J1030" s="27" t="n"/>
    </row>
    <row r="1031" customFormat="1" s="20">
      <c r="A1031" s="159" t="inlineStr">
        <is>
          <t>ว/ด/ป</t>
        </is>
      </c>
      <c r="B1031" s="21" t="inlineStr">
        <is>
          <t>ชื่อร้านค้า</t>
        </is>
      </c>
      <c r="C1031" s="25" t="inlineStr">
        <is>
          <t>ยอดรวม</t>
        </is>
      </c>
      <c r="D1031" s="21" t="inlineStr">
        <is>
          <t>เลขที่บิล</t>
        </is>
      </c>
      <c r="E1031" s="21" t="inlineStr">
        <is>
          <t>หมายเหตุ</t>
        </is>
      </c>
    </row>
    <row r="1032">
      <c r="B1032" s="22" t="inlineStr">
        <is>
          <t>ต้นทุนสี</t>
        </is>
      </c>
    </row>
    <row r="1033">
      <c r="B1033" s="19" t="inlineStr">
        <is>
          <t>บจก. ฟอร์เวิร์ด อินคอร์ปอร์เรชั่น (ประเทศไทย)</t>
        </is>
      </c>
      <c r="C1033" s="26" t="n">
        <v>5350</v>
      </c>
      <c r="D1033" s="20" t="inlineStr">
        <is>
          <t>FW6612021</t>
        </is>
      </c>
      <c r="E1033" s="19" t="inlineStr">
        <is>
          <t>โอน 29/11/66</t>
        </is>
      </c>
    </row>
    <row r="1034">
      <c r="A1034" s="157" t="n">
        <v>24455</v>
      </c>
      <c r="B1034" s="19" t="inlineStr">
        <is>
          <t>หจก. ไทยออโต้โคท (น้ำยาป้องกันสนิม ออโต้โคท/ทัฟโค้ท สีดำ)</t>
        </is>
      </c>
      <c r="C1034" s="26" t="n">
        <v>6500</v>
      </c>
      <c r="E1034" s="19" t="inlineStr">
        <is>
          <t>โอน 14/12/66</t>
        </is>
      </c>
    </row>
    <row r="1035">
      <c r="A1035" s="157" t="n">
        <v>24463</v>
      </c>
      <c r="B1035" s="19" t="inlineStr">
        <is>
          <t>ไทยนครพัฒนา</t>
        </is>
      </c>
      <c r="C1035" s="26" t="n">
        <v>22202.5</v>
      </c>
      <c r="D1035" s="20" t="inlineStr">
        <is>
          <t>INV23120895</t>
        </is>
      </c>
      <c r="E1035" s="19" t="inlineStr">
        <is>
          <t>โอน 25/2/67</t>
        </is>
      </c>
      <c r="F1035" s="19" t="inlineStr">
        <is>
          <t>ลงคอมพ์แล้ว</t>
        </is>
      </c>
    </row>
    <row r="1036">
      <c r="A1036" s="157" t="n">
        <v>24462</v>
      </c>
      <c r="B1036" s="19" t="inlineStr">
        <is>
          <t>ห้างหุ้นส่วนจำกัด พี.บี. เพ้นต์</t>
        </is>
      </c>
      <c r="C1036" s="26" t="n">
        <v>51360</v>
      </c>
      <c r="D1036" s="20" t="inlineStr">
        <is>
          <t>66/823</t>
        </is>
      </c>
      <c r="E1036" s="19" t="inlineStr">
        <is>
          <t>โอน 14/3/67</t>
        </is>
      </c>
      <c r="F1036" s="19" t="inlineStr">
        <is>
          <t>ลงคอมพ์แล้ว</t>
        </is>
      </c>
    </row>
    <row r="1037">
      <c r="A1037" s="157" t="n">
        <v>24452</v>
      </c>
      <c r="B1037" s="19" t="inlineStr">
        <is>
          <t>บจก. วีที คัลเลอร์ โปร</t>
        </is>
      </c>
      <c r="C1037" s="26" t="n">
        <v>13696</v>
      </c>
      <c r="D1037" s="20" t="inlineStr">
        <is>
          <t>IV734-66</t>
        </is>
      </c>
      <c r="E1037" s="19" t="inlineStr">
        <is>
          <t>โอน 2/3/67</t>
        </is>
      </c>
      <c r="F1037" s="19" t="inlineStr">
        <is>
          <t>ลงคอมพ์แล้ว</t>
        </is>
      </c>
      <c r="H1037" s="26" t="n"/>
    </row>
    <row r="1038">
      <c r="A1038" s="157" t="n">
        <v>24460</v>
      </c>
      <c r="B1038" s="19" t="inlineStr">
        <is>
          <t>บจก. วีที คัลเลอร์ โปร</t>
        </is>
      </c>
      <c r="C1038" s="26" t="n">
        <v>13482</v>
      </c>
      <c r="D1038" s="20" t="inlineStr">
        <is>
          <t>IV756-66</t>
        </is>
      </c>
      <c r="E1038" s="19" t="inlineStr">
        <is>
          <t>โอน 2/3/67</t>
        </is>
      </c>
      <c r="F1038" s="19" t="inlineStr">
        <is>
          <t>ลงคอมพ์แล้ว</t>
        </is>
      </c>
    </row>
    <row r="1039">
      <c r="A1039" s="157" t="n">
        <v>24462</v>
      </c>
      <c r="B1039" s="19" t="inlineStr">
        <is>
          <t>บจก. วีที คัลเลอร์ โปร</t>
        </is>
      </c>
      <c r="C1039" s="26" t="n">
        <v>130197.6</v>
      </c>
      <c r="D1039" s="20" t="inlineStr">
        <is>
          <t>IV764-66</t>
        </is>
      </c>
      <c r="E1039" s="19" t="inlineStr">
        <is>
          <t>โอน 2/3/67</t>
        </is>
      </c>
      <c r="F1039" s="19" t="inlineStr">
        <is>
          <t>ลงคอมพ์แล้ว</t>
        </is>
      </c>
    </row>
    <row r="1040">
      <c r="A1040" s="157" t="n">
        <v>24462</v>
      </c>
      <c r="B1040" s="19" t="inlineStr">
        <is>
          <t>บจก. วีที คัลเลอร์ โปร</t>
        </is>
      </c>
      <c r="C1040" s="26" t="n">
        <v>79287</v>
      </c>
      <c r="D1040" s="20" t="inlineStr">
        <is>
          <t>IV765-66</t>
        </is>
      </c>
      <c r="E1040" s="19" t="inlineStr">
        <is>
          <t>โอน 2/3/67</t>
        </is>
      </c>
      <c r="F1040" s="19" t="inlineStr">
        <is>
          <t>ลงคอมพ์แล้ว</t>
        </is>
      </c>
    </row>
    <row r="1041">
      <c r="A1041" s="157" t="n">
        <v>24808</v>
      </c>
      <c r="B1041" s="19" t="inlineStr">
        <is>
          <t>ทาเลนท์อินเตอร์เทรด</t>
        </is>
      </c>
      <c r="C1041" s="26" t="n">
        <v>8763.299999999999</v>
      </c>
      <c r="D1041" s="20" t="inlineStr">
        <is>
          <t>IV2224867</t>
        </is>
      </c>
      <c r="E1041" s="19" t="inlineStr">
        <is>
          <t>โอน 3/4/2567</t>
        </is>
      </c>
      <c r="F1041" s="19" t="inlineStr">
        <is>
          <t>ลงคอมพ์แล้ว</t>
        </is>
      </c>
    </row>
    <row r="1042">
      <c r="A1042" s="157" t="n">
        <v>24447</v>
      </c>
      <c r="B1042" s="19" t="inlineStr">
        <is>
          <t>ทาเลนท์อินเตอร์เทรด</t>
        </is>
      </c>
      <c r="C1042" s="26" t="n">
        <v>1219.8</v>
      </c>
      <c r="D1042" s="20" t="inlineStr">
        <is>
          <t>IV2225024</t>
        </is>
      </c>
      <c r="E1042" s="19" t="inlineStr">
        <is>
          <t>โอน 3/4/2567</t>
        </is>
      </c>
      <c r="F1042" s="19" t="inlineStr">
        <is>
          <t>ลงคอมพ์แล้ว</t>
        </is>
      </c>
      <c r="H1042" s="26" t="n"/>
    </row>
    <row r="1043">
      <c r="A1043" s="157" t="n">
        <v>24460</v>
      </c>
      <c r="B1043" s="19" t="inlineStr">
        <is>
          <t>ทาเลนท์อินเตอร์เทรด</t>
        </is>
      </c>
      <c r="C1043" s="26" t="n">
        <v>9405.299999999999</v>
      </c>
      <c r="D1043" s="20" t="inlineStr">
        <is>
          <t>IV2225888</t>
        </is>
      </c>
      <c r="E1043" s="19" t="inlineStr">
        <is>
          <t>โอน 3/4/2567</t>
        </is>
      </c>
      <c r="F1043" s="19" t="inlineStr">
        <is>
          <t>ลงคอมพ์แล้ว</t>
        </is>
      </c>
    </row>
    <row r="1044">
      <c r="A1044" s="157" t="n">
        <v>24462</v>
      </c>
      <c r="B1044" s="19" t="inlineStr">
        <is>
          <t>ทาเลนท์อินเตอร์เทรด</t>
        </is>
      </c>
      <c r="C1044" s="26" t="n">
        <v>11000</v>
      </c>
      <c r="D1044" s="20" t="inlineStr">
        <is>
          <t>IV2225991</t>
        </is>
      </c>
      <c r="E1044" s="19" t="inlineStr">
        <is>
          <t>โอน 3/4/2567</t>
        </is>
      </c>
      <c r="F1044" s="19" t="inlineStr">
        <is>
          <t>ลงคอมพ์แล้ว</t>
        </is>
      </c>
    </row>
    <row r="1046">
      <c r="B1046" s="22" t="inlineStr">
        <is>
          <t>ต้นทุนอะไหล่</t>
        </is>
      </c>
    </row>
    <row r="1047">
      <c r="B1047" s="19" t="inlineStr">
        <is>
          <t>ร้านเจ๊แอน</t>
        </is>
      </c>
      <c r="C1047" s="26" t="n">
        <v>11710</v>
      </c>
      <c r="E1047" s="19" t="inlineStr">
        <is>
          <t>โอน 27/12/66</t>
        </is>
      </c>
    </row>
    <row r="1048">
      <c r="B1048" s="19" t="inlineStr">
        <is>
          <t>ศรีสยาม Due 4 - 31/12/2566</t>
        </is>
      </c>
      <c r="C1048" s="26" t="n">
        <v>152665.12</v>
      </c>
      <c r="E1048" s="19" t="inlineStr">
        <is>
          <t>โอน 5/2/67</t>
        </is>
      </c>
      <c r="F1048" s="26" t="n"/>
    </row>
    <row r="1049">
      <c r="B1049" s="19" t="inlineStr">
        <is>
          <t>ร้านจิตต์ อะไหล่ Due 1 - 31/12/2566</t>
        </is>
      </c>
      <c r="C1049" s="26" t="n">
        <v>146227.27</v>
      </c>
      <c r="E1049" s="19" t="inlineStr">
        <is>
          <t>โอน 5/2/67</t>
        </is>
      </c>
    </row>
    <row r="1050">
      <c r="B1050" s="19" t="inlineStr">
        <is>
          <t>ร้านโสภา</t>
        </is>
      </c>
      <c r="C1050" s="26" t="n">
        <v>3500</v>
      </c>
      <c r="E1050" s="19" t="inlineStr">
        <is>
          <t>โอน 8/6/67</t>
        </is>
      </c>
    </row>
    <row r="1052" customFormat="1" s="28">
      <c r="A1052" s="102" t="inlineStr">
        <is>
          <t>รายการซื้อสินค้าเข้า ประจำเดือน 1/2567</t>
        </is>
      </c>
      <c r="B1052" s="158" t="n"/>
      <c r="C1052" s="158" t="n"/>
      <c r="D1052" s="158" t="n"/>
      <c r="E1052" s="158" t="n"/>
      <c r="F1052" s="27" t="n"/>
      <c r="G1052" s="27" t="n"/>
      <c r="H1052" s="27" t="n"/>
      <c r="I1052" s="27" t="n"/>
      <c r="J1052" s="27" t="n"/>
    </row>
    <row r="1053" customFormat="1" s="20">
      <c r="A1053" s="159" t="inlineStr">
        <is>
          <t>ว/ด/ป</t>
        </is>
      </c>
      <c r="B1053" s="21" t="inlineStr">
        <is>
          <t>ชื่อร้านค้า</t>
        </is>
      </c>
      <c r="C1053" s="25" t="inlineStr">
        <is>
          <t>ยอดรวม</t>
        </is>
      </c>
      <c r="D1053" s="21" t="inlineStr">
        <is>
          <t>เลขที่บิล</t>
        </is>
      </c>
      <c r="E1053" s="21" t="inlineStr">
        <is>
          <t>หมายเหตุ</t>
        </is>
      </c>
    </row>
    <row r="1054">
      <c r="B1054" s="22" t="inlineStr">
        <is>
          <t>ต้นทุนสี</t>
        </is>
      </c>
    </row>
    <row r="1055">
      <c r="A1055" s="157" t="n">
        <v>24488</v>
      </c>
      <c r="B1055" s="19" t="inlineStr">
        <is>
          <t>ทาเลนท์อินเตอร์เทรด</t>
        </is>
      </c>
      <c r="C1055" s="26" t="n">
        <v>5341.44</v>
      </c>
      <c r="D1055" s="20" t="inlineStr">
        <is>
          <t>IV2227023</t>
        </is>
      </c>
      <c r="E1055" s="19" t="inlineStr">
        <is>
          <t>โอน 3/4/2567</t>
        </is>
      </c>
      <c r="F1055" s="19" t="inlineStr">
        <is>
          <t>ลงคอมพ์แล้ว</t>
        </is>
      </c>
      <c r="H1055" s="26" t="n"/>
    </row>
    <row r="1056">
      <c r="A1056" s="157" t="n">
        <v>24494</v>
      </c>
      <c r="B1056" s="19" t="inlineStr">
        <is>
          <t>บจก. วีที คัลเลอร์ โปร</t>
        </is>
      </c>
      <c r="C1056" s="26" t="n">
        <v>19902</v>
      </c>
      <c r="D1056" s="20" t="inlineStr">
        <is>
          <t>IV6701069</t>
        </is>
      </c>
      <c r="E1056" s="19" t="inlineStr">
        <is>
          <t>โอน 3/4/2567</t>
        </is>
      </c>
      <c r="F1056" s="19" t="inlineStr">
        <is>
          <t>ลงคอมพ์แล้ว</t>
        </is>
      </c>
    </row>
    <row r="1057">
      <c r="A1057" s="157" t="n">
        <v>24496</v>
      </c>
      <c r="B1057" s="19" t="inlineStr">
        <is>
          <t>บจก. วีที คัลเลอร์ โปร</t>
        </is>
      </c>
      <c r="C1057" s="26" t="n">
        <v>52055.5</v>
      </c>
      <c r="D1057" s="20" t="inlineStr">
        <is>
          <t>IV6701079</t>
        </is>
      </c>
      <c r="E1057" s="19" t="inlineStr">
        <is>
          <t>โอน 3/4/2567</t>
        </is>
      </c>
      <c r="F1057" s="19" t="inlineStr">
        <is>
          <t>ลงคอมพ์แล้ว</t>
        </is>
      </c>
    </row>
    <row r="1058">
      <c r="A1058" s="157" t="n">
        <v>24496</v>
      </c>
      <c r="B1058" s="19" t="inlineStr">
        <is>
          <t>บจก. วีที คัลเลอร์ โปร</t>
        </is>
      </c>
      <c r="C1058" s="26" t="n">
        <v>76141.2</v>
      </c>
      <c r="D1058" s="20" t="inlineStr">
        <is>
          <t>IV6701080</t>
        </is>
      </c>
      <c r="E1058" s="19" t="inlineStr">
        <is>
          <t>โอน 3/4/2567</t>
        </is>
      </c>
      <c r="F1058" s="19" t="inlineStr">
        <is>
          <t>ลงคอมพ์แล้ว</t>
        </is>
      </c>
    </row>
    <row r="1061">
      <c r="B1061" s="22" t="inlineStr">
        <is>
          <t>ต้นทุนอะไหล่</t>
        </is>
      </c>
    </row>
    <row r="1062">
      <c r="B1062" s="19" t="inlineStr">
        <is>
          <t>ร้านเจ๊แอน</t>
        </is>
      </c>
      <c r="C1062" s="26" t="n">
        <v>47330</v>
      </c>
      <c r="E1062" s="19" t="inlineStr">
        <is>
          <t>โอน 5/2/67</t>
        </is>
      </c>
    </row>
    <row r="1063">
      <c r="B1063" s="19" t="inlineStr">
        <is>
          <t>ศรีสยาม Due 1 - 31/1/2567</t>
        </is>
      </c>
      <c r="C1063" s="26" t="n">
        <v>385987.7</v>
      </c>
      <c r="E1063" s="19" t="inlineStr">
        <is>
          <t>โอน 2/3/67</t>
        </is>
      </c>
    </row>
    <row r="1064">
      <c r="B1064" s="19" t="inlineStr">
        <is>
          <t>ร้านจิตต์ อะไหล่ Due 1 - 31/1/2567</t>
        </is>
      </c>
      <c r="C1064" s="26" t="n">
        <v>232140.54</v>
      </c>
      <c r="E1064" s="19" t="inlineStr">
        <is>
          <t>โอน 2/3/67</t>
        </is>
      </c>
    </row>
    <row r="1065">
      <c r="B1065" s="19" t="inlineStr">
        <is>
          <t>ร้านโสภา</t>
        </is>
      </c>
      <c r="C1065" s="26" t="n">
        <v>2200</v>
      </c>
      <c r="E1065" s="19" t="inlineStr">
        <is>
          <t>โอน 8/6/67</t>
        </is>
      </c>
    </row>
    <row r="1067" customFormat="1" s="28">
      <c r="A1067" s="102" t="inlineStr">
        <is>
          <t>รายการซื้อสินค้าเข้า ประจำเดือน 2/2567</t>
        </is>
      </c>
      <c r="B1067" s="158" t="n"/>
      <c r="C1067" s="158" t="n"/>
      <c r="D1067" s="158" t="n"/>
      <c r="E1067" s="158" t="n"/>
      <c r="F1067" s="27" t="n"/>
      <c r="G1067" s="27" t="n"/>
      <c r="H1067" s="27" t="n"/>
      <c r="I1067" s="27" t="n"/>
      <c r="J1067" s="27" t="n"/>
    </row>
    <row r="1068" customFormat="1" s="20">
      <c r="A1068" s="159" t="inlineStr">
        <is>
          <t>ว/ด/ป</t>
        </is>
      </c>
      <c r="B1068" s="21" t="inlineStr">
        <is>
          <t>ชื่อร้านค้า</t>
        </is>
      </c>
      <c r="C1068" s="25" t="inlineStr">
        <is>
          <t>ยอดรวม</t>
        </is>
      </c>
      <c r="D1068" s="21" t="inlineStr">
        <is>
          <t>เลขที่บิล</t>
        </is>
      </c>
      <c r="E1068" s="21" t="inlineStr">
        <is>
          <t>หมายเหตุ</t>
        </is>
      </c>
    </row>
    <row r="1069">
      <c r="B1069" s="22" t="inlineStr">
        <is>
          <t>ต้นทุนสี</t>
        </is>
      </c>
    </row>
    <row r="1070">
      <c r="A1070" s="157" t="n">
        <v>24519</v>
      </c>
      <c r="B1070" s="19" t="inlineStr">
        <is>
          <t>ไทยนครพัฒนา</t>
        </is>
      </c>
      <c r="C1070" s="26" t="n">
        <v>21721</v>
      </c>
      <c r="D1070" s="20" t="inlineStr">
        <is>
          <t>INV24020637</t>
        </is>
      </c>
      <c r="E1070" s="19" t="inlineStr">
        <is>
          <t>โอน 15/5/67</t>
        </is>
      </c>
      <c r="F1070" s="19" t="inlineStr">
        <is>
          <t>ลงคอมพ์แล้ว</t>
        </is>
      </c>
    </row>
    <row r="1071">
      <c r="A1071" s="157" t="n">
        <v>24505</v>
      </c>
      <c r="B1071" s="19" t="inlineStr">
        <is>
          <t>ทาเลนท์อินเตอร์เทรด</t>
        </is>
      </c>
      <c r="C1071" s="26" t="n">
        <v>3638</v>
      </c>
      <c r="D1071" s="20" t="inlineStr">
        <is>
          <t>IV2228112</t>
        </is>
      </c>
      <c r="E1071" s="19" t="inlineStr">
        <is>
          <t>โอน 1/6/67</t>
        </is>
      </c>
      <c r="F1071" s="19" t="inlineStr">
        <is>
          <t>ลงคอมพ์แล้ว</t>
        </is>
      </c>
      <c r="H1071" s="26" t="n"/>
    </row>
    <row r="1072">
      <c r="A1072" s="157" t="n">
        <v>24519</v>
      </c>
      <c r="B1072" s="19" t="inlineStr">
        <is>
          <t>ทาเลนท์อินเตอร์เทรด</t>
        </is>
      </c>
      <c r="C1072" s="26" t="n">
        <v>11000</v>
      </c>
      <c r="D1072" s="20" t="inlineStr">
        <is>
          <t>IV2228925</t>
        </is>
      </c>
      <c r="E1072" s="19" t="inlineStr">
        <is>
          <t>โอน 1/6/67</t>
        </is>
      </c>
      <c r="F1072" s="19" t="inlineStr">
        <is>
          <t>ลงคอมพ์แล้ว</t>
        </is>
      </c>
    </row>
    <row r="1073">
      <c r="A1073" s="157" t="n">
        <v>24525</v>
      </c>
      <c r="B1073" s="19" t="inlineStr">
        <is>
          <t>ทาเลนท์อินเตอร์เทรด</t>
        </is>
      </c>
      <c r="C1073" s="26" t="n">
        <v>9411.719999999999</v>
      </c>
      <c r="D1073" s="20" t="inlineStr">
        <is>
          <t>IV2229289</t>
        </is>
      </c>
      <c r="E1073" s="19" t="inlineStr">
        <is>
          <t>โอน 1/6/67</t>
        </is>
      </c>
      <c r="F1073" s="19" t="inlineStr">
        <is>
          <t>ลงคอมพ์แล้ว</t>
        </is>
      </c>
    </row>
    <row r="1074">
      <c r="A1074" s="157" t="n">
        <v>24526</v>
      </c>
      <c r="B1074" s="19" t="inlineStr">
        <is>
          <t>ทาเลนท์อินเตอร์เทรด</t>
        </is>
      </c>
      <c r="C1074" s="26" t="n">
        <v>3477.5</v>
      </c>
      <c r="D1074" s="20" t="inlineStr">
        <is>
          <t>IV2229364</t>
        </is>
      </c>
      <c r="E1074" s="19" t="inlineStr">
        <is>
          <t>โอน 1/6/67</t>
        </is>
      </c>
      <c r="F1074" s="19" t="inlineStr">
        <is>
          <t>ลงคอมพ์แล้ว</t>
        </is>
      </c>
    </row>
    <row r="1075">
      <c r="A1075" s="157" t="n">
        <v>24516</v>
      </c>
      <c r="B1075" s="19" t="inlineStr">
        <is>
          <t xml:space="preserve">ออโต้เทรด มาร์เก็ตติ้ง </t>
        </is>
      </c>
      <c r="C1075" s="26" t="n">
        <v>26653.7</v>
      </c>
      <c r="D1075" s="20" t="inlineStr">
        <is>
          <t>IV1444437</t>
        </is>
      </c>
      <c r="E1075" s="19" t="inlineStr">
        <is>
          <t>โอน 8/5/67</t>
        </is>
      </c>
      <c r="F1075" s="19" t="inlineStr">
        <is>
          <t>ลงคอมพ์แล้ว</t>
        </is>
      </c>
    </row>
    <row r="1076">
      <c r="A1076" s="157" t="n">
        <v>24614</v>
      </c>
      <c r="B1076" s="19" t="inlineStr">
        <is>
          <t xml:space="preserve">ออโต้เทรด มาร์เก็ตติ้ง </t>
        </is>
      </c>
      <c r="C1076" s="26" t="n">
        <v>1194.12</v>
      </c>
      <c r="D1076" s="20" t="inlineStr">
        <is>
          <t>IV1444960</t>
        </is>
      </c>
      <c r="E1076" s="19" t="inlineStr">
        <is>
          <t>โอน 8/5/67</t>
        </is>
      </c>
      <c r="F1076" s="19" t="inlineStr">
        <is>
          <t>ลงคอมพ์แล้ว</t>
        </is>
      </c>
    </row>
    <row r="1077">
      <c r="A1077" s="157" t="n">
        <v>24515</v>
      </c>
      <c r="B1077" s="19" t="inlineStr">
        <is>
          <t>บจก. วีที คัลเลอร์ โปร</t>
        </is>
      </c>
      <c r="C1077" s="26" t="n">
        <v>31886</v>
      </c>
      <c r="D1077" s="20" t="inlineStr">
        <is>
          <t>IV6702047</t>
        </is>
      </c>
      <c r="E1077" s="19" t="inlineStr">
        <is>
          <t>โอน 8/5/67</t>
        </is>
      </c>
      <c r="F1077" s="19" t="inlineStr">
        <is>
          <t>ลงคอมพ์แล้ว</t>
        </is>
      </c>
    </row>
    <row r="1078">
      <c r="A1078" s="157" t="n">
        <v>24529</v>
      </c>
      <c r="B1078" s="19" t="inlineStr">
        <is>
          <t>บจก. วีที คัลเลอร์ โปร</t>
        </is>
      </c>
      <c r="C1078" s="26" t="n">
        <v>63344</v>
      </c>
      <c r="D1078" s="20" t="inlineStr">
        <is>
          <t>IV6702103</t>
        </is>
      </c>
      <c r="E1078" s="19" t="inlineStr">
        <is>
          <t>โอน 8/5/67</t>
        </is>
      </c>
      <c r="F1078" s="19" t="inlineStr">
        <is>
          <t>ลงคอมพ์แล้ว</t>
        </is>
      </c>
    </row>
    <row r="1079">
      <c r="A1079" s="157" t="n">
        <v>24529</v>
      </c>
      <c r="B1079" s="19" t="inlineStr">
        <is>
          <t>บจก. วีที คัลเลอร์ โปร</t>
        </is>
      </c>
      <c r="C1079" s="26" t="n">
        <v>127030.4</v>
      </c>
      <c r="D1079" s="20" t="inlineStr">
        <is>
          <t>IV6702104</t>
        </is>
      </c>
      <c r="E1079" s="19" t="inlineStr">
        <is>
          <t>โอน 8/5/67</t>
        </is>
      </c>
      <c r="F1079" s="19" t="inlineStr">
        <is>
          <t>ลงคอมพ์แล้ว</t>
        </is>
      </c>
    </row>
    <row r="1080">
      <c r="A1080" s="157" t="n">
        <v>24531</v>
      </c>
      <c r="B1080" s="19" t="inlineStr">
        <is>
          <t>บจก. วีที คัลเลอร์ โปร</t>
        </is>
      </c>
      <c r="C1080" s="26" t="n">
        <v>11128</v>
      </c>
      <c r="D1080" s="20" t="inlineStr">
        <is>
          <t>IV6702114</t>
        </is>
      </c>
      <c r="E1080" s="19" t="inlineStr">
        <is>
          <t>โอน 8/5/67</t>
        </is>
      </c>
      <c r="F1080" s="19" t="inlineStr">
        <is>
          <t>ลงคอมพ์แล้ว</t>
        </is>
      </c>
    </row>
    <row r="1082">
      <c r="B1082" s="22" t="inlineStr">
        <is>
          <t>ต้นทุนอะไหล่</t>
        </is>
      </c>
    </row>
    <row r="1083">
      <c r="A1083" s="157" t="n">
        <v>24527</v>
      </c>
      <c r="B1083" s="19" t="inlineStr">
        <is>
          <t>ร้าน TUM autoshop -- บิล 24/2/67</t>
        </is>
      </c>
      <c r="C1083" s="26" t="n">
        <v>6800</v>
      </c>
      <c r="E1083" s="19" t="inlineStr">
        <is>
          <t>โอน 25/2/67</t>
        </is>
      </c>
    </row>
    <row r="1084">
      <c r="B1084" s="19" t="inlineStr">
        <is>
          <t>ร้านเจ๊แอน</t>
        </is>
      </c>
      <c r="C1084" s="26" t="n">
        <v>41420</v>
      </c>
      <c r="E1084" s="19" t="inlineStr">
        <is>
          <t>โอน 2/3/67</t>
        </is>
      </c>
    </row>
    <row r="1085">
      <c r="B1085" s="19" t="inlineStr">
        <is>
          <t>ศรีสยาม Due 1 - 28/2/2567</t>
        </is>
      </c>
      <c r="C1085" s="26" t="n">
        <v>294373.98</v>
      </c>
      <c r="E1085" s="19" t="inlineStr">
        <is>
          <t>โอน 3/4/2567</t>
        </is>
      </c>
      <c r="G1085" s="26" t="n"/>
    </row>
    <row r="1086">
      <c r="B1086" s="19" t="inlineStr">
        <is>
          <t>ร้านจิตต์ อะไหล่ Due 1 - 28/2/2567</t>
        </is>
      </c>
      <c r="C1086" s="26" t="n">
        <v>397151.12</v>
      </c>
      <c r="E1086" s="19" t="inlineStr">
        <is>
          <t>โอน 3/4/2567</t>
        </is>
      </c>
    </row>
    <row r="1087">
      <c r="B1087" s="19" t="inlineStr">
        <is>
          <t>ร้านโสภา</t>
        </is>
      </c>
      <c r="C1087" s="26" t="n">
        <v>3350</v>
      </c>
      <c r="E1087" s="19" t="inlineStr">
        <is>
          <t>โอน 8/6/67</t>
        </is>
      </c>
    </row>
    <row r="1088">
      <c r="A1088" s="157" t="n">
        <v>24526</v>
      </c>
      <c r="B1088" s="19" t="inlineStr">
        <is>
          <t xml:space="preserve">กิ๊บน๊อต / ร้านต้นคิด   </t>
        </is>
      </c>
      <c r="C1088" s="26" t="n">
        <v>2500</v>
      </c>
      <c r="E1088" s="19" t="inlineStr">
        <is>
          <t>โอน 10/6/67</t>
        </is>
      </c>
      <c r="F1088" s="19" t="inlineStr">
        <is>
          <t>ลงคอมพ์แล้ว</t>
        </is>
      </c>
    </row>
    <row r="1090" customFormat="1" s="28">
      <c r="A1090" s="102" t="inlineStr">
        <is>
          <t>รายการซื้อสินค้าเข้า ประจำเดือน 3/2567</t>
        </is>
      </c>
      <c r="B1090" s="158" t="n"/>
      <c r="C1090" s="158" t="n"/>
      <c r="D1090" s="158" t="n"/>
      <c r="E1090" s="158" t="n"/>
      <c r="F1090" s="27" t="n"/>
      <c r="G1090" s="27" t="n"/>
      <c r="H1090" s="27" t="n"/>
      <c r="I1090" s="27" t="n"/>
      <c r="J1090" s="27" t="n"/>
    </row>
    <row r="1091" customFormat="1" s="20">
      <c r="A1091" s="159" t="inlineStr">
        <is>
          <t>ว/ด/ป</t>
        </is>
      </c>
      <c r="B1091" s="21" t="inlineStr">
        <is>
          <t>ชื่อร้านค้า</t>
        </is>
      </c>
      <c r="C1091" s="25" t="inlineStr">
        <is>
          <t>ยอดรวม</t>
        </is>
      </c>
      <c r="D1091" s="21" t="inlineStr">
        <is>
          <t>เลขที่บิล</t>
        </is>
      </c>
      <c r="E1091" s="21" t="inlineStr">
        <is>
          <t>หมายเหตุ</t>
        </is>
      </c>
    </row>
    <row r="1092">
      <c r="B1092" s="22" t="inlineStr">
        <is>
          <t>ต้นทุนสี</t>
        </is>
      </c>
    </row>
    <row r="1093">
      <c r="A1093" s="157" t="n">
        <v>24549</v>
      </c>
      <c r="B1093" s="19" t="inlineStr">
        <is>
          <t>ทาเลนท์อินเตอร์เทรด</t>
        </is>
      </c>
      <c r="C1093" s="26" t="n">
        <v>3334.12</v>
      </c>
      <c r="D1093" s="20" t="inlineStr">
        <is>
          <t>IV2230655</t>
        </is>
      </c>
      <c r="E1093" s="19" t="inlineStr">
        <is>
          <t>โอน 4/7/67</t>
        </is>
      </c>
      <c r="F1093" s="19" t="inlineStr">
        <is>
          <t>ลงคอมพ์แล้ว</t>
        </is>
      </c>
      <c r="H1093" s="26" t="n"/>
    </row>
    <row r="1094">
      <c r="A1094" s="157" t="n">
        <v>24551</v>
      </c>
      <c r="B1094" s="19" t="inlineStr">
        <is>
          <t>ทาเลนท์อินเตอร์เทรด</t>
        </is>
      </c>
      <c r="C1094" s="26" t="n">
        <v>278.2</v>
      </c>
      <c r="D1094" s="20" t="inlineStr">
        <is>
          <t>IV2230759</t>
        </is>
      </c>
      <c r="E1094" s="19" t="inlineStr">
        <is>
          <t>โอน 4/7/67</t>
        </is>
      </c>
      <c r="F1094" s="19" t="inlineStr">
        <is>
          <t>ลงคอมพ์แล้ว</t>
        </is>
      </c>
    </row>
    <row r="1095">
      <c r="A1095" s="157" t="n">
        <v>24551</v>
      </c>
      <c r="B1095" s="19" t="inlineStr">
        <is>
          <t>ทาเลนท์อินเตอร์เทรด</t>
        </is>
      </c>
      <c r="C1095" s="26" t="n">
        <v>11000</v>
      </c>
      <c r="D1095" s="20" t="inlineStr">
        <is>
          <t>IV2230797</t>
        </is>
      </c>
      <c r="E1095" s="19" t="inlineStr">
        <is>
          <t>โอน 4/7/67</t>
        </is>
      </c>
      <c r="F1095" s="19" t="inlineStr">
        <is>
          <t>ลงคอมพ์แล้ว</t>
        </is>
      </c>
    </row>
    <row r="1096">
      <c r="A1096" s="157" t="n">
        <v>24558</v>
      </c>
      <c r="B1096" s="19" t="inlineStr">
        <is>
          <t>ทาเลนท์อินเตอร์เทรด</t>
        </is>
      </c>
      <c r="C1096" s="26" t="n">
        <v>8538.6</v>
      </c>
      <c r="D1096" s="20" t="inlineStr">
        <is>
          <t>IV2231150</t>
        </is>
      </c>
      <c r="E1096" s="19" t="inlineStr">
        <is>
          <t>โอน 4/7/67</t>
        </is>
      </c>
      <c r="F1096" s="19" t="inlineStr">
        <is>
          <t>ลงคอมพ์แล้ว</t>
        </is>
      </c>
    </row>
    <row r="1097">
      <c r="A1097" s="157" t="n">
        <v>24539</v>
      </c>
      <c r="B1097" s="19" t="inlineStr">
        <is>
          <t>บจก. วีที คัลเลอร์ โปร</t>
        </is>
      </c>
      <c r="C1097" s="26" t="n">
        <v>19313.5</v>
      </c>
      <c r="D1097" s="20" t="inlineStr">
        <is>
          <t>IV6703040</t>
        </is>
      </c>
      <c r="E1097" s="19" t="inlineStr">
        <is>
          <t>โอน 6/6/67</t>
        </is>
      </c>
      <c r="F1097" s="19" t="inlineStr">
        <is>
          <t>ลงคอมพ์แล้ว</t>
        </is>
      </c>
    </row>
    <row r="1098">
      <c r="A1098" s="157" t="n">
        <v>24550</v>
      </c>
      <c r="B1098" s="19" t="inlineStr">
        <is>
          <t>บจก. วีที คัลเลอร์ โปร</t>
        </is>
      </c>
      <c r="C1098" s="26" t="n">
        <v>115324.6</v>
      </c>
      <c r="D1098" s="20" t="inlineStr">
        <is>
          <t>IV6703087</t>
        </is>
      </c>
      <c r="E1098" s="19" t="inlineStr">
        <is>
          <t>โอน 6/6/67</t>
        </is>
      </c>
      <c r="F1098" s="19" t="inlineStr">
        <is>
          <t>ลงคอมพ์แล้ว</t>
        </is>
      </c>
    </row>
    <row r="1099">
      <c r="A1099" s="157" t="n">
        <v>24550</v>
      </c>
      <c r="B1099" s="19" t="inlineStr">
        <is>
          <t>บจก. วีที คัลเลอร์ โปร</t>
        </is>
      </c>
      <c r="C1099" s="26" t="n">
        <v>76665.5</v>
      </c>
      <c r="D1099" s="20" t="inlineStr">
        <is>
          <t>IV6703088</t>
        </is>
      </c>
      <c r="E1099" s="19" t="inlineStr">
        <is>
          <t>โอน 6/6/67</t>
        </is>
      </c>
      <c r="F1099" s="19" t="inlineStr">
        <is>
          <t>ลงคอมพ์แล้ว</t>
        </is>
      </c>
    </row>
    <row r="1100">
      <c r="A1100" s="157" t="n">
        <v>24550</v>
      </c>
      <c r="B1100" s="19" t="inlineStr">
        <is>
          <t>บจก. วีที คัลเลอร์ โปร</t>
        </is>
      </c>
      <c r="C1100" s="26" t="n">
        <v>6591.2</v>
      </c>
      <c r="D1100" s="20" t="inlineStr">
        <is>
          <t>IV6703089</t>
        </is>
      </c>
      <c r="E1100" s="19" t="inlineStr">
        <is>
          <t>โอน 6/6/67</t>
        </is>
      </c>
      <c r="F1100" s="19" t="inlineStr">
        <is>
          <t>ลงคอมพ์แล้ว</t>
        </is>
      </c>
    </row>
    <row r="1101">
      <c r="A1101" s="157" t="n">
        <v>24552</v>
      </c>
      <c r="B1101" s="19" t="inlineStr">
        <is>
          <t>ห้างหุ้นส่วนจำกัด พี.บี. เพ้นต์</t>
        </is>
      </c>
      <c r="C1101" s="26" t="n">
        <v>51360</v>
      </c>
      <c r="D1101" s="20" t="inlineStr">
        <is>
          <t>67/163</t>
        </is>
      </c>
      <c r="E1101" s="19" t="inlineStr">
        <is>
          <t>โอน 6/6/67</t>
        </is>
      </c>
      <c r="F1101" s="19" t="inlineStr">
        <is>
          <t>ลงคอมพ์แล้ว</t>
        </is>
      </c>
    </row>
    <row r="1102">
      <c r="A1102" s="157" t="n">
        <v>24551</v>
      </c>
      <c r="B1102" s="19" t="inlineStr">
        <is>
          <t>ไทยนครพัฒนา</t>
        </is>
      </c>
      <c r="C1102" s="26" t="n">
        <v>21721</v>
      </c>
      <c r="D1102" s="20" t="inlineStr">
        <is>
          <t>INV24030847</t>
        </is>
      </c>
      <c r="E1102" s="19" t="inlineStr">
        <is>
          <t>โอน 18/6/67</t>
        </is>
      </c>
      <c r="F1102" s="19" t="inlineStr">
        <is>
          <t>ลงคอมพ์แล้ว</t>
        </is>
      </c>
    </row>
    <row r="1104">
      <c r="B1104" s="22" t="inlineStr">
        <is>
          <t>ต้นทุนอะไหล่</t>
        </is>
      </c>
    </row>
    <row r="1105">
      <c r="B1105" s="19" t="inlineStr">
        <is>
          <t>ศรีสยาม Due 1 - 31/3/2567</t>
        </is>
      </c>
      <c r="C1105" s="26" t="n">
        <v>176203.3</v>
      </c>
      <c r="E1105" s="19" t="inlineStr">
        <is>
          <t>โอน 8/5/67</t>
        </is>
      </c>
      <c r="G1105" s="26" t="n"/>
    </row>
    <row r="1106">
      <c r="B1106" s="19" t="inlineStr">
        <is>
          <t>ร้านจิตต์ อะไหล่ Due 1 - 31/3/2567</t>
        </is>
      </c>
      <c r="C1106" s="26" t="n">
        <v>342342.25</v>
      </c>
      <c r="E1106" s="19" t="inlineStr">
        <is>
          <t>โอน 8/5/67</t>
        </is>
      </c>
    </row>
    <row r="1107">
      <c r="B1107" s="19" t="inlineStr">
        <is>
          <t>ร้านโสภา</t>
        </is>
      </c>
      <c r="C1107" s="26" t="n">
        <v>3600</v>
      </c>
      <c r="E1107" s="19" t="inlineStr">
        <is>
          <t>โอน 8/6/67</t>
        </is>
      </c>
    </row>
    <row r="1108">
      <c r="B1108" s="19" t="inlineStr">
        <is>
          <t>ร้านเจ๊แอน</t>
        </is>
      </c>
      <c r="C1108" s="26" t="n">
        <v>49790</v>
      </c>
      <c r="E1108" s="19" t="inlineStr">
        <is>
          <t>โอน 3/4/67</t>
        </is>
      </c>
    </row>
    <row r="1110" customFormat="1" s="28">
      <c r="A1110" s="102" t="inlineStr">
        <is>
          <t>รายการซื้อสินค้าเข้า ประจำเดือน 4/2567</t>
        </is>
      </c>
      <c r="B1110" s="158" t="n"/>
      <c r="C1110" s="158" t="n"/>
      <c r="D1110" s="158" t="n"/>
      <c r="E1110" s="158" t="n"/>
      <c r="F1110" s="27" t="n"/>
      <c r="G1110" s="27" t="n"/>
      <c r="H1110" s="27" t="n"/>
      <c r="I1110" s="27" t="n"/>
      <c r="J1110" s="27" t="n"/>
    </row>
    <row r="1111" customFormat="1" s="20">
      <c r="A1111" s="159" t="inlineStr">
        <is>
          <t>ว/ด/ป</t>
        </is>
      </c>
      <c r="B1111" s="21" t="inlineStr">
        <is>
          <t>ชื่อร้านค้า</t>
        </is>
      </c>
      <c r="C1111" s="25" t="inlineStr">
        <is>
          <t>ยอดรวม</t>
        </is>
      </c>
      <c r="D1111" s="21" t="inlineStr">
        <is>
          <t>เลขที่บิล</t>
        </is>
      </c>
      <c r="E1111" s="21" t="inlineStr">
        <is>
          <t>หมายเหตุ</t>
        </is>
      </c>
    </row>
    <row r="1112">
      <c r="B1112" s="22" t="inlineStr">
        <is>
          <t>ต้นทุนสี</t>
        </is>
      </c>
    </row>
    <row r="1113">
      <c r="A1113" s="157" t="n">
        <v>24585</v>
      </c>
      <c r="B1113" s="19" t="inlineStr">
        <is>
          <t>ไทยนครพัฒนา</t>
        </is>
      </c>
      <c r="C1113" s="26" t="n">
        <v>21721</v>
      </c>
      <c r="D1113" s="20" t="inlineStr">
        <is>
          <t>INV24040704</t>
        </is>
      </c>
      <c r="E1113" s="19" t="inlineStr">
        <is>
          <t>โอน 4/7/67</t>
        </is>
      </c>
      <c r="F1113" s="19" t="inlineStr">
        <is>
          <t>ลงคอมพ์แล้ว</t>
        </is>
      </c>
    </row>
    <row r="1114">
      <c r="A1114" s="157" t="n">
        <v>24584</v>
      </c>
      <c r="B1114" s="19" t="inlineStr">
        <is>
          <t>บจก. วีที คัลเลอร์ โปร</t>
        </is>
      </c>
      <c r="C1114" s="26" t="n">
        <v>217199.3</v>
      </c>
      <c r="D1114" s="20" t="inlineStr">
        <is>
          <t>IV6704071</t>
        </is>
      </c>
      <c r="E1114" s="19" t="inlineStr">
        <is>
          <t>โอน 4/7/67</t>
        </is>
      </c>
      <c r="F1114" s="19" t="inlineStr">
        <is>
          <t>ลงคอมพ์แล้ว</t>
        </is>
      </c>
      <c r="H1114" s="26" t="n"/>
    </row>
    <row r="1115">
      <c r="A1115" s="157" t="n">
        <v>24584</v>
      </c>
      <c r="B1115" s="19" t="inlineStr">
        <is>
          <t>บจก. วีที คัลเลอร์ โปร</t>
        </is>
      </c>
      <c r="C1115" s="26" t="n">
        <v>21507</v>
      </c>
      <c r="D1115" s="20" t="inlineStr">
        <is>
          <t>IV6704072</t>
        </is>
      </c>
      <c r="E1115" s="19" t="inlineStr">
        <is>
          <t>โอน 4/7/67</t>
        </is>
      </c>
      <c r="F1115" s="19" t="inlineStr">
        <is>
          <t>ลงคอมพ์แล้ว</t>
        </is>
      </c>
    </row>
    <row r="1116">
      <c r="A1116" s="157" t="n">
        <v>24587</v>
      </c>
      <c r="B1116" s="19" t="inlineStr">
        <is>
          <t xml:space="preserve">ออโต้เทรด มาร์เก็ตติ้ง </t>
        </is>
      </c>
      <c r="C1116" s="26" t="n">
        <v>31624.92</v>
      </c>
      <c r="D1116" s="20" t="inlineStr">
        <is>
          <t>IV1447634</t>
        </is>
      </c>
      <c r="E1116" s="19" t="inlineStr">
        <is>
          <t>โอน 21/6/67</t>
        </is>
      </c>
      <c r="F1116" s="19" t="inlineStr">
        <is>
          <t>ลงคอมพ์แล้ว</t>
        </is>
      </c>
    </row>
    <row r="1118">
      <c r="B1118" s="22" t="inlineStr">
        <is>
          <t>ต้นทุนอะไหล่</t>
        </is>
      </c>
    </row>
    <row r="1119">
      <c r="B1119" s="19" t="inlineStr">
        <is>
          <t>ศรีสยาม Due 1 - 30/4/2567</t>
        </is>
      </c>
      <c r="C1119" s="26" t="n">
        <v>64018.34</v>
      </c>
      <c r="E1119" s="35" t="inlineStr">
        <is>
          <t>โอน 6/6/67</t>
        </is>
      </c>
      <c r="G1119" s="26" t="n"/>
    </row>
    <row r="1120">
      <c r="B1120" s="19" t="inlineStr">
        <is>
          <t>ร้านจิตต์ อะไหล่ Due 1 - 30/4/2567</t>
        </is>
      </c>
      <c r="C1120" s="26" t="n">
        <v>224147.43</v>
      </c>
      <c r="E1120" s="35" t="inlineStr">
        <is>
          <t>โอน 6/6/67</t>
        </is>
      </c>
    </row>
    <row r="1121">
      <c r="B1121" s="19" t="inlineStr">
        <is>
          <t>ร้านโสภา</t>
        </is>
      </c>
      <c r="C1121" s="26" t="n">
        <v>1800</v>
      </c>
      <c r="E1121" s="19" t="inlineStr">
        <is>
          <t>โอน 8/6/67</t>
        </is>
      </c>
    </row>
    <row r="1122">
      <c r="B1122" s="19" t="inlineStr">
        <is>
          <t>ร้านเจ๊แอน</t>
        </is>
      </c>
      <c r="C1122" s="26" t="n">
        <v>11960</v>
      </c>
      <c r="E1122" s="19" t="inlineStr">
        <is>
          <t>โอน 7/5/67</t>
        </is>
      </c>
    </row>
    <row r="1124" customFormat="1" s="28">
      <c r="A1124" s="102" t="inlineStr">
        <is>
          <t>รายการซื้อสินค้าเข้า ประจำเดือน 5/2567</t>
        </is>
      </c>
      <c r="B1124" s="158" t="n"/>
      <c r="C1124" s="158" t="n"/>
      <c r="D1124" s="158" t="n"/>
      <c r="E1124" s="158" t="n"/>
      <c r="F1124" s="27" t="n"/>
      <c r="G1124" s="27" t="n"/>
      <c r="H1124" s="27" t="n"/>
      <c r="I1124" s="27" t="n"/>
      <c r="J1124" s="27" t="n"/>
    </row>
    <row r="1125" customFormat="1" s="20">
      <c r="A1125" s="159" t="inlineStr">
        <is>
          <t>ว/ด/ป</t>
        </is>
      </c>
      <c r="B1125" s="21" t="inlineStr">
        <is>
          <t>ชื่อร้านค้า</t>
        </is>
      </c>
      <c r="C1125" s="25" t="inlineStr">
        <is>
          <t>ยอดรวม</t>
        </is>
      </c>
      <c r="D1125" s="21" t="inlineStr">
        <is>
          <t>เลขที่บิล</t>
        </is>
      </c>
      <c r="E1125" s="21" t="inlineStr">
        <is>
          <t>หมายเหตุ</t>
        </is>
      </c>
    </row>
    <row r="1126">
      <c r="B1126" s="22" t="inlineStr">
        <is>
          <t>ต้นทุนสี</t>
        </is>
      </c>
    </row>
    <row r="1127">
      <c r="A1127" s="157" t="n">
        <v>24595</v>
      </c>
      <c r="B1127" s="19" t="inlineStr">
        <is>
          <t>ทาเลนท์อินเตอร์เทรด</t>
        </is>
      </c>
      <c r="C1127" s="26" t="n">
        <v>2953.2</v>
      </c>
      <c r="D1127" s="20" t="inlineStr">
        <is>
          <t>IV2232778</t>
        </is>
      </c>
      <c r="E1127" s="19" t="inlineStr">
        <is>
          <t>โอน 4/9/67</t>
        </is>
      </c>
      <c r="F1127" s="19" t="inlineStr">
        <is>
          <t>ลงคอมพ์แล้ว</t>
        </is>
      </c>
    </row>
    <row r="1128">
      <c r="A1128" s="157" t="n">
        <v>24599</v>
      </c>
      <c r="B1128" s="19" t="inlineStr">
        <is>
          <t>ทาเลนท์อินเตอร์เทรด</t>
        </is>
      </c>
      <c r="C1128" s="26" t="n">
        <v>3659.4</v>
      </c>
      <c r="D1128" s="20" t="inlineStr">
        <is>
          <t>IV2233057</t>
        </is>
      </c>
      <c r="E1128" s="19" t="inlineStr">
        <is>
          <t>โอน 4/9/67</t>
        </is>
      </c>
      <c r="F1128" s="19" t="inlineStr">
        <is>
          <t>ลงคอมพ์แล้ว</t>
        </is>
      </c>
    </row>
    <row r="1129">
      <c r="A1129" s="157" t="n">
        <v>24601</v>
      </c>
      <c r="B1129" s="19" t="inlineStr">
        <is>
          <t>ทาเลนท์อินเตอร์เทรด</t>
        </is>
      </c>
      <c r="C1129" s="26" t="n">
        <v>11000</v>
      </c>
      <c r="D1129" s="20" t="inlineStr">
        <is>
          <t>IV2233213</t>
        </is>
      </c>
      <c r="E1129" s="19" t="inlineStr">
        <is>
          <t>โอน 4/9/67</t>
        </is>
      </c>
      <c r="F1129" s="19" t="inlineStr">
        <is>
          <t>ลงคอมพ์แล้ว</t>
        </is>
      </c>
    </row>
    <row r="1130">
      <c r="A1130" s="157" t="n">
        <v>24601</v>
      </c>
      <c r="B1130" s="19" t="inlineStr">
        <is>
          <t>ทาเลนท์อินเตอร์เทรด</t>
        </is>
      </c>
      <c r="C1130" s="26" t="n">
        <v>2846.2</v>
      </c>
      <c r="D1130" s="20" t="inlineStr">
        <is>
          <t>IV2233217</t>
        </is>
      </c>
      <c r="E1130" s="19" t="inlineStr">
        <is>
          <t>โอน 4/9/67</t>
        </is>
      </c>
      <c r="F1130" s="19" t="inlineStr">
        <is>
          <t>ลงคอมพ์แล้ว</t>
        </is>
      </c>
      <c r="H1130" s="26" t="n"/>
    </row>
    <row r="1131">
      <c r="A1131" s="157" t="n">
        <v>24617</v>
      </c>
      <c r="B1131" s="19" t="inlineStr">
        <is>
          <t>ทาเลนท์อินเตอร์เทรด</t>
        </is>
      </c>
      <c r="C1131" s="26" t="n">
        <v>3160.78</v>
      </c>
      <c r="D1131" s="20" t="inlineStr">
        <is>
          <t>IV2234107</t>
        </is>
      </c>
      <c r="E1131" s="19" t="inlineStr">
        <is>
          <t>โอน 4/9/67</t>
        </is>
      </c>
      <c r="F1131" s="19" t="inlineStr">
        <is>
          <t>ลงคอมพ์แล้ว</t>
        </is>
      </c>
    </row>
    <row r="1132">
      <c r="A1132" s="157" t="n">
        <v>24622</v>
      </c>
      <c r="B1132" s="19" t="inlineStr">
        <is>
          <t>ทาเลนท์อินเตอร์เทรด</t>
        </is>
      </c>
      <c r="C1132" s="26" t="n">
        <v>5773.72</v>
      </c>
      <c r="D1132" s="20" t="inlineStr">
        <is>
          <t>IV2234378</t>
        </is>
      </c>
      <c r="E1132" s="19" t="inlineStr">
        <is>
          <t>โอน 4/9/67</t>
        </is>
      </c>
      <c r="F1132" s="19" t="inlineStr">
        <is>
          <t>ลงคอมพ์แล้ว</t>
        </is>
      </c>
    </row>
    <row r="1133">
      <c r="A1133" s="157" t="n">
        <v>24613</v>
      </c>
      <c r="B1133" s="19" t="inlineStr">
        <is>
          <t>ห้างหุ้นส่วนจำกัด พี.บี. เพ้นต์</t>
        </is>
      </c>
      <c r="C1133" s="26" t="n">
        <v>51360</v>
      </c>
      <c r="D1133" s="20" t="inlineStr">
        <is>
          <t>67/248</t>
        </is>
      </c>
      <c r="E1133" s="19" t="inlineStr">
        <is>
          <t>โอน 25/7/67</t>
        </is>
      </c>
      <c r="F1133" s="19" t="inlineStr">
        <is>
          <t>ลงคอมพ์แล้ว</t>
        </is>
      </c>
    </row>
    <row r="1134">
      <c r="A1134" s="157" t="n">
        <v>24600</v>
      </c>
      <c r="B1134" s="19" t="inlineStr">
        <is>
          <t>บจก. วีที คัลเลอร์ โปร</t>
        </is>
      </c>
      <c r="C1134" s="26" t="n">
        <v>26322</v>
      </c>
      <c r="D1134" s="20" t="inlineStr">
        <is>
          <t>IV6705049</t>
        </is>
      </c>
      <c r="E1134" s="19" t="inlineStr">
        <is>
          <t>โอน 6/8/67</t>
        </is>
      </c>
      <c r="F1134" s="19" t="inlineStr">
        <is>
          <t>ลงคอมพ์แล้ว</t>
        </is>
      </c>
      <c r="H1134" s="26" t="n"/>
    </row>
    <row r="1135">
      <c r="A1135" s="157" t="n">
        <v>24613</v>
      </c>
      <c r="B1135" s="19" t="inlineStr">
        <is>
          <t>บจก. วีที คัลเลอร์ โปร</t>
        </is>
      </c>
      <c r="C1135" s="26" t="n">
        <v>82978.5</v>
      </c>
      <c r="D1135" s="20" t="inlineStr">
        <is>
          <t>IV6705104</t>
        </is>
      </c>
      <c r="E1135" s="19" t="inlineStr">
        <is>
          <t>โอน 6/8/67</t>
        </is>
      </c>
      <c r="F1135" s="19" t="inlineStr">
        <is>
          <t>ลงคอมพ์แล้ว</t>
        </is>
      </c>
    </row>
    <row r="1136">
      <c r="A1136" s="157" t="n">
        <v>24613</v>
      </c>
      <c r="B1136" s="19" t="inlineStr">
        <is>
          <t>บจก. วีที คัลเลอร์ โปร</t>
        </is>
      </c>
      <c r="C1136" s="26" t="n">
        <v>132787</v>
      </c>
      <c r="D1136" s="20" t="inlineStr">
        <is>
          <t>IV6705105</t>
        </is>
      </c>
      <c r="E1136" s="19" t="inlineStr">
        <is>
          <t>โอน 6/8/67</t>
        </is>
      </c>
      <c r="F1136" s="19" t="inlineStr">
        <is>
          <t>ลงคอมพ์แล้ว</t>
        </is>
      </c>
    </row>
    <row r="1137">
      <c r="A1137" s="157" t="n">
        <v>24613</v>
      </c>
      <c r="B1137" s="19" t="inlineStr">
        <is>
          <t>บจก. วีที คัลเลอร์ โปร</t>
        </is>
      </c>
      <c r="C1137" s="26" t="n">
        <v>14552</v>
      </c>
      <c r="D1137" s="20" t="inlineStr">
        <is>
          <t>IV6705106</t>
        </is>
      </c>
      <c r="E1137" s="19" t="inlineStr">
        <is>
          <t>โอน 6/8/67</t>
        </is>
      </c>
      <c r="F1137" s="19" t="inlineStr">
        <is>
          <t>ลงคอมพ์แล้ว</t>
        </is>
      </c>
    </row>
    <row r="1138">
      <c r="A1138" s="157" t="n">
        <v>24619</v>
      </c>
      <c r="B1138" s="19" t="inlineStr">
        <is>
          <t>บจก. วีที คัลเลอร์ โปร</t>
        </is>
      </c>
      <c r="C1138" s="26" t="n">
        <v>3852</v>
      </c>
      <c r="D1138" s="20" t="inlineStr">
        <is>
          <t>IV6705126</t>
        </is>
      </c>
      <c r="E1138" s="19" t="inlineStr">
        <is>
          <t>โอน 6/8/67</t>
        </is>
      </c>
      <c r="F1138" s="19" t="inlineStr">
        <is>
          <t>ลงคอมพ์แล้ว</t>
        </is>
      </c>
    </row>
    <row r="1139">
      <c r="A1139" s="157" t="n">
        <v>24623</v>
      </c>
      <c r="B1139" s="19" t="inlineStr">
        <is>
          <t xml:space="preserve">ออโต้เทรด มาร์เก็ตติ้ง </t>
        </is>
      </c>
      <c r="C1139" s="26" t="n">
        <v>10682.88</v>
      </c>
      <c r="D1139" s="20" t="inlineStr">
        <is>
          <t>IV1449333</t>
        </is>
      </c>
      <c r="E1139" s="19" t="inlineStr">
        <is>
          <t>โอน 15/8/67</t>
        </is>
      </c>
      <c r="F1139" s="19" t="inlineStr">
        <is>
          <t>ลงคอมพ์แล้ว</t>
        </is>
      </c>
    </row>
    <row r="1141">
      <c r="B1141" s="22" t="inlineStr">
        <is>
          <t>ต้นทุนอะไหล่</t>
        </is>
      </c>
    </row>
    <row r="1142">
      <c r="B1142" s="19" t="inlineStr">
        <is>
          <t>ศรีสยาม Due 1 - 31/5/2567</t>
        </is>
      </c>
      <c r="C1142" s="26" t="n">
        <v>341523.78</v>
      </c>
      <c r="E1142" s="19" t="inlineStr">
        <is>
          <t>โอน 4/7/67</t>
        </is>
      </c>
      <c r="G1142" s="26" t="n"/>
    </row>
    <row r="1143">
      <c r="B1143" s="19" t="inlineStr">
        <is>
          <t>ร้านจิตต์ อะไหล่ Due 1 - 31/5/2567</t>
        </is>
      </c>
      <c r="C1143" s="26" t="n">
        <v>252753.54</v>
      </c>
      <c r="E1143" s="19" t="inlineStr">
        <is>
          <t>โอน 4/7/67</t>
        </is>
      </c>
    </row>
    <row r="1144">
      <c r="B1144" s="19" t="inlineStr">
        <is>
          <t>ร้านโสภา</t>
        </is>
      </c>
      <c r="C1144" s="26" t="n">
        <v>4100</v>
      </c>
      <c r="E1144" s="19" t="inlineStr">
        <is>
          <t>โอน 8/6/67</t>
        </is>
      </c>
    </row>
    <row r="1145">
      <c r="A1145" s="157" t="n">
        <v>24600</v>
      </c>
      <c r="B1145" s="19" t="inlineStr">
        <is>
          <t xml:space="preserve">กิ๊บน๊อต / ร้านต้นคิด   </t>
        </is>
      </c>
      <c r="C1145" s="26" t="n">
        <v>2000</v>
      </c>
      <c r="E1145" s="19" t="inlineStr">
        <is>
          <t>โอน 10/6/67</t>
        </is>
      </c>
      <c r="F1145" s="19" t="inlineStr">
        <is>
          <t>ลงคอมพ์แล้ว</t>
        </is>
      </c>
    </row>
    <row r="1146">
      <c r="B1146" s="19" t="inlineStr">
        <is>
          <t>ร้านเจ๊แอน</t>
        </is>
      </c>
      <c r="C1146" s="26" t="n">
        <v>42550</v>
      </c>
      <c r="E1146" s="19" t="inlineStr">
        <is>
          <t>โอน 4/6/67</t>
        </is>
      </c>
    </row>
    <row r="1148" customFormat="1" s="28">
      <c r="A1148" s="102" t="inlineStr">
        <is>
          <t>รายการซื้อสินค้าเข้า ประจำเดือน 6/2567</t>
        </is>
      </c>
      <c r="B1148" s="158" t="n"/>
      <c r="C1148" s="158" t="n"/>
      <c r="D1148" s="158" t="n"/>
      <c r="E1148" s="158" t="n"/>
      <c r="F1148" s="27" t="n"/>
      <c r="G1148" s="27" t="n"/>
      <c r="H1148" s="27" t="n"/>
      <c r="I1148" s="27" t="n"/>
      <c r="J1148" s="27" t="n"/>
    </row>
    <row r="1149" customFormat="1" s="20">
      <c r="A1149" s="159" t="inlineStr">
        <is>
          <t>ว/ด/ป</t>
        </is>
      </c>
      <c r="B1149" s="21" t="inlineStr">
        <is>
          <t>ชื่อร้านค้า</t>
        </is>
      </c>
      <c r="C1149" s="25" t="inlineStr">
        <is>
          <t>ยอดรวม</t>
        </is>
      </c>
      <c r="D1149" s="21" t="inlineStr">
        <is>
          <t>เลขที่บิล</t>
        </is>
      </c>
      <c r="E1149" s="21" t="inlineStr">
        <is>
          <t>หมายเหตุ</t>
        </is>
      </c>
    </row>
    <row r="1150">
      <c r="B1150" s="22" t="inlineStr">
        <is>
          <t>ต้นทุนสี</t>
        </is>
      </c>
    </row>
    <row r="1151">
      <c r="A1151" s="157" t="n">
        <v>24633</v>
      </c>
      <c r="B1151" s="19" t="inlineStr">
        <is>
          <t>บจก. วีที คัลเลอร์ โปร</t>
        </is>
      </c>
      <c r="C1151" s="26" t="n">
        <v>963</v>
      </c>
      <c r="D1151" s="20" t="inlineStr">
        <is>
          <t>IV6706068</t>
        </is>
      </c>
      <c r="E1151" s="19" t="inlineStr">
        <is>
          <t>โอน 4/9/67</t>
        </is>
      </c>
      <c r="F1151" s="19" t="inlineStr">
        <is>
          <t>ลงคอมพ์แล้ว</t>
        </is>
      </c>
      <c r="H1151" s="26" t="n"/>
    </row>
    <row r="1152">
      <c r="A1152" s="157" t="n">
        <v>24634</v>
      </c>
      <c r="B1152" s="19" t="inlineStr">
        <is>
          <t>บจก. วีที คัลเลอร์ โปร</t>
        </is>
      </c>
      <c r="C1152" s="26" t="n">
        <v>30441.5</v>
      </c>
      <c r="D1152" s="20" t="inlineStr">
        <is>
          <t>IV6706078</t>
        </is>
      </c>
      <c r="E1152" s="19" t="inlineStr">
        <is>
          <t>โอน 4/9/67</t>
        </is>
      </c>
      <c r="F1152" s="19" t="inlineStr">
        <is>
          <t>ลงคอมพ์แล้ว</t>
        </is>
      </c>
      <c r="H1152" s="26" t="n"/>
    </row>
    <row r="1153">
      <c r="A1153" s="157" t="n">
        <v>24636</v>
      </c>
      <c r="B1153" s="19" t="inlineStr">
        <is>
          <t>บจก. วีที คัลเลอร์ โปร</t>
        </is>
      </c>
      <c r="C1153" s="26" t="n">
        <v>7704</v>
      </c>
      <c r="D1153" s="20" t="inlineStr">
        <is>
          <t>IV6706083</t>
        </is>
      </c>
      <c r="E1153" s="19" t="inlineStr">
        <is>
          <t>โอน 4/9/67</t>
        </is>
      </c>
      <c r="F1153" s="19" t="inlineStr">
        <is>
          <t>ลงคอมพ์แล้ว</t>
        </is>
      </c>
    </row>
    <row r="1154">
      <c r="A1154" s="157" t="n">
        <v>24644</v>
      </c>
      <c r="B1154" s="19" t="inlineStr">
        <is>
          <t>บจก. วีที คัลเลอร์ โปร</t>
        </is>
      </c>
      <c r="C1154" s="26" t="n">
        <v>215958.1</v>
      </c>
      <c r="D1154" s="20" t="inlineStr">
        <is>
          <t>IV6706124</t>
        </is>
      </c>
      <c r="E1154" s="19" t="inlineStr">
        <is>
          <t>โอน 4/9/67</t>
        </is>
      </c>
      <c r="F1154" s="19" t="inlineStr">
        <is>
          <t>ลงคอมพ์แล้ว</t>
        </is>
      </c>
    </row>
    <row r="1155">
      <c r="A1155" s="157" t="n">
        <v>24647</v>
      </c>
      <c r="B1155" s="19" t="inlineStr">
        <is>
          <t>บจก. วีที คัลเลอร์ โปร</t>
        </is>
      </c>
      <c r="C1155" s="26" t="n">
        <v>6313</v>
      </c>
      <c r="D1155" s="20" t="inlineStr">
        <is>
          <t>IV6706130</t>
        </is>
      </c>
      <c r="E1155" s="19" t="inlineStr">
        <is>
          <t>โอน 4/9/67</t>
        </is>
      </c>
      <c r="F1155" s="19" t="inlineStr">
        <is>
          <t>ลงคอมพ์แล้ว</t>
        </is>
      </c>
    </row>
    <row r="1156">
      <c r="A1156" s="157" t="n">
        <v>24629</v>
      </c>
      <c r="B1156" s="19" t="inlineStr">
        <is>
          <t>ทาเลนท์อินเตอร์เทรด</t>
        </is>
      </c>
      <c r="C1156" s="26" t="n">
        <v>492.2</v>
      </c>
      <c r="D1156" s="20" t="inlineStr">
        <is>
          <t>IV2234900</t>
        </is>
      </c>
      <c r="E1156" s="19" t="inlineStr">
        <is>
          <t>โอน 9/10/67</t>
        </is>
      </c>
      <c r="F1156" s="19" t="inlineStr">
        <is>
          <t>ลงคอมพ์แล้ว</t>
        </is>
      </c>
    </row>
    <row r="1157">
      <c r="A1157" s="157" t="n">
        <v>24640</v>
      </c>
      <c r="B1157" s="19" t="inlineStr">
        <is>
          <t>ทาเลนท์อินเตอร์เทรด</t>
        </is>
      </c>
      <c r="C1157" s="26" t="n">
        <v>5500</v>
      </c>
      <c r="D1157" s="20" t="inlineStr">
        <is>
          <t>IV2235520</t>
        </is>
      </c>
      <c r="E1157" s="19" t="inlineStr">
        <is>
          <t>โอน 9/10/67</t>
        </is>
      </c>
      <c r="F1157" s="19" t="inlineStr">
        <is>
          <t>ลงคอมพ์แล้ว</t>
        </is>
      </c>
    </row>
    <row r="1158">
      <c r="A1158" s="157" t="n">
        <v>24640</v>
      </c>
      <c r="B1158" s="19" t="inlineStr">
        <is>
          <t>ไทยนครพัฒนา</t>
        </is>
      </c>
      <c r="C1158" s="26" t="n">
        <v>20300</v>
      </c>
      <c r="D1158" s="20" t="inlineStr">
        <is>
          <t>INV24060638</t>
        </is>
      </c>
      <c r="E1158" s="19" t="inlineStr">
        <is>
          <t>โอน 9/10/67</t>
        </is>
      </c>
      <c r="F1158" s="19" t="inlineStr">
        <is>
          <t>ลงคอมพ์แล้ว</t>
        </is>
      </c>
    </row>
    <row r="1159">
      <c r="A1159" s="157" t="n">
        <v>24649</v>
      </c>
      <c r="B1159" s="19" t="inlineStr">
        <is>
          <t>ห้างหุ้นส่วนจำกัด พี.บี. เพ้นต์</t>
        </is>
      </c>
      <c r="C1159" s="26" t="n">
        <v>51360</v>
      </c>
      <c r="D1159" s="20" t="inlineStr">
        <is>
          <t>67/370</t>
        </is>
      </c>
      <c r="E1159" s="19" t="inlineStr">
        <is>
          <t>โอน 4/9/67</t>
        </is>
      </c>
      <c r="F1159" s="19" t="inlineStr">
        <is>
          <t>ลงคอมพ์แล้ว</t>
        </is>
      </c>
    </row>
    <row r="1161">
      <c r="B1161" s="22" t="inlineStr">
        <is>
          <t>ต้นทุนอะไหล่</t>
        </is>
      </c>
    </row>
    <row r="1162">
      <c r="B1162" s="19" t="inlineStr">
        <is>
          <t>ร้านเจ๊แอน</t>
        </is>
      </c>
      <c r="C1162" s="26" t="n">
        <v>39480</v>
      </c>
      <c r="E1162" s="19" t="inlineStr">
        <is>
          <t>โอน 4/7/67</t>
        </is>
      </c>
    </row>
    <row r="1163">
      <c r="B1163" s="19" t="inlineStr">
        <is>
          <t>ร้านจิตต์ อะไหล่ Due 1 - 30/6/2567</t>
        </is>
      </c>
      <c r="C1163" s="26" t="n">
        <v>247272.04</v>
      </c>
      <c r="E1163" s="19" t="inlineStr">
        <is>
          <t>โอน 6/8/67</t>
        </is>
      </c>
    </row>
    <row r="1164">
      <c r="B1164" s="19" t="inlineStr">
        <is>
          <t>ศรีสยาม Due 1 - 30/6/2567</t>
        </is>
      </c>
      <c r="C1164" s="26" t="n">
        <v>182798.47</v>
      </c>
      <c r="E1164" s="19" t="inlineStr">
        <is>
          <t>โอน 6/8/67</t>
        </is>
      </c>
      <c r="G1164" s="26" t="n"/>
    </row>
    <row r="1165">
      <c r="B1165" s="19" t="inlineStr">
        <is>
          <t>ร้านโสภา</t>
        </is>
      </c>
      <c r="C1165" s="26" t="n">
        <v>4800</v>
      </c>
      <c r="E1165" s="19" t="inlineStr">
        <is>
          <t>โอน 5/12/67</t>
        </is>
      </c>
    </row>
    <row r="1167" customFormat="1" s="28">
      <c r="A1167" s="102" t="inlineStr">
        <is>
          <t>รายการซื้อสินค้าเข้า ประจำเดือน 7/2567</t>
        </is>
      </c>
      <c r="B1167" s="158" t="n"/>
      <c r="C1167" s="158" t="n"/>
      <c r="D1167" s="158" t="n"/>
      <c r="E1167" s="158" t="n"/>
      <c r="F1167" s="27" t="n"/>
      <c r="G1167" s="27" t="n"/>
      <c r="H1167" s="27" t="n"/>
      <c r="I1167" s="27" t="n"/>
      <c r="J1167" s="27" t="n"/>
    </row>
    <row r="1168" customFormat="1" s="20">
      <c r="A1168" s="159" t="inlineStr">
        <is>
          <t>ว/ด/ป</t>
        </is>
      </c>
      <c r="B1168" s="21" t="inlineStr">
        <is>
          <t>ชื่อร้านค้า</t>
        </is>
      </c>
      <c r="C1168" s="25" t="inlineStr">
        <is>
          <t>ยอดรวม</t>
        </is>
      </c>
      <c r="D1168" s="21" t="inlineStr">
        <is>
          <t>เลขที่บิล</t>
        </is>
      </c>
      <c r="E1168" s="21" t="inlineStr">
        <is>
          <t>หมายเหตุ</t>
        </is>
      </c>
    </row>
    <row r="1169">
      <c r="B1169" s="22" t="inlineStr">
        <is>
          <t>ต้นทุนสี</t>
        </is>
      </c>
    </row>
    <row r="1170">
      <c r="A1170" s="157" t="n">
        <v>24668</v>
      </c>
      <c r="B1170" s="19" t="inlineStr">
        <is>
          <t>ไทยนครพัฒนา</t>
        </is>
      </c>
      <c r="C1170" s="26" t="n">
        <v>21721</v>
      </c>
      <c r="D1170" s="20" t="inlineStr">
        <is>
          <t>INV24070640</t>
        </is>
      </c>
      <c r="E1170" s="19" t="inlineStr">
        <is>
          <t>โอน 9/10/67</t>
        </is>
      </c>
      <c r="F1170" s="19" t="inlineStr">
        <is>
          <t>ลงคอมพ์แล้ว</t>
        </is>
      </c>
    </row>
    <row r="1171">
      <c r="A1171" s="157" t="n">
        <v>24684</v>
      </c>
      <c r="B1171" s="19" t="inlineStr">
        <is>
          <t>ไทยนครพัฒนา (ยอด VAT ของบิลขายเดือน 6/67)</t>
        </is>
      </c>
      <c r="C1171" s="26" t="n">
        <v>1421</v>
      </c>
      <c r="D1171" s="20" t="inlineStr">
        <is>
          <t>SA2407-001</t>
        </is>
      </c>
      <c r="E1171" s="19" t="inlineStr">
        <is>
          <t>โอน 9/10/67</t>
        </is>
      </c>
      <c r="F1171" s="19" t="inlineStr">
        <is>
          <t>ลงคอมพ์แล้ว</t>
        </is>
      </c>
    </row>
    <row r="1172">
      <c r="A1172" s="157" t="n">
        <v>24657</v>
      </c>
      <c r="B1172" s="19" t="inlineStr">
        <is>
          <t>ทาเลนท์อินเตอร์เทรด</t>
        </is>
      </c>
      <c r="C1172" s="26" t="n">
        <v>7935.12</v>
      </c>
      <c r="D1172" s="20" t="inlineStr">
        <is>
          <t>IV2236517</t>
        </is>
      </c>
      <c r="E1172" s="19" t="inlineStr">
        <is>
          <t>โอน 7/11/67</t>
        </is>
      </c>
      <c r="F1172" s="19" t="inlineStr">
        <is>
          <t>ลงคอมพ์แล้ว</t>
        </is>
      </c>
      <c r="H1172" s="26" t="n"/>
    </row>
    <row r="1173">
      <c r="A1173" s="157" t="n">
        <v>24657</v>
      </c>
      <c r="B1173" s="19" t="inlineStr">
        <is>
          <t>ทาเลนท์อินเตอร์เทรด</t>
        </is>
      </c>
      <c r="C1173" s="26" t="n">
        <v>7276</v>
      </c>
      <c r="D1173" s="20" t="inlineStr">
        <is>
          <t>IV2236562</t>
        </is>
      </c>
      <c r="E1173" s="19" t="inlineStr">
        <is>
          <t>โอน 7/11/67</t>
        </is>
      </c>
      <c r="F1173" s="19" t="inlineStr">
        <is>
          <t>ลงคอมพ์แล้ว</t>
        </is>
      </c>
    </row>
    <row r="1174">
      <c r="A1174" s="157" t="n">
        <v>24661</v>
      </c>
      <c r="B1174" s="19" t="inlineStr">
        <is>
          <t>ทาเลนท์อินเตอร์เทรด</t>
        </is>
      </c>
      <c r="C1174" s="26" t="n">
        <v>4922</v>
      </c>
      <c r="D1174" s="20" t="inlineStr">
        <is>
          <t>IV2236779</t>
        </is>
      </c>
      <c r="E1174" s="19" t="inlineStr">
        <is>
          <t>โอน 7/11/67</t>
        </is>
      </c>
      <c r="F1174" s="19" t="inlineStr">
        <is>
          <t>ลงคอมพ์แล้ว</t>
        </is>
      </c>
    </row>
    <row r="1175">
      <c r="A1175" s="157" t="n">
        <v>24664</v>
      </c>
      <c r="B1175" s="19" t="inlineStr">
        <is>
          <t>ทาเลนท์อินเตอร์เทรด</t>
        </is>
      </c>
      <c r="C1175" s="26" t="n">
        <v>984.4</v>
      </c>
      <c r="D1175" s="20" t="inlineStr">
        <is>
          <t>IV2236946</t>
        </is>
      </c>
      <c r="E1175" s="19" t="inlineStr">
        <is>
          <t>โอน 7/11/67</t>
        </is>
      </c>
      <c r="F1175" s="19" t="inlineStr">
        <is>
          <t>ลงคอมพ์แล้ว</t>
        </is>
      </c>
    </row>
    <row r="1176">
      <c r="A1176" s="157" t="n">
        <v>24669</v>
      </c>
      <c r="B1176" s="19" t="inlineStr">
        <is>
          <t>ทาเลนท์อินเตอร์เทรด</t>
        </is>
      </c>
      <c r="C1176" s="26" t="n">
        <v>11000</v>
      </c>
      <c r="D1176" s="20" t="inlineStr">
        <is>
          <t>IV2237182</t>
        </is>
      </c>
      <c r="E1176" s="19" t="inlineStr">
        <is>
          <t>โอน 7/11/67</t>
        </is>
      </c>
      <c r="F1176" s="19" t="inlineStr">
        <is>
          <t>ลงคอมพ์แล้ว</t>
        </is>
      </c>
    </row>
    <row r="1177">
      <c r="A1177" s="157" t="n">
        <v>24683</v>
      </c>
      <c r="B1177" s="19" t="inlineStr">
        <is>
          <t>ทาเลนท์อินเตอร์เทรด</t>
        </is>
      </c>
      <c r="C1177" s="26" t="n">
        <v>524.3</v>
      </c>
      <c r="D1177" s="20" t="inlineStr">
        <is>
          <t>IV2237861</t>
        </is>
      </c>
      <c r="E1177" s="19" t="inlineStr">
        <is>
          <t>โอน 7/11/67</t>
        </is>
      </c>
      <c r="F1177" s="19" t="inlineStr">
        <is>
          <t>ลงคอมพ์แล้ว</t>
        </is>
      </c>
    </row>
    <row r="1178">
      <c r="A1178" s="157" t="n">
        <v>24677</v>
      </c>
      <c r="B1178" s="19" t="inlineStr">
        <is>
          <t>น้ำยาป้องกันสนิม ออโต้โค้ท/ทัฟโค้ท / หจก. ไทยออโต้โคท</t>
        </is>
      </c>
      <c r="C1178" s="26" t="n">
        <v>6500</v>
      </c>
      <c r="E1178" s="19" t="inlineStr">
        <is>
          <t>โอน 25/7/67</t>
        </is>
      </c>
      <c r="F1178" s="19" t="inlineStr">
        <is>
          <t>ลงคอมพ์แล้ว</t>
        </is>
      </c>
    </row>
    <row r="1179">
      <c r="A1179" s="157" t="n">
        <v>24658</v>
      </c>
      <c r="B1179" s="19" t="inlineStr">
        <is>
          <t xml:space="preserve">ออโต้เทรด มาร์เก็ตติ้ง </t>
        </is>
      </c>
      <c r="C1179" s="26" t="n">
        <v>16692</v>
      </c>
      <c r="D1179" s="20" t="inlineStr">
        <is>
          <t>IV1451048</t>
        </is>
      </c>
      <c r="E1179" s="19" t="inlineStr">
        <is>
          <t>โอน 2/10/67</t>
        </is>
      </c>
      <c r="F1179" s="19" t="inlineStr">
        <is>
          <t>ลงคอมพ์แล้ว</t>
        </is>
      </c>
    </row>
    <row r="1180">
      <c r="A1180" s="157" t="n">
        <v>24664</v>
      </c>
      <c r="B1180" s="19" t="inlineStr">
        <is>
          <t>บจก. วีที คัลเลอร์ โปร</t>
        </is>
      </c>
      <c r="C1180" s="26" t="n">
        <v>31672</v>
      </c>
      <c r="D1180" s="20" t="inlineStr">
        <is>
          <t>IV6707082</t>
        </is>
      </c>
      <c r="E1180" s="19" t="inlineStr">
        <is>
          <t>โอน 9/10/67</t>
        </is>
      </c>
      <c r="F1180" s="19" t="inlineStr">
        <is>
          <t>ลงคอมพ์แล้ว</t>
        </is>
      </c>
      <c r="H1180" s="26" t="n"/>
    </row>
    <row r="1181">
      <c r="A1181" s="157" t="n">
        <v>24664</v>
      </c>
      <c r="B1181" s="19" t="inlineStr">
        <is>
          <t>บจก. วีที คัลเลอร์ โปร</t>
        </is>
      </c>
      <c r="C1181" s="26" t="n">
        <v>1540.8</v>
      </c>
      <c r="D1181" s="20" t="inlineStr">
        <is>
          <t>IV6707083</t>
        </is>
      </c>
      <c r="E1181" s="19" t="inlineStr">
        <is>
          <t>โอน 9/10/67</t>
        </is>
      </c>
      <c r="F1181" s="19" t="inlineStr">
        <is>
          <t>ลงคอมพ์แล้ว</t>
        </is>
      </c>
    </row>
    <row r="1182">
      <c r="A1182" s="157" t="n">
        <v>24676</v>
      </c>
      <c r="B1182" s="19" t="inlineStr">
        <is>
          <t>บจก. วีที คัลเลอร์ โปร</t>
        </is>
      </c>
      <c r="C1182" s="26" t="n">
        <v>83139</v>
      </c>
      <c r="D1182" s="20" t="inlineStr">
        <is>
          <t>IV6707130</t>
        </is>
      </c>
      <c r="E1182" s="19" t="inlineStr">
        <is>
          <t>โอน 9/10/67</t>
        </is>
      </c>
      <c r="F1182" s="19" t="inlineStr">
        <is>
          <t>ลงคอมพ์แล้ว</t>
        </is>
      </c>
    </row>
    <row r="1183">
      <c r="A1183" s="157" t="n">
        <v>24676</v>
      </c>
      <c r="B1183" s="19" t="inlineStr">
        <is>
          <t>บจก. วีที คัลเลอร์ โปร</t>
        </is>
      </c>
      <c r="C1183" s="26" t="n">
        <v>135890</v>
      </c>
      <c r="D1183" s="20" t="inlineStr">
        <is>
          <t>IV6707131</t>
        </is>
      </c>
      <c r="E1183" s="19" t="inlineStr">
        <is>
          <t>โอน 9/10/67</t>
        </is>
      </c>
      <c r="F1183" s="19" t="inlineStr">
        <is>
          <t>ลงคอมพ์แล้ว</t>
        </is>
      </c>
    </row>
    <row r="1185">
      <c r="B1185" s="22" t="inlineStr">
        <is>
          <t>ต้นทุนอะไหล่</t>
        </is>
      </c>
    </row>
    <row r="1186">
      <c r="B1186" s="19" t="inlineStr">
        <is>
          <t>ร้านเจ๊แอน</t>
        </is>
      </c>
      <c r="C1186" s="26" t="n">
        <v>35100</v>
      </c>
      <c r="E1186" s="19" t="inlineStr">
        <is>
          <t>โอน 3/8/67</t>
        </is>
      </c>
    </row>
    <row r="1187">
      <c r="B1187" s="19" t="inlineStr">
        <is>
          <t>ร้านจิตต์ อะไหล่ Due 1 - 31/7/2567</t>
        </is>
      </c>
      <c r="C1187" s="26" t="n">
        <v>254586.35</v>
      </c>
      <c r="D1187" s="61" t="n"/>
      <c r="E1187" s="19" t="inlineStr">
        <is>
          <t>โอน 9/9/67</t>
        </is>
      </c>
    </row>
    <row r="1188">
      <c r="B1188" s="19" t="inlineStr">
        <is>
          <t>ศรีสยาม Due 1 - 31/7/2567</t>
        </is>
      </c>
      <c r="C1188" s="26" t="n">
        <v>257888.38</v>
      </c>
      <c r="E1188" s="19" t="inlineStr">
        <is>
          <t>โอน 9/9/67</t>
        </is>
      </c>
      <c r="G1188" s="26" t="n"/>
    </row>
    <row r="1189">
      <c r="B1189" s="19" t="inlineStr">
        <is>
          <t>ร้านโสภา</t>
        </is>
      </c>
      <c r="C1189" s="26" t="n">
        <v>2900</v>
      </c>
      <c r="E1189" s="19" t="inlineStr">
        <is>
          <t>โอน 5/12/67</t>
        </is>
      </c>
    </row>
    <row r="1192" customFormat="1" s="28">
      <c r="A1192" s="102" t="inlineStr">
        <is>
          <t>รายการซื้อสินค้าเข้า ประจำเดือน 8/2567</t>
        </is>
      </c>
      <c r="B1192" s="158" t="n"/>
      <c r="C1192" s="158" t="n"/>
      <c r="D1192" s="158" t="n"/>
      <c r="E1192" s="158" t="n"/>
      <c r="F1192" s="27" t="n"/>
      <c r="G1192" s="27" t="n"/>
      <c r="H1192" s="27" t="n"/>
      <c r="I1192" s="27" t="n"/>
      <c r="J1192" s="27" t="n"/>
    </row>
    <row r="1193" customFormat="1" s="20">
      <c r="A1193" s="159" t="inlineStr">
        <is>
          <t>ว/ด/ป</t>
        </is>
      </c>
      <c r="B1193" s="21" t="inlineStr">
        <is>
          <t>ชื่อร้านค้า</t>
        </is>
      </c>
      <c r="C1193" s="25" t="inlineStr">
        <is>
          <t>ยอดรวม</t>
        </is>
      </c>
      <c r="D1193" s="21" t="inlineStr">
        <is>
          <t>เลขที่บิล</t>
        </is>
      </c>
      <c r="E1193" s="21" t="inlineStr">
        <is>
          <t>หมายเหตุ</t>
        </is>
      </c>
    </row>
    <row r="1194">
      <c r="B1194" s="22" t="inlineStr">
        <is>
          <t>ต้นทุนสี</t>
        </is>
      </c>
    </row>
    <row r="1195">
      <c r="A1195" s="157" t="n">
        <v>24698</v>
      </c>
      <c r="B1195" s="19" t="inlineStr">
        <is>
          <t>บจก. วีที คัลเลอร์ โปร</t>
        </is>
      </c>
      <c r="C1195" s="26" t="n">
        <v>32795.5</v>
      </c>
      <c r="D1195" s="20" t="inlineStr">
        <is>
          <t>IV6708064</t>
        </is>
      </c>
      <c r="E1195" s="19" t="inlineStr">
        <is>
          <t>โอน 7/11/67</t>
        </is>
      </c>
      <c r="F1195" s="19" t="inlineStr">
        <is>
          <t>ลงคอมพ์แล้ว</t>
        </is>
      </c>
      <c r="H1195" s="26" t="n"/>
    </row>
    <row r="1196">
      <c r="A1196" s="157" t="n">
        <v>24698</v>
      </c>
      <c r="B1196" s="19" t="inlineStr">
        <is>
          <t>บจก. วีที คัลเลอร์ โปร</t>
        </is>
      </c>
      <c r="C1196" s="26" t="n">
        <v>13696</v>
      </c>
      <c r="D1196" s="20" t="inlineStr">
        <is>
          <t>IV6708065</t>
        </is>
      </c>
      <c r="E1196" s="19" t="inlineStr">
        <is>
          <t>โอน 7/11/67</t>
        </is>
      </c>
      <c r="F1196" s="19" t="inlineStr">
        <is>
          <t>ลงคอมพ์แล้ว</t>
        </is>
      </c>
    </row>
    <row r="1197">
      <c r="A1197" s="157" t="n">
        <v>24707</v>
      </c>
      <c r="B1197" s="19" t="inlineStr">
        <is>
          <t>บจก. วีที คัลเลอร์ โปร</t>
        </is>
      </c>
      <c r="C1197" s="26" t="n">
        <v>74311.5</v>
      </c>
      <c r="D1197" s="20" t="inlineStr">
        <is>
          <t>IV6708116</t>
        </is>
      </c>
      <c r="E1197" s="19" t="inlineStr">
        <is>
          <t>โอน 7/11/67</t>
        </is>
      </c>
      <c r="F1197" s="19" t="inlineStr">
        <is>
          <t>ลงคอมพ์แล้ว</t>
        </is>
      </c>
    </row>
    <row r="1198">
      <c r="A1198" s="157" t="n">
        <v>24707</v>
      </c>
      <c r="B1198" s="19" t="inlineStr">
        <is>
          <t>บจก. วีที คัลเลอร์ โปร</t>
        </is>
      </c>
      <c r="C1198" s="26" t="n">
        <v>104688.8</v>
      </c>
      <c r="D1198" s="20" t="inlineStr">
        <is>
          <t>IV6708117</t>
        </is>
      </c>
      <c r="E1198" s="19" t="inlineStr">
        <is>
          <t>โอน 7/11/67</t>
        </is>
      </c>
      <c r="F1198" s="19" t="inlineStr">
        <is>
          <t>ลงคอมพ์แล้ว</t>
        </is>
      </c>
    </row>
    <row r="1199">
      <c r="A1199" s="157" t="n">
        <v>24711</v>
      </c>
      <c r="B1199" s="19" t="inlineStr">
        <is>
          <t>บจก. วีที คัลเลอร์ โปร</t>
        </is>
      </c>
      <c r="C1199" s="26" t="n">
        <v>1498</v>
      </c>
      <c r="D1199" s="20" t="inlineStr">
        <is>
          <t>IV6708125</t>
        </is>
      </c>
      <c r="E1199" s="19" t="inlineStr">
        <is>
          <t>โอน 7/11/67</t>
        </is>
      </c>
      <c r="F1199" s="19" t="inlineStr">
        <is>
          <t>ลงคอมพ์แล้ว</t>
        </is>
      </c>
    </row>
    <row r="1200">
      <c r="A1200" s="157" t="n">
        <v>24710</v>
      </c>
      <c r="B1200" s="19" t="inlineStr">
        <is>
          <t xml:space="preserve">ออโต้เทรด มาร์เก็ตติ้ง </t>
        </is>
      </c>
      <c r="C1200" s="26" t="n">
        <v>9737</v>
      </c>
      <c r="D1200" s="20" t="inlineStr">
        <is>
          <t>IV1453250</t>
        </is>
      </c>
      <c r="E1200" s="19" t="inlineStr">
        <is>
          <t>โอน 2/10/67</t>
        </is>
      </c>
      <c r="F1200" s="19" t="inlineStr">
        <is>
          <t>ลงคอมพ์แล้ว</t>
        </is>
      </c>
    </row>
    <row r="1201">
      <c r="A1201" s="157" t="n">
        <v>24706</v>
      </c>
      <c r="B1201" s="19" t="inlineStr">
        <is>
          <t>ห้างหุ้นส่วนจำกัด พี.บี. เพ้นต์</t>
        </is>
      </c>
      <c r="C1201" s="26" t="n">
        <v>50290</v>
      </c>
      <c r="D1201" s="20" t="inlineStr">
        <is>
          <t>67/481</t>
        </is>
      </c>
      <c r="E1201" s="19" t="inlineStr">
        <is>
          <t>โอน 5/11/67</t>
        </is>
      </c>
      <c r="F1201" s="19" t="inlineStr">
        <is>
          <t>ลงคอมพ์แล้ว</t>
        </is>
      </c>
    </row>
    <row r="1202">
      <c r="A1202" s="157" t="n">
        <v>24703</v>
      </c>
      <c r="B1202" s="19" t="inlineStr">
        <is>
          <t>ไทยนครพัฒนา</t>
        </is>
      </c>
      <c r="C1202" s="26" t="n">
        <v>21721</v>
      </c>
      <c r="D1202" s="20" t="inlineStr">
        <is>
          <t>INV24080732</t>
        </is>
      </c>
      <c r="E1202" s="19" t="inlineStr">
        <is>
          <t>โอน 7/11/67</t>
        </is>
      </c>
      <c r="F1202" s="19" t="inlineStr">
        <is>
          <t>ลงคอมพ์แล้ว</t>
        </is>
      </c>
    </row>
    <row r="1203">
      <c r="A1203" s="157" t="n">
        <v>24704</v>
      </c>
      <c r="B1203" s="19" t="inlineStr">
        <is>
          <t>ทาเลนท์อินเตอร์เทรด</t>
        </is>
      </c>
      <c r="C1203" s="26" t="n">
        <v>11000</v>
      </c>
      <c r="D1203" s="20" t="inlineStr">
        <is>
          <t>IV2239078</t>
        </is>
      </c>
      <c r="E1203" s="19" t="inlineStr">
        <is>
          <t>โอน 5/12/67</t>
        </is>
      </c>
      <c r="F1203" s="19" t="inlineStr">
        <is>
          <t>ลงคอมพ์แล้ว</t>
        </is>
      </c>
    </row>
    <row r="1205">
      <c r="B1205" s="22" t="inlineStr">
        <is>
          <t>ต้นทุนอะไหล่</t>
        </is>
      </c>
    </row>
    <row r="1206">
      <c r="A1206" s="157" t="n">
        <v>24691</v>
      </c>
      <c r="B1206" s="19" t="inlineStr">
        <is>
          <t>หจก. พีอาร์โอ ซัพพลาย (ค่าพลาสติกม้วนใส 60หลา)</t>
        </is>
      </c>
      <c r="C1206" s="26" t="n">
        <v>3531</v>
      </c>
      <c r="E1206" s="19" t="inlineStr">
        <is>
          <t>โอน 7/8/67</t>
        </is>
      </c>
    </row>
    <row r="1207">
      <c r="B1207" s="19" t="inlineStr">
        <is>
          <t>ร้านเจ๊แอน</t>
        </is>
      </c>
      <c r="C1207" s="26" t="n">
        <v>37630</v>
      </c>
      <c r="E1207" s="19" t="inlineStr">
        <is>
          <t>โอน 4/9/67</t>
        </is>
      </c>
    </row>
    <row r="1208">
      <c r="A1208" s="157" t="n">
        <v>24715</v>
      </c>
      <c r="B1208" s="19" t="inlineStr">
        <is>
          <t>ค่ากิ๊บน๊อต / ร้าน 55 กิ๊บน๊อต</t>
        </is>
      </c>
      <c r="C1208" s="26" t="n">
        <v>2000</v>
      </c>
      <c r="E1208" s="19" t="inlineStr">
        <is>
          <t>โอน 24/9/67</t>
        </is>
      </c>
      <c r="F1208" s="19" t="inlineStr">
        <is>
          <t>ลงคอมพ์แล้ว</t>
        </is>
      </c>
    </row>
    <row r="1209">
      <c r="A1209" s="157" t="n">
        <v>24707</v>
      </c>
      <c r="B1209" s="19" t="inlineStr">
        <is>
          <t xml:space="preserve">กิ๊บน๊อต / ร้านต้นคิด   </t>
        </is>
      </c>
      <c r="C1209" s="26" t="n">
        <v>3210</v>
      </c>
      <c r="E1209" s="19" t="inlineStr">
        <is>
          <t>โอน 5/12/67</t>
        </is>
      </c>
      <c r="F1209" s="19" t="inlineStr">
        <is>
          <t>ลงคอมพ์แล้ว</t>
        </is>
      </c>
    </row>
    <row r="1210">
      <c r="B1210" s="19" t="inlineStr">
        <is>
          <t>ร้านจิตต์ อะไหล่ Due 1 - 31/8/2567</t>
        </is>
      </c>
      <c r="C1210" s="26" t="n">
        <v>228226.91</v>
      </c>
      <c r="D1210" s="61" t="n"/>
      <c r="E1210" s="19" t="inlineStr">
        <is>
          <t>โอน 9/10/67</t>
        </is>
      </c>
      <c r="F1210" s="19" t="inlineStr">
        <is>
          <t>ลงคอมพ์แล้ว</t>
        </is>
      </c>
    </row>
    <row r="1211">
      <c r="B1211" s="19" t="inlineStr">
        <is>
          <t>ศรีสยาม Due 1 - 31/8/2567</t>
        </is>
      </c>
      <c r="C1211" s="26" t="n">
        <v>194518.86</v>
      </c>
      <c r="E1211" s="19" t="inlineStr">
        <is>
          <t>โอน 9/10/67</t>
        </is>
      </c>
      <c r="F1211" s="19" t="inlineStr">
        <is>
          <t>ลงคอมพ์แล้ว</t>
        </is>
      </c>
      <c r="G1211" s="26" t="n"/>
    </row>
    <row r="1212">
      <c r="B1212" s="19" t="inlineStr">
        <is>
          <t>ร้านโสภา</t>
        </is>
      </c>
      <c r="C1212" s="26" t="n">
        <v>3650</v>
      </c>
      <c r="E1212" s="19" t="inlineStr">
        <is>
          <t>โอน 5/12/67</t>
        </is>
      </c>
    </row>
    <row r="1214" customFormat="1" s="28">
      <c r="A1214" s="102" t="inlineStr">
        <is>
          <t>รายการซื้อสินค้าเข้า ประจำเดือน 9/2567</t>
        </is>
      </c>
      <c r="B1214" s="158" t="n"/>
      <c r="C1214" s="158" t="n"/>
      <c r="D1214" s="158" t="n"/>
      <c r="E1214" s="158" t="n"/>
      <c r="F1214" s="27" t="n"/>
      <c r="G1214" s="27" t="n"/>
      <c r="H1214" s="27" t="n"/>
      <c r="I1214" s="27" t="n"/>
      <c r="J1214" s="27" t="n"/>
    </row>
    <row r="1215" customFormat="1" s="20">
      <c r="A1215" s="159" t="inlineStr">
        <is>
          <t>ว/ด/ป</t>
        </is>
      </c>
      <c r="B1215" s="21" t="inlineStr">
        <is>
          <t>ชื่อร้านค้า</t>
        </is>
      </c>
      <c r="C1215" s="25" t="inlineStr">
        <is>
          <t>ยอดรวม</t>
        </is>
      </c>
      <c r="D1215" s="21" t="inlineStr">
        <is>
          <t>เลขที่บิล</t>
        </is>
      </c>
      <c r="E1215" s="21" t="inlineStr">
        <is>
          <t>หมายเหตุ</t>
        </is>
      </c>
    </row>
    <row r="1216">
      <c r="B1216" s="22" t="inlineStr">
        <is>
          <t>ต้นทุนสี</t>
        </is>
      </c>
    </row>
    <row r="1217">
      <c r="A1217" s="157" t="n">
        <v>24738</v>
      </c>
      <c r="B1217" s="19" t="inlineStr">
        <is>
          <t>ไทยนครพัฒนา</t>
        </is>
      </c>
      <c r="C1217" s="26" t="n">
        <v>26750</v>
      </c>
      <c r="D1217" s="20" t="inlineStr">
        <is>
          <t>INV24090928</t>
        </is>
      </c>
      <c r="E1217" s="19" t="inlineStr">
        <is>
          <t>โอน 5/12/67</t>
        </is>
      </c>
      <c r="F1217" s="19" t="inlineStr">
        <is>
          <t>ลงคอมพ์แล้ว</t>
        </is>
      </c>
    </row>
    <row r="1218">
      <c r="A1218" s="157" t="n">
        <v>24729</v>
      </c>
      <c r="B1218" s="19" t="inlineStr">
        <is>
          <t>บจก. วีที คัลเลอร์ โปร</t>
        </is>
      </c>
      <c r="C1218" s="26" t="n">
        <v>1797.6</v>
      </c>
      <c r="D1218" s="20" t="inlineStr">
        <is>
          <t>IV6709078</t>
        </is>
      </c>
      <c r="E1218" s="19" t="inlineStr">
        <is>
          <t>โอน 5/12/67</t>
        </is>
      </c>
      <c r="F1218" s="19" t="inlineStr">
        <is>
          <t>ลงคอมพ์แล้ว</t>
        </is>
      </c>
    </row>
    <row r="1219">
      <c r="A1219" s="157" t="n">
        <v>24731</v>
      </c>
      <c r="B1219" s="19" t="inlineStr">
        <is>
          <t>บจก. วีที คัลเลอร์ โปร</t>
        </is>
      </c>
      <c r="C1219" s="26" t="n">
        <v>19313.5</v>
      </c>
      <c r="D1219" s="20" t="inlineStr">
        <is>
          <t>IV6709082</t>
        </is>
      </c>
      <c r="E1219" s="19" t="inlineStr">
        <is>
          <t>โอน 5/12/67</t>
        </is>
      </c>
      <c r="F1219" s="19" t="inlineStr">
        <is>
          <t>ลงคอมพ์แล้ว</t>
        </is>
      </c>
    </row>
    <row r="1220">
      <c r="A1220" s="157" t="n">
        <v>24739</v>
      </c>
      <c r="B1220" s="19" t="inlineStr">
        <is>
          <t>บจก. วีที คัลเลอร์ โปร</t>
        </is>
      </c>
      <c r="C1220" s="26" t="n">
        <v>71315.5</v>
      </c>
      <c r="D1220" s="20" t="inlineStr">
        <is>
          <t>IV6709122</t>
        </is>
      </c>
      <c r="E1220" s="19" t="inlineStr">
        <is>
          <t>โอน 5/12/67</t>
        </is>
      </c>
      <c r="F1220" s="19" t="inlineStr">
        <is>
          <t>ลงคอมพ์แล้ว</t>
        </is>
      </c>
    </row>
    <row r="1221">
      <c r="A1221" s="157" t="n">
        <v>24739</v>
      </c>
      <c r="B1221" s="19" t="inlineStr">
        <is>
          <t>บจก. วีที คัลเลอร์ โปร</t>
        </is>
      </c>
      <c r="C1221" s="26" t="n">
        <v>83888</v>
      </c>
      <c r="D1221" s="20" t="inlineStr">
        <is>
          <t>IV6709123</t>
        </is>
      </c>
      <c r="E1221" s="19" t="inlineStr">
        <is>
          <t>โอน 5/12/67</t>
        </is>
      </c>
      <c r="F1221" s="19" t="inlineStr">
        <is>
          <t>ลงคอมพ์แล้ว</t>
        </is>
      </c>
    </row>
    <row r="1222">
      <c r="A1222" s="157" t="n">
        <v>24741</v>
      </c>
      <c r="B1222" s="19" t="inlineStr">
        <is>
          <t>บจก. วีที คัลเลอร์ โปร</t>
        </is>
      </c>
      <c r="C1222" s="26" t="n">
        <v>8781.219999999999</v>
      </c>
      <c r="D1222" s="20" t="inlineStr">
        <is>
          <t>IV6709136</t>
        </is>
      </c>
      <c r="E1222" s="19" t="inlineStr">
        <is>
          <t>โอน 5/12/67</t>
        </is>
      </c>
      <c r="F1222" s="19" t="inlineStr">
        <is>
          <t>ลงคอมพ์แล้ว</t>
        </is>
      </c>
    </row>
    <row r="1223">
      <c r="A1223" s="157" t="n">
        <v>24728</v>
      </c>
      <c r="B1223" s="19" t="inlineStr">
        <is>
          <t>ทาเลนท์อินเตอร์เทรด</t>
        </is>
      </c>
      <c r="C1223" s="26" t="n">
        <v>7827.05</v>
      </c>
      <c r="D1223" s="20" t="inlineStr">
        <is>
          <t>IV2240627</t>
        </is>
      </c>
      <c r="E1223" s="19" t="inlineStr">
        <is>
          <t>โอน 31/12/67</t>
        </is>
      </c>
      <c r="F1223" s="19" t="inlineStr">
        <is>
          <t>ลงคอมพ์แล้ว</t>
        </is>
      </c>
    </row>
    <row r="1224">
      <c r="A1224" s="157" t="n">
        <v>24734</v>
      </c>
      <c r="B1224" s="19" t="inlineStr">
        <is>
          <t>ทาเลนท์อินเตอร์เทรด</t>
        </is>
      </c>
      <c r="C1224" s="26" t="n">
        <v>5500</v>
      </c>
      <c r="D1224" s="20" t="inlineStr">
        <is>
          <t>IV2240911</t>
        </is>
      </c>
      <c r="E1224" s="19" t="inlineStr">
        <is>
          <t>โอน 31/12/67</t>
        </is>
      </c>
      <c r="F1224" s="19" t="inlineStr">
        <is>
          <t>ลงคอมพ์แล้ว</t>
        </is>
      </c>
      <c r="H1224" s="26" t="n"/>
    </row>
    <row r="1225">
      <c r="A1225" s="157" t="n">
        <v>24740</v>
      </c>
      <c r="B1225" s="19" t="inlineStr">
        <is>
          <t>ทาเลนท์อินเตอร์เทรด</t>
        </is>
      </c>
      <c r="C1225" s="26" t="n">
        <v>5906.4</v>
      </c>
      <c r="D1225" s="20" t="inlineStr">
        <is>
          <t>IV2241234</t>
        </is>
      </c>
      <c r="E1225" s="19" t="inlineStr">
        <is>
          <t>โอน 31/12/67</t>
        </is>
      </c>
      <c r="F1225" s="19" t="inlineStr">
        <is>
          <t>ลงคอมพ์แล้ว</t>
        </is>
      </c>
    </row>
    <row r="1227">
      <c r="B1227" s="22" t="inlineStr">
        <is>
          <t>ต้นทุนอะไหล่</t>
        </is>
      </c>
    </row>
    <row r="1228">
      <c r="B1228" s="19" t="inlineStr">
        <is>
          <t>ร้านเจ๊แอน</t>
        </is>
      </c>
      <c r="C1228" s="26" t="n">
        <v>30910</v>
      </c>
      <c r="E1228" s="19" t="inlineStr">
        <is>
          <t>โอน 2/10/67</t>
        </is>
      </c>
      <c r="G1228" s="19" t="n">
        <v>2400</v>
      </c>
    </row>
    <row r="1229">
      <c r="B1229" s="19" t="inlineStr">
        <is>
          <t>ร้านจิตต์ อะไหล่ Due 1 - 30/9/2567</t>
        </is>
      </c>
      <c r="C1229" s="26" t="n">
        <v>208530.19</v>
      </c>
      <c r="E1229" s="19" t="inlineStr">
        <is>
          <t>โอน 9/11/67</t>
        </is>
      </c>
      <c r="G1229" s="19" t="n">
        <v>400</v>
      </c>
    </row>
    <row r="1230">
      <c r="B1230" s="19" t="inlineStr">
        <is>
          <t>ร้านศรีสยาม อะไหล่ Due 1 - 30/9/2567</t>
        </is>
      </c>
      <c r="C1230" s="26" t="n">
        <v>357886.45</v>
      </c>
      <c r="D1230" s="61" t="n"/>
      <c r="E1230" s="19" t="inlineStr">
        <is>
          <t>โอน 9/11/67</t>
        </is>
      </c>
      <c r="G1230" s="19">
        <f>SUM(G1228:G1229)</f>
        <v/>
      </c>
    </row>
    <row r="1231">
      <c r="B1231" s="19" t="inlineStr">
        <is>
          <t>ร้านโสภา</t>
        </is>
      </c>
      <c r="C1231" s="26" t="n">
        <v>2800</v>
      </c>
      <c r="E1231" s="19" t="inlineStr">
        <is>
          <t>โอน 5/12/67</t>
        </is>
      </c>
    </row>
    <row r="1233" customFormat="1" s="28">
      <c r="A1233" s="102" t="inlineStr">
        <is>
          <t>รายการซื้อสินค้าเข้า ประจำเดือน 10/2567</t>
        </is>
      </c>
      <c r="B1233" s="158" t="n"/>
      <c r="C1233" s="158" t="n"/>
      <c r="D1233" s="158" t="n"/>
      <c r="E1233" s="158" t="n"/>
      <c r="F1233" s="27" t="n"/>
      <c r="G1233" s="27" t="n"/>
      <c r="H1233" s="27" t="n"/>
      <c r="I1233" s="27" t="n"/>
      <c r="J1233" s="27" t="n"/>
    </row>
    <row r="1234" customFormat="1" s="20">
      <c r="A1234" s="159" t="inlineStr">
        <is>
          <t>ว/ด/ป</t>
        </is>
      </c>
      <c r="B1234" s="21" t="inlineStr">
        <is>
          <t>ชื่อร้านค้า</t>
        </is>
      </c>
      <c r="C1234" s="25" t="inlineStr">
        <is>
          <t>ยอดรวม</t>
        </is>
      </c>
      <c r="D1234" s="21" t="inlineStr">
        <is>
          <t>เลขที่บิล</t>
        </is>
      </c>
      <c r="E1234" s="21" t="inlineStr">
        <is>
          <t>หมายเหตุ</t>
        </is>
      </c>
    </row>
    <row r="1235">
      <c r="B1235" s="22" t="inlineStr">
        <is>
          <t>ต้นทุนสี</t>
        </is>
      </c>
    </row>
    <row r="1236">
      <c r="A1236" s="157" t="n">
        <v>24746</v>
      </c>
      <c r="B1236" s="19" t="inlineStr">
        <is>
          <t>บจก. วีที คัลเลอร์ โปร</t>
        </is>
      </c>
      <c r="C1236" s="26" t="n">
        <v>749</v>
      </c>
      <c r="D1236" s="20" t="inlineStr">
        <is>
          <t>IV6710011</t>
        </is>
      </c>
      <c r="E1236" s="19" t="inlineStr">
        <is>
          <t>โอน 31/12/67</t>
        </is>
      </c>
      <c r="F1236" s="19" t="inlineStr">
        <is>
          <t>ลงคอมพ์แล้ว</t>
        </is>
      </c>
      <c r="H1236" s="26" t="n"/>
    </row>
    <row r="1237">
      <c r="A1237" s="157" t="n">
        <v>24755</v>
      </c>
      <c r="B1237" s="19" t="inlineStr">
        <is>
          <t>บจก. วีที คัลเลอร์ โปร</t>
        </is>
      </c>
      <c r="C1237" s="26" t="n">
        <v>8046.4</v>
      </c>
      <c r="D1237" s="20" t="inlineStr">
        <is>
          <t>IV6710058</t>
        </is>
      </c>
      <c r="E1237" s="19" t="inlineStr">
        <is>
          <t>โอน 31/12/67</t>
        </is>
      </c>
      <c r="F1237" s="19" t="inlineStr">
        <is>
          <t>ลงคอมพ์แล้ว</t>
        </is>
      </c>
    </row>
    <row r="1238">
      <c r="A1238" s="157" t="n">
        <v>24759</v>
      </c>
      <c r="B1238" s="19" t="inlineStr">
        <is>
          <t>บจก. วีที คัลเลอร์ โปร</t>
        </is>
      </c>
      <c r="C1238" s="26" t="n">
        <v>19474</v>
      </c>
      <c r="D1238" s="20" t="inlineStr">
        <is>
          <t>IV6710073</t>
        </is>
      </c>
      <c r="E1238" s="19" t="inlineStr">
        <is>
          <t>โอน 31/12/67</t>
        </is>
      </c>
      <c r="F1238" s="19" t="inlineStr">
        <is>
          <t>ลงคอมพ์แล้ว</t>
        </is>
      </c>
    </row>
    <row r="1239">
      <c r="A1239" s="157" t="n">
        <v>24766</v>
      </c>
      <c r="B1239" s="19" t="inlineStr">
        <is>
          <t>บจก. วีที คัลเลอร์ โปร</t>
        </is>
      </c>
      <c r="C1239" s="26" t="n">
        <v>154122.8</v>
      </c>
      <c r="D1239" s="20" t="inlineStr">
        <is>
          <t>IV6710109</t>
        </is>
      </c>
      <c r="E1239" s="19" t="inlineStr">
        <is>
          <t>โอน 31/12/67</t>
        </is>
      </c>
      <c r="F1239" s="19" t="inlineStr">
        <is>
          <t>ลงคอมพ์แล้ว</t>
        </is>
      </c>
    </row>
    <row r="1240">
      <c r="A1240" s="157" t="n">
        <v>24768</v>
      </c>
      <c r="B1240" s="19" t="inlineStr">
        <is>
          <t>บจก. วีที คัลเลอร์ โปร</t>
        </is>
      </c>
      <c r="C1240" s="26" t="n">
        <v>5992</v>
      </c>
      <c r="D1240" s="20" t="inlineStr">
        <is>
          <t>IV6710117</t>
        </is>
      </c>
      <c r="E1240" s="19" t="inlineStr">
        <is>
          <t>โอน 31/12/67</t>
        </is>
      </c>
      <c r="F1240" s="19" t="inlineStr">
        <is>
          <t>ลงคอมพ์แล้ว</t>
        </is>
      </c>
    </row>
    <row r="1241">
      <c r="A1241" s="157" t="n">
        <v>24774</v>
      </c>
      <c r="B1241" s="19" t="inlineStr">
        <is>
          <t>บจก. วีที คัลเลอร์ โปร</t>
        </is>
      </c>
      <c r="C1241" s="26" t="n">
        <v>4280</v>
      </c>
      <c r="D1241" s="20" t="inlineStr">
        <is>
          <t>IV6710152</t>
        </is>
      </c>
      <c r="E1241" s="19" t="inlineStr">
        <is>
          <t>โอน 31/12/67</t>
        </is>
      </c>
      <c r="F1241" s="19" t="inlineStr">
        <is>
          <t>ลงคอมพ์แล้ว</t>
        </is>
      </c>
    </row>
    <row r="1242">
      <c r="A1242" s="157" t="n">
        <v>24760</v>
      </c>
      <c r="B1242" s="19" t="inlineStr">
        <is>
          <t>ทาเลนท์อินเตอร์เทรด</t>
        </is>
      </c>
      <c r="C1242" s="26" t="n">
        <v>10194.96</v>
      </c>
      <c r="D1242" s="20" t="inlineStr">
        <is>
          <t>IV2242407</t>
        </is>
      </c>
      <c r="E1242" s="19" t="inlineStr">
        <is>
          <t>โอน 10/2/68</t>
        </is>
      </c>
      <c r="F1242" s="19" t="inlineStr">
        <is>
          <t>ลงคอมพ์แล้ว</t>
        </is>
      </c>
      <c r="H1242" s="26" t="n"/>
    </row>
    <row r="1243">
      <c r="A1243" s="157" t="n">
        <v>24767</v>
      </c>
      <c r="B1243" s="19" t="inlineStr">
        <is>
          <t>ทาเลนท์อินเตอร์เทรด</t>
        </is>
      </c>
      <c r="C1243" s="26" t="n">
        <v>11000</v>
      </c>
      <c r="D1243" s="20" t="inlineStr">
        <is>
          <t>IV2242741</t>
        </is>
      </c>
      <c r="E1243" s="19" t="inlineStr">
        <is>
          <t>โอน 10/2/68</t>
        </is>
      </c>
      <c r="F1243" s="19" t="inlineStr">
        <is>
          <t>ลงคอมพ์แล้ว</t>
        </is>
      </c>
    </row>
    <row r="1244">
      <c r="A1244" s="157" t="n">
        <v>24767</v>
      </c>
      <c r="B1244" s="19" t="inlineStr">
        <is>
          <t>ทาเลนท์อินเตอร์เทรด</t>
        </is>
      </c>
      <c r="C1244" s="26" t="n">
        <v>1232.64</v>
      </c>
      <c r="D1244" s="20" t="inlineStr">
        <is>
          <t>IV2242758</t>
        </is>
      </c>
      <c r="E1244" s="19" t="inlineStr">
        <is>
          <t>โอน 10/2/68</t>
        </is>
      </c>
      <c r="F1244" s="19" t="inlineStr">
        <is>
          <t>ลงคอมพ์แล้ว</t>
        </is>
      </c>
    </row>
    <row r="1245">
      <c r="A1245" s="157" t="n">
        <v>24769</v>
      </c>
      <c r="B1245" s="19" t="inlineStr">
        <is>
          <t>ทาเลนท์อินเตอร์เทรด</t>
        </is>
      </c>
      <c r="C1245" s="26" t="n">
        <v>1177</v>
      </c>
      <c r="D1245" s="20" t="inlineStr">
        <is>
          <t>IV2242852</t>
        </is>
      </c>
      <c r="E1245" s="19" t="inlineStr">
        <is>
          <t>โอน 10/2/68</t>
        </is>
      </c>
      <c r="F1245" s="19" t="inlineStr">
        <is>
          <t>ลงคอมพ์แล้ว</t>
        </is>
      </c>
    </row>
    <row r="1246">
      <c r="A1246" s="157" t="n">
        <v>24762</v>
      </c>
      <c r="B1246" s="19" t="inlineStr">
        <is>
          <t>ห้างหุ้นส่วนจำกัด พี.บี. เพ้นต์</t>
        </is>
      </c>
      <c r="C1246" s="26" t="n">
        <v>50290</v>
      </c>
      <c r="D1246" s="20" t="inlineStr">
        <is>
          <t>67/601</t>
        </is>
      </c>
      <c r="E1246" s="19" t="inlineStr">
        <is>
          <t>โอน 31/12/67</t>
        </is>
      </c>
      <c r="F1246" s="19" t="inlineStr">
        <is>
          <t>ลงคอมพ์แล้ว</t>
        </is>
      </c>
    </row>
    <row r="1249">
      <c r="B1249" s="22" t="inlineStr">
        <is>
          <t>ต้นทุนอะไหล่</t>
        </is>
      </c>
    </row>
    <row r="1250">
      <c r="B1250" s="19" t="inlineStr">
        <is>
          <t>ร้านเจ๊แอน</t>
        </is>
      </c>
      <c r="C1250" s="26" t="n">
        <v>79620</v>
      </c>
      <c r="E1250" s="19" t="inlineStr">
        <is>
          <t>โอน 4/11/67</t>
        </is>
      </c>
    </row>
    <row r="1251">
      <c r="B1251" s="19" t="inlineStr">
        <is>
          <t>ร้านจิตต์ อะไหล่ Due 1 - 31/10/2567</t>
        </is>
      </c>
      <c r="C1251" s="26" t="n">
        <v>233364.81</v>
      </c>
      <c r="E1251" s="19" t="inlineStr">
        <is>
          <t>โอน 5/12/67</t>
        </is>
      </c>
    </row>
    <row r="1252">
      <c r="B1252" s="19" t="inlineStr">
        <is>
          <t>ร้านศรีสยาม อะไหล่ Due 1 - 31/10/2567</t>
        </is>
      </c>
      <c r="C1252" s="26" t="n">
        <v>192640.04</v>
      </c>
      <c r="E1252" s="19" t="inlineStr">
        <is>
          <t>โอน 5/12/67</t>
        </is>
      </c>
    </row>
    <row r="1253">
      <c r="B1253" s="19" t="inlineStr">
        <is>
          <t>ร้านโสภา</t>
        </is>
      </c>
      <c r="C1253" s="26" t="n">
        <v>8010</v>
      </c>
      <c r="E1253" s="19" t="inlineStr">
        <is>
          <t>โอน 5/12/67</t>
        </is>
      </c>
    </row>
    <row r="1255" customFormat="1" s="28">
      <c r="A1255" s="102" t="inlineStr">
        <is>
          <t>รายการซื้อสินค้าเข้า ประจำเดือน 11/2567</t>
        </is>
      </c>
      <c r="B1255" s="158" t="n"/>
      <c r="C1255" s="158" t="n"/>
      <c r="D1255" s="158" t="n"/>
      <c r="E1255" s="158" t="n"/>
      <c r="F1255" s="27" t="n"/>
      <c r="G1255" s="27" t="n"/>
      <c r="H1255" s="27" t="n"/>
      <c r="I1255" s="27" t="n"/>
      <c r="J1255" s="27" t="n"/>
    </row>
    <row r="1256" customFormat="1" s="20">
      <c r="A1256" s="159" t="inlineStr">
        <is>
          <t>ว/ด/ป</t>
        </is>
      </c>
      <c r="B1256" s="21" t="inlineStr">
        <is>
          <t>ชื่อร้านค้า</t>
        </is>
      </c>
      <c r="C1256" s="25" t="inlineStr">
        <is>
          <t>ยอดรวม</t>
        </is>
      </c>
      <c r="D1256" s="21" t="inlineStr">
        <is>
          <t>เลขที่บิล</t>
        </is>
      </c>
      <c r="E1256" s="21" t="inlineStr">
        <is>
          <t>หมายเหตุ</t>
        </is>
      </c>
    </row>
    <row r="1257">
      <c r="B1257" s="22" t="inlineStr">
        <is>
          <t>ต้นทุนสี</t>
        </is>
      </c>
    </row>
    <row r="1258">
      <c r="A1258" s="157" t="n">
        <v>24777</v>
      </c>
      <c r="B1258" s="19" t="inlineStr">
        <is>
          <t>บจก. วีที คัลเลอร์ โปร</t>
        </is>
      </c>
      <c r="C1258" s="26" t="n">
        <v>3466.8</v>
      </c>
      <c r="D1258" s="20" t="inlineStr">
        <is>
          <t>IV6711021</t>
        </is>
      </c>
      <c r="E1258" s="26" t="inlineStr">
        <is>
          <t>โอน 10/2/68</t>
        </is>
      </c>
      <c r="F1258" s="19" t="inlineStr">
        <is>
          <t>ลงคอมพ์แล้ว</t>
        </is>
      </c>
    </row>
    <row r="1259">
      <c r="A1259" s="157" t="n">
        <v>24795</v>
      </c>
      <c r="B1259" s="19" t="inlineStr">
        <is>
          <t>บจก. วีที คัลเลอร์ โปร</t>
        </is>
      </c>
      <c r="C1259" s="26" t="n">
        <v>101222</v>
      </c>
      <c r="D1259" s="20" t="inlineStr">
        <is>
          <t>IV6711103</t>
        </is>
      </c>
      <c r="E1259" s="26" t="inlineStr">
        <is>
          <t>โอน 10/2/68</t>
        </is>
      </c>
      <c r="F1259" s="19" t="inlineStr">
        <is>
          <t>ลงคอมพ์แล้ว</t>
        </is>
      </c>
    </row>
    <row r="1260">
      <c r="A1260" s="157" t="n">
        <v>24795</v>
      </c>
      <c r="B1260" s="19" t="inlineStr">
        <is>
          <t>บจก. วีที คัลเลอร์ โปร</t>
        </is>
      </c>
      <c r="C1260" s="26" t="n">
        <v>123542.2</v>
      </c>
      <c r="D1260" s="20" t="inlineStr">
        <is>
          <t>IV6711104</t>
        </is>
      </c>
      <c r="E1260" s="26" t="inlineStr">
        <is>
          <t>โอน 10/2/68</t>
        </is>
      </c>
      <c r="F1260" s="19" t="inlineStr">
        <is>
          <t>ลงคอมพ์แล้ว</t>
        </is>
      </c>
    </row>
    <row r="1261">
      <c r="A1261" s="157" t="n">
        <v>24799</v>
      </c>
      <c r="B1261" s="19" t="inlineStr">
        <is>
          <t>บจก. วีที คัลเลอร์ โปร</t>
        </is>
      </c>
      <c r="C1261" s="26" t="n">
        <v>5724.5</v>
      </c>
      <c r="D1261" s="20" t="inlineStr">
        <is>
          <t>IV6711134</t>
        </is>
      </c>
      <c r="E1261" s="26" t="inlineStr">
        <is>
          <t>โอน 10/2/68</t>
        </is>
      </c>
      <c r="F1261" s="19" t="inlineStr">
        <is>
          <t>ลงคอมพ์แล้ว</t>
        </is>
      </c>
    </row>
    <row r="1262">
      <c r="A1262" s="157" t="n">
        <v>24798</v>
      </c>
      <c r="B1262" s="19" t="inlineStr">
        <is>
          <t>ไทยนครพัฒนา</t>
        </is>
      </c>
      <c r="C1262" s="26" t="n">
        <v>21453.5</v>
      </c>
      <c r="D1262" s="20" t="inlineStr">
        <is>
          <t>INV24110947</t>
        </is>
      </c>
      <c r="E1262" s="19" t="inlineStr">
        <is>
          <t>โอน 10/2/68</t>
        </is>
      </c>
      <c r="F1262" s="19" t="inlineStr">
        <is>
          <t>ลงคอมพ์แล้ว</t>
        </is>
      </c>
    </row>
    <row r="1263">
      <c r="A1263" s="157" t="n">
        <v>24797</v>
      </c>
      <c r="B1263" s="19" t="inlineStr">
        <is>
          <t>ทาเลนท์อินเตอร์เทรด</t>
        </is>
      </c>
      <c r="C1263" s="26" t="n">
        <v>5906.4</v>
      </c>
      <c r="D1263" s="20" t="inlineStr">
        <is>
          <t>IV2244487</t>
        </is>
      </c>
      <c r="E1263" s="19" t="inlineStr">
        <is>
          <t>โอน 10/2/68</t>
        </is>
      </c>
      <c r="F1263" s="19" t="inlineStr">
        <is>
          <t>ลงคอมพ์แล้ว</t>
        </is>
      </c>
    </row>
    <row r="1264">
      <c r="A1264" s="157" t="n">
        <v>24796</v>
      </c>
      <c r="B1264" s="19" t="inlineStr">
        <is>
          <t>ห้างหุ้นส่วนจำกัด พี.บี. เพ้นต์</t>
        </is>
      </c>
      <c r="C1264" s="26" t="n">
        <v>50290</v>
      </c>
      <c r="D1264" s="20" t="inlineStr">
        <is>
          <t>67/666</t>
        </is>
      </c>
      <c r="E1264" s="26" t="inlineStr">
        <is>
          <t>โอน 10/2/68</t>
        </is>
      </c>
      <c r="F1264" s="19" t="inlineStr">
        <is>
          <t>ลงคอมพ์แล้ว</t>
        </is>
      </c>
    </row>
    <row r="1266">
      <c r="B1266" s="22" t="inlineStr">
        <is>
          <t>ต้นทุนอะไหล่</t>
        </is>
      </c>
    </row>
    <row r="1267">
      <c r="B1267" s="19" t="inlineStr">
        <is>
          <t>ร้านโสภา</t>
        </is>
      </c>
      <c r="C1267" s="26" t="n">
        <v>3420</v>
      </c>
      <c r="E1267" s="19" t="inlineStr">
        <is>
          <t>โอน 5/12/67</t>
        </is>
      </c>
    </row>
    <row r="1268">
      <c r="B1268" s="19" t="inlineStr">
        <is>
          <t>ร้านเจ๊แอน</t>
        </is>
      </c>
      <c r="C1268" s="26" t="n">
        <v>21930</v>
      </c>
      <c r="E1268" s="19" t="inlineStr">
        <is>
          <t>โอน 5/12/67</t>
        </is>
      </c>
    </row>
    <row r="1269">
      <c r="B1269" s="19" t="inlineStr">
        <is>
          <t>ร้านจิตต์ อะไหล่ Due 1 - 30/11/2567</t>
        </is>
      </c>
      <c r="C1269" s="26" t="n">
        <v>215019.35</v>
      </c>
      <c r="E1269" s="19" t="inlineStr">
        <is>
          <t>โอน 31/12/67</t>
        </is>
      </c>
    </row>
    <row r="1270">
      <c r="B1270" s="19" t="inlineStr">
        <is>
          <t>ร้านศรีสยาม อะไหล่ Due 1 - 30/11/2567</t>
        </is>
      </c>
      <c r="C1270" s="26" t="n">
        <v>309522.52</v>
      </c>
      <c r="E1270" s="19" t="inlineStr">
        <is>
          <t>โอน 31/12/67</t>
        </is>
      </c>
    </row>
    <row r="1272" customFormat="1" s="28">
      <c r="A1272" s="102" t="inlineStr">
        <is>
          <t>รายการซื้อสินค้าเข้า ประจำเดือน 12/2567</t>
        </is>
      </c>
      <c r="B1272" s="158" t="n"/>
      <c r="C1272" s="158" t="n"/>
      <c r="D1272" s="158" t="n"/>
      <c r="E1272" s="158" t="n"/>
      <c r="F1272" s="27" t="n"/>
      <c r="G1272" s="27" t="n"/>
      <c r="H1272" s="27" t="n"/>
      <c r="I1272" s="27" t="n"/>
      <c r="J1272" s="27" t="n"/>
    </row>
    <row r="1273" customFormat="1" s="20">
      <c r="A1273" s="159" t="inlineStr">
        <is>
          <t>ว/ด/ป</t>
        </is>
      </c>
      <c r="B1273" s="21" t="inlineStr">
        <is>
          <t>ชื่อร้านค้า</t>
        </is>
      </c>
      <c r="C1273" s="25" t="inlineStr">
        <is>
          <t>ยอดรวม</t>
        </is>
      </c>
      <c r="D1273" s="21" t="inlineStr">
        <is>
          <t>เลขที่บิล</t>
        </is>
      </c>
      <c r="E1273" s="21" t="inlineStr">
        <is>
          <t>หมายเหตุ</t>
        </is>
      </c>
    </row>
    <row r="1274">
      <c r="B1274" s="22" t="inlineStr">
        <is>
          <t>ต้นทุนสี</t>
        </is>
      </c>
    </row>
    <row r="1275">
      <c r="A1275" s="157" t="n">
        <v>24819</v>
      </c>
      <c r="B1275" s="19" t="inlineStr">
        <is>
          <t>ห้างหุ้นส่วนจำกัด พี.บี. เพ้นต์</t>
        </is>
      </c>
      <c r="C1275" s="26" t="n">
        <v>50290</v>
      </c>
      <c r="D1275" s="20" t="inlineStr">
        <is>
          <t>67/720</t>
        </is>
      </c>
      <c r="E1275" s="19" t="inlineStr">
        <is>
          <t>โอน 4/3/68</t>
        </is>
      </c>
      <c r="F1275" s="19" t="inlineStr">
        <is>
          <t>ลงคอมพ์แล้ว</t>
        </is>
      </c>
    </row>
    <row r="1276">
      <c r="A1276" s="157" t="n">
        <v>24809</v>
      </c>
      <c r="B1276" s="19" t="inlineStr">
        <is>
          <t>ทาเลนท์อินเตอร์เทรด</t>
        </is>
      </c>
      <c r="C1276" s="26" t="n">
        <v>11000</v>
      </c>
      <c r="D1276" s="20" t="inlineStr">
        <is>
          <t>IV2245144</t>
        </is>
      </c>
      <c r="E1276" s="19" t="inlineStr">
        <is>
          <t>โอน 4/3/68</t>
        </is>
      </c>
      <c r="F1276" s="19" t="inlineStr">
        <is>
          <t>ลงคอมพ์แล้ว</t>
        </is>
      </c>
    </row>
    <row r="1277">
      <c r="A1277" s="157" t="n">
        <v>24810</v>
      </c>
      <c r="B1277" s="19" t="inlineStr">
        <is>
          <t>ทาเลนท์อินเตอร์เทรด</t>
        </is>
      </c>
      <c r="C1277" s="26" t="n">
        <v>269.64</v>
      </c>
      <c r="D1277" s="20" t="inlineStr">
        <is>
          <t>IV2245245</t>
        </is>
      </c>
      <c r="E1277" s="19" t="inlineStr">
        <is>
          <t>โอน 4/3/68</t>
        </is>
      </c>
      <c r="F1277" s="19" t="inlineStr">
        <is>
          <t>ลงคอมพ์แล้ว</t>
        </is>
      </c>
    </row>
    <row r="1278">
      <c r="A1278" s="157" t="n">
        <v>24818</v>
      </c>
      <c r="B1278" s="19" t="inlineStr">
        <is>
          <t>บจก. วีที คัลเลอร์ โปร</t>
        </is>
      </c>
      <c r="C1278" s="26" t="n">
        <v>9416</v>
      </c>
      <c r="D1278" s="20" t="inlineStr">
        <is>
          <t>IV6712064</t>
        </is>
      </c>
      <c r="E1278" s="19" t="inlineStr">
        <is>
          <t>โอน 4/3/68</t>
        </is>
      </c>
      <c r="F1278" s="19" t="inlineStr">
        <is>
          <t>ลงคอมพ์แล้ว</t>
        </is>
      </c>
    </row>
    <row r="1279">
      <c r="A1279" s="157" t="n">
        <v>24824</v>
      </c>
      <c r="B1279" s="19" t="inlineStr">
        <is>
          <t>บจก. วีที คัลเลอร์ โปร</t>
        </is>
      </c>
      <c r="C1279" s="26" t="n">
        <v>190064.1</v>
      </c>
      <c r="D1279" s="20" t="inlineStr">
        <is>
          <t>IV6712085</t>
        </is>
      </c>
      <c r="E1279" s="19" t="inlineStr">
        <is>
          <t>โอน 4/3/68</t>
        </is>
      </c>
      <c r="F1279" s="19" t="inlineStr">
        <is>
          <t>ลงคอมพ์แล้ว</t>
        </is>
      </c>
    </row>
    <row r="1281">
      <c r="B1281" s="22" t="inlineStr">
        <is>
          <t>ต้นทุนอะไหล่</t>
        </is>
      </c>
    </row>
    <row r="1282">
      <c r="B1282" s="19" t="inlineStr">
        <is>
          <t>ร้านโสภา</t>
        </is>
      </c>
      <c r="C1282" s="26" t="n">
        <v>9910</v>
      </c>
      <c r="E1282" s="19" t="inlineStr">
        <is>
          <t>โอน 31/12/67</t>
        </is>
      </c>
    </row>
    <row r="1283">
      <c r="B1283" s="19" t="inlineStr">
        <is>
          <t>ร้านเจ๊แอน</t>
        </is>
      </c>
      <c r="C1283" s="26" t="n">
        <v>53100</v>
      </c>
      <c r="E1283" s="19" t="inlineStr">
        <is>
          <t>โอน 4/1/68</t>
        </is>
      </c>
    </row>
    <row r="1284">
      <c r="B1284" s="19" t="inlineStr">
        <is>
          <t>ร้านจิตต์ อะไหล่ Due 1 - 31/12/2567</t>
        </is>
      </c>
      <c r="C1284" s="26" t="n">
        <v>176629.92</v>
      </c>
      <c r="E1284" s="19" t="inlineStr">
        <is>
          <t>โอน 10/2/68</t>
        </is>
      </c>
    </row>
    <row r="1285">
      <c r="B1285" s="19" t="inlineStr">
        <is>
          <t>ร้านศรีสยาม อะไหล่ Due 1 - 31/12/2567</t>
        </is>
      </c>
      <c r="C1285" s="26" t="n">
        <v>283444.35</v>
      </c>
      <c r="E1285" s="19" t="inlineStr">
        <is>
          <t>โอน 10/2/68</t>
        </is>
      </c>
    </row>
    <row r="1288" customFormat="1" s="28">
      <c r="A1288" s="102" t="inlineStr">
        <is>
          <t>รายการซื้อสินค้าเข้า ประจำเดือน 1/2568</t>
        </is>
      </c>
      <c r="B1288" s="158" t="n"/>
      <c r="C1288" s="158" t="n"/>
      <c r="D1288" s="158" t="n"/>
      <c r="E1288" s="158" t="n"/>
      <c r="F1288" s="27" t="n"/>
      <c r="G1288" s="27" t="n"/>
      <c r="H1288" s="27" t="n"/>
      <c r="I1288" s="27" t="n"/>
      <c r="J1288" s="27" t="n"/>
    </row>
    <row r="1289" customFormat="1" s="20">
      <c r="A1289" s="159" t="inlineStr">
        <is>
          <t>ว/ด/ป</t>
        </is>
      </c>
      <c r="B1289" s="21" t="inlineStr">
        <is>
          <t>ชื่อร้านค้า</t>
        </is>
      </c>
      <c r="C1289" s="25" t="inlineStr">
        <is>
          <t>ยอดรวม</t>
        </is>
      </c>
      <c r="D1289" s="21" t="inlineStr">
        <is>
          <t>เลขที่บิล</t>
        </is>
      </c>
      <c r="E1289" s="21" t="inlineStr">
        <is>
          <t>หมายเหตุ</t>
        </is>
      </c>
    </row>
    <row r="1290">
      <c r="B1290" s="22" t="inlineStr">
        <is>
          <t>ต้นทุนสี</t>
        </is>
      </c>
    </row>
    <row r="1291">
      <c r="B1291" s="19" t="inlineStr">
        <is>
          <t xml:space="preserve">พีซี แมชชีนเนอรี่ แอนด์ ทูลส์ </t>
        </is>
      </c>
      <c r="C1291" s="26" t="n">
        <v>35096</v>
      </c>
      <c r="D1291" s="20" t="inlineStr">
        <is>
          <t>PC68001Q01</t>
        </is>
      </c>
      <c r="E1291" s="19" t="inlineStr">
        <is>
          <t>โอน 4/1/68</t>
        </is>
      </c>
      <c r="F1291" s="19" t="inlineStr">
        <is>
          <t>ลงคอมพ์แล้ว</t>
        </is>
      </c>
    </row>
    <row r="1292">
      <c r="A1292" s="157" t="n">
        <v>24845</v>
      </c>
      <c r="B1292" s="19" t="inlineStr">
        <is>
          <t>ทาเลนท์อินเตอร์เทรด</t>
        </is>
      </c>
      <c r="C1292" s="26" t="n">
        <v>2033</v>
      </c>
      <c r="D1292" s="20" t="inlineStr">
        <is>
          <t>IV6800413</t>
        </is>
      </c>
      <c r="E1292" s="19" t="inlineStr">
        <is>
          <t>โอน 6/4/68</t>
        </is>
      </c>
      <c r="F1292" s="19" t="inlineStr">
        <is>
          <t>ลงคอมพ์แล้ว</t>
        </is>
      </c>
    </row>
    <row r="1293">
      <c r="A1293" s="157" t="n">
        <v>24846</v>
      </c>
      <c r="B1293" s="19" t="inlineStr">
        <is>
          <t>ทาเลนท์อินเตอร์เทรด</t>
        </is>
      </c>
      <c r="C1293" s="26" t="n">
        <v>7318.8</v>
      </c>
      <c r="D1293" s="20" t="inlineStr">
        <is>
          <t>IV6800504</t>
        </is>
      </c>
      <c r="E1293" s="19" t="inlineStr">
        <is>
          <t>โอน 6/4/68</t>
        </is>
      </c>
      <c r="F1293" s="19" t="inlineStr">
        <is>
          <t>ลงคอมพ์แล้ว</t>
        </is>
      </c>
    </row>
    <row r="1294">
      <c r="A1294" s="157" t="n">
        <v>24858</v>
      </c>
      <c r="B1294" s="19" t="inlineStr">
        <is>
          <t>ทาเลนท์อินเตอร์เทรด</t>
        </is>
      </c>
      <c r="C1294" s="26" t="n">
        <v>11000</v>
      </c>
      <c r="D1294" s="20" t="inlineStr">
        <is>
          <t>IV6801256</t>
        </is>
      </c>
      <c r="E1294" s="19" t="inlineStr">
        <is>
          <t>โอน 6/4/68</t>
        </is>
      </c>
      <c r="F1294" s="19" t="inlineStr">
        <is>
          <t>ลงคอมพ์แล้ว</t>
        </is>
      </c>
    </row>
    <row r="1295">
      <c r="A1295" s="157" t="n">
        <v>24846</v>
      </c>
      <c r="B1295" s="19" t="inlineStr">
        <is>
          <t>ไทยนครพัฒนา</t>
        </is>
      </c>
      <c r="C1295" s="26" t="n">
        <v>21453.5</v>
      </c>
      <c r="D1295" s="20" t="inlineStr">
        <is>
          <t>INV25010305</t>
        </is>
      </c>
      <c r="E1295" s="19" t="inlineStr">
        <is>
          <t>โอน 6/4/68</t>
        </is>
      </c>
      <c r="F1295" s="19" t="inlineStr">
        <is>
          <t>ลงคอมพ์แล้ว</t>
        </is>
      </c>
    </row>
    <row r="1296">
      <c r="A1296" s="157" t="n">
        <v>24846</v>
      </c>
      <c r="B1296" s="19" t="inlineStr">
        <is>
          <t xml:space="preserve">ออโต้เทรด มาร์เก็ตติ้ง </t>
        </is>
      </c>
      <c r="C1296" s="26" t="n">
        <v>36166</v>
      </c>
      <c r="D1296" s="20" t="inlineStr">
        <is>
          <t>IV1459290</t>
        </is>
      </c>
      <c r="E1296" s="19" t="inlineStr">
        <is>
          <t>โอน 11/3/68</t>
        </is>
      </c>
      <c r="F1296" s="19" t="inlineStr">
        <is>
          <t>ลงคอมพ์แล้ว</t>
        </is>
      </c>
      <c r="I1296" s="26" t="n"/>
    </row>
    <row r="1297">
      <c r="A1297" s="157" t="n">
        <v>24860</v>
      </c>
      <c r="B1297" s="19" t="inlineStr">
        <is>
          <t>บจก. วีที คัลเลอร์ โปร</t>
        </is>
      </c>
      <c r="C1297" s="26" t="n">
        <v>180295</v>
      </c>
      <c r="D1297" s="20" t="inlineStr">
        <is>
          <t>IV6801106</t>
        </is>
      </c>
      <c r="E1297" s="19" t="inlineStr">
        <is>
          <t>โอน 6/4/68</t>
        </is>
      </c>
      <c r="F1297" s="19" t="inlineStr">
        <is>
          <t>ลงคอมพ์แล้ว</t>
        </is>
      </c>
    </row>
    <row r="1298">
      <c r="A1298" s="157" t="n">
        <v>24860</v>
      </c>
      <c r="B1298" s="19" t="inlineStr">
        <is>
          <t>บจก. วีที คัลเลอร์ โปร</t>
        </is>
      </c>
      <c r="C1298" s="26" t="n">
        <v>10272</v>
      </c>
      <c r="D1298" s="20" t="inlineStr">
        <is>
          <t>IV6801121</t>
        </is>
      </c>
      <c r="E1298" s="19" t="inlineStr">
        <is>
          <t>โอน 6/4/68</t>
        </is>
      </c>
      <c r="F1298" s="19" t="inlineStr">
        <is>
          <t>ลงคอมพ์แล้ว</t>
        </is>
      </c>
    </row>
    <row r="1300">
      <c r="B1300" s="22" t="inlineStr">
        <is>
          <t>ต้นทุนอะไหล่</t>
        </is>
      </c>
    </row>
    <row r="1301">
      <c r="B1301" s="19" t="inlineStr">
        <is>
          <t>ร้านเจ๊แอน</t>
        </is>
      </c>
      <c r="C1301" s="26" t="n">
        <v>32780</v>
      </c>
      <c r="E1301" s="19" t="inlineStr">
        <is>
          <t>โอน 3/2/68</t>
        </is>
      </c>
    </row>
    <row r="1302">
      <c r="B1302" s="19" t="inlineStr">
        <is>
          <t>ร้านจิตต์ อะไหล่ Due 1 - 31/1/2568</t>
        </is>
      </c>
      <c r="C1302" s="26" t="n">
        <v>269682.06</v>
      </c>
      <c r="E1302" s="19" t="inlineStr">
        <is>
          <t>โอน 4/3/68</t>
        </is>
      </c>
    </row>
    <row r="1303">
      <c r="B1303" s="19" t="inlineStr">
        <is>
          <t>ร้านศรีสยาม อะไหล่ Due 1 - 31/1/2568</t>
        </is>
      </c>
      <c r="C1303" s="26" t="n">
        <v>205660.81</v>
      </c>
      <c r="E1303" s="19" t="inlineStr">
        <is>
          <t>โอน 4/3/68</t>
        </is>
      </c>
    </row>
    <row r="1304">
      <c r="B1304" s="19" t="inlineStr">
        <is>
          <t>ร้านโสภา</t>
        </is>
      </c>
      <c r="C1304" s="26" t="n">
        <v>1400</v>
      </c>
      <c r="E1304" s="19" t="inlineStr">
        <is>
          <t>โอน 19/5/68</t>
        </is>
      </c>
    </row>
    <row r="1307" customFormat="1" s="28">
      <c r="A1307" s="102" t="inlineStr">
        <is>
          <t>รายการซื้อสินค้าเข้า ประจำเดือน 2/2568</t>
        </is>
      </c>
      <c r="B1307" s="158" t="n"/>
      <c r="C1307" s="158" t="n"/>
      <c r="D1307" s="158" t="n"/>
      <c r="E1307" s="158" t="n"/>
      <c r="F1307" s="27" t="n"/>
      <c r="G1307" s="27" t="n"/>
      <c r="H1307" s="27" t="n"/>
      <c r="I1307" s="27" t="n"/>
      <c r="J1307" s="27" t="n"/>
    </row>
    <row r="1308" customFormat="1" s="20">
      <c r="A1308" s="159" t="inlineStr">
        <is>
          <t>ว/ด/ป</t>
        </is>
      </c>
      <c r="B1308" s="21" t="inlineStr">
        <is>
          <t>ชื่อร้านค้า</t>
        </is>
      </c>
      <c r="C1308" s="25" t="inlineStr">
        <is>
          <t>ยอดรวม</t>
        </is>
      </c>
      <c r="D1308" s="21" t="inlineStr">
        <is>
          <t>เลขที่บิล</t>
        </is>
      </c>
      <c r="E1308" s="21" t="inlineStr">
        <is>
          <t>หมายเหตุ</t>
        </is>
      </c>
    </row>
    <row r="1309">
      <c r="B1309" s="22" t="inlineStr">
        <is>
          <t>ต้นทุนสี</t>
        </is>
      </c>
    </row>
    <row r="1310">
      <c r="A1310" s="157" t="n">
        <v>24871</v>
      </c>
      <c r="B1310" s="19" t="inlineStr">
        <is>
          <t>ทาเลนท์อินเตอร์เทรด</t>
        </is>
      </c>
      <c r="C1310" s="26" t="n">
        <v>770.4</v>
      </c>
      <c r="D1310" s="20" t="inlineStr">
        <is>
          <t>IV6801896</t>
        </is>
      </c>
      <c r="E1310" s="19" t="inlineStr">
        <is>
          <t>โอน 22/5/68</t>
        </is>
      </c>
      <c r="F1310" s="19" t="inlineStr">
        <is>
          <t>ลงคอมพ์แล้ว</t>
        </is>
      </c>
    </row>
    <row r="1311">
      <c r="A1311" s="157" t="n">
        <v>24872</v>
      </c>
      <c r="B1311" s="19" t="inlineStr">
        <is>
          <t>ทาเลนท์อินเตอร์เทรด</t>
        </is>
      </c>
      <c r="C1311" s="26" t="n">
        <v>5014.02</v>
      </c>
      <c r="D1311" s="20" t="inlineStr">
        <is>
          <t>IV6801996</t>
        </is>
      </c>
      <c r="E1311" s="19" t="inlineStr">
        <is>
          <t>โอน 22/5/68</t>
        </is>
      </c>
      <c r="F1311" s="19" t="inlineStr">
        <is>
          <t>ลงคอมพ์แล้ว</t>
        </is>
      </c>
    </row>
    <row r="1312">
      <c r="A1312" s="157" t="n">
        <v>24886</v>
      </c>
      <c r="B1312" s="19" t="inlineStr">
        <is>
          <t>บจก. วีที คัลเลอร์ โปร</t>
        </is>
      </c>
      <c r="C1312" s="26" t="n">
        <v>47561.5</v>
      </c>
      <c r="D1312" s="20" t="inlineStr">
        <is>
          <t>IV6802112</t>
        </is>
      </c>
      <c r="E1312" s="19" t="inlineStr">
        <is>
          <t>โอน 22/5/68</t>
        </is>
      </c>
      <c r="F1312" s="19" t="inlineStr">
        <is>
          <t>ลงคอมพ์แล้ว</t>
        </is>
      </c>
    </row>
    <row r="1313">
      <c r="A1313" s="157" t="n">
        <v>24889</v>
      </c>
      <c r="B1313" s="19" t="inlineStr">
        <is>
          <t>บจก. วีที คัลเลอร์ โปร</t>
        </is>
      </c>
      <c r="C1313" s="26" t="n">
        <v>10272</v>
      </c>
      <c r="D1313" s="20" t="inlineStr">
        <is>
          <t>IV6802127</t>
        </is>
      </c>
      <c r="E1313" s="19" t="inlineStr">
        <is>
          <t>โอน 22/5/68</t>
        </is>
      </c>
      <c r="F1313" s="19" t="inlineStr">
        <is>
          <t>ลงคอมพ์แล้ว</t>
        </is>
      </c>
    </row>
    <row r="1314">
      <c r="A1314" s="157" t="n">
        <v>24892</v>
      </c>
      <c r="B1314" s="19" t="inlineStr">
        <is>
          <t>บจก. วีที คัลเลอร์ โปร</t>
        </is>
      </c>
      <c r="C1314" s="26" t="n">
        <v>50343.5</v>
      </c>
      <c r="D1314" s="20" t="inlineStr">
        <is>
          <t>IV6802144</t>
        </is>
      </c>
      <c r="E1314" s="19" t="inlineStr">
        <is>
          <t>โอน 22/5/68</t>
        </is>
      </c>
      <c r="F1314" s="19" t="inlineStr">
        <is>
          <t>ลงคอมพ์แล้ว</t>
        </is>
      </c>
    </row>
    <row r="1315">
      <c r="A1315" s="157" t="n">
        <v>24892</v>
      </c>
      <c r="B1315" s="19" t="inlineStr">
        <is>
          <t>บจก. วีที คัลเลอร์ โปร</t>
        </is>
      </c>
      <c r="C1315" s="26" t="n">
        <v>121594.8</v>
      </c>
      <c r="D1315" s="20" t="inlineStr">
        <is>
          <t>IV6802145</t>
        </is>
      </c>
      <c r="E1315" s="19" t="inlineStr">
        <is>
          <t>โอน 22/5/68</t>
        </is>
      </c>
      <c r="F1315" s="19" t="inlineStr">
        <is>
          <t>ลงคอมพ์แล้ว</t>
        </is>
      </c>
      <c r="H1315" s="26" t="n"/>
    </row>
    <row r="1316">
      <c r="A1316" s="157" t="n">
        <v>24893</v>
      </c>
      <c r="B1316" s="19" t="inlineStr">
        <is>
          <t>บจก. วีที คัลเลอร์ โปร</t>
        </is>
      </c>
      <c r="C1316" s="26" t="n">
        <v>1540.8</v>
      </c>
      <c r="D1316" s="20" t="inlineStr">
        <is>
          <t>IV6802153</t>
        </is>
      </c>
      <c r="E1316" s="19" t="inlineStr">
        <is>
          <t>โอน 22/5/68</t>
        </is>
      </c>
      <c r="F1316" s="19" t="inlineStr">
        <is>
          <t>ลงคอมพ์แล้ว</t>
        </is>
      </c>
    </row>
    <row r="1317">
      <c r="A1317" s="157" t="n">
        <v>24881</v>
      </c>
      <c r="B1317" s="19" t="inlineStr">
        <is>
          <t>ห้างหุ้นส่วนจำกัด พี.บี. เพ้นต์</t>
        </is>
      </c>
      <c r="C1317" s="26" t="n">
        <v>51360</v>
      </c>
      <c r="D1317" s="20" t="inlineStr">
        <is>
          <t>PB2025020017</t>
        </is>
      </c>
      <c r="E1317" s="19" t="inlineStr">
        <is>
          <t>โอน 6/4/68</t>
        </is>
      </c>
      <c r="F1317" s="19" t="inlineStr">
        <is>
          <t>ลงคอมพ์แล้ว</t>
        </is>
      </c>
    </row>
    <row r="1318">
      <c r="A1318" s="157" t="n">
        <v>24888</v>
      </c>
      <c r="B1318" s="19" t="inlineStr">
        <is>
          <t>ไทยนครพัฒนา</t>
        </is>
      </c>
      <c r="C1318" s="26" t="n">
        <v>21667.5</v>
      </c>
      <c r="D1318" s="20" t="inlineStr">
        <is>
          <t>INV25020938</t>
        </is>
      </c>
      <c r="E1318" s="19" t="inlineStr">
        <is>
          <t>โอน 1/7/68</t>
        </is>
      </c>
      <c r="F1318" s="19" t="inlineStr">
        <is>
          <t>ลงคอมพ์แล้ว</t>
        </is>
      </c>
    </row>
    <row r="1321">
      <c r="B1321" s="22" t="inlineStr">
        <is>
          <t>ต้นทุนอะไหล่</t>
        </is>
      </c>
    </row>
    <row r="1322">
      <c r="B1322" s="19" t="inlineStr">
        <is>
          <t>ร้านเจ๊แอน</t>
        </is>
      </c>
      <c r="C1322" s="26" t="n">
        <v>29150</v>
      </c>
      <c r="E1322" s="19" t="inlineStr">
        <is>
          <t>โอน 4/3/68</t>
        </is>
      </c>
    </row>
    <row r="1323">
      <c r="B1323" s="19" t="inlineStr">
        <is>
          <t>ร้านจิตต์ อะไหล่ Due 1 - 28/2/2568</t>
        </is>
      </c>
      <c r="C1323" s="26" t="n">
        <v>312074.14</v>
      </c>
      <c r="E1323" s="19" t="inlineStr">
        <is>
          <t>โอน 6/4/68</t>
        </is>
      </c>
    </row>
    <row r="1324">
      <c r="B1324" s="19" t="inlineStr">
        <is>
          <t>ร้านศรีสยาม อะไหล่ Due 1 - 28/2/2568</t>
        </is>
      </c>
      <c r="C1324" s="26" t="n">
        <v>136290.74</v>
      </c>
      <c r="E1324" s="19" t="inlineStr">
        <is>
          <t>โอน 6/4/68</t>
        </is>
      </c>
    </row>
    <row r="1325">
      <c r="A1325" s="157" t="n">
        <v>24876</v>
      </c>
      <c r="B1325" s="19" t="inlineStr">
        <is>
          <t>ค่ากิ๊บน๊อต / ร้าน 55 กิ๊บน๊อต</t>
        </is>
      </c>
      <c r="C1325" s="26" t="n">
        <v>7000</v>
      </c>
      <c r="E1325" s="19" t="inlineStr">
        <is>
          <t>โอน 10/2/68</t>
        </is>
      </c>
      <c r="F1325" s="19" t="inlineStr">
        <is>
          <t>ลงคอมพ์แล้ว</t>
        </is>
      </c>
    </row>
    <row r="1326">
      <c r="A1326" s="157" t="n">
        <v>24896</v>
      </c>
      <c r="B1326" s="19" t="inlineStr">
        <is>
          <t xml:space="preserve">กิ๊บน๊อต / ร้านต้นคิด   </t>
        </is>
      </c>
      <c r="C1326" s="26" t="n">
        <v>4291</v>
      </c>
      <c r="E1326" s="19" t="inlineStr">
        <is>
          <t>โอน 29/7/68</t>
        </is>
      </c>
      <c r="F1326" s="19" t="inlineStr">
        <is>
          <t>ลงคอมพ์แล้ว</t>
        </is>
      </c>
    </row>
    <row r="1327">
      <c r="B1327" s="19" t="inlineStr">
        <is>
          <t>ร้านโสภา</t>
        </is>
      </c>
      <c r="C1327" s="26" t="n">
        <v>5100</v>
      </c>
      <c r="E1327" s="19" t="inlineStr">
        <is>
          <t>โอน 19/5/68</t>
        </is>
      </c>
    </row>
    <row r="1330" customFormat="1" s="28">
      <c r="A1330" s="102" t="inlineStr">
        <is>
          <t>รายการซื้อสินค้าเข้า ประจำเดือน 3/2568</t>
        </is>
      </c>
      <c r="B1330" s="158" t="n"/>
      <c r="C1330" s="158" t="n"/>
      <c r="D1330" s="158" t="n"/>
      <c r="E1330" s="158" t="n"/>
      <c r="F1330" s="27" t="n"/>
      <c r="G1330" s="27" t="n"/>
      <c r="H1330" s="27" t="n"/>
      <c r="I1330" s="27" t="n"/>
      <c r="J1330" s="27" t="n"/>
    </row>
    <row r="1331" customFormat="1" s="20">
      <c r="A1331" s="159" t="inlineStr">
        <is>
          <t>ว/ด/ป</t>
        </is>
      </c>
      <c r="B1331" s="21" t="inlineStr">
        <is>
          <t>ชื่อร้านค้า</t>
        </is>
      </c>
      <c r="C1331" s="25" t="inlineStr">
        <is>
          <t>ยอดรวม</t>
        </is>
      </c>
      <c r="D1331" s="21" t="inlineStr">
        <is>
          <t>เลขที่บิล</t>
        </is>
      </c>
      <c r="E1331" s="21" t="inlineStr">
        <is>
          <t>หมายเหตุ</t>
        </is>
      </c>
    </row>
    <row r="1332">
      <c r="B1332" s="22" t="inlineStr">
        <is>
          <t>ต้นทุนสี</t>
        </is>
      </c>
    </row>
    <row r="1333">
      <c r="A1333" s="157" t="n">
        <v>24911</v>
      </c>
      <c r="B1333" s="19" t="inlineStr">
        <is>
          <t>ทาเลนท์อินเตอร์เทรด</t>
        </is>
      </c>
      <c r="C1333" s="26" t="n">
        <v>11000</v>
      </c>
      <c r="D1333" s="20" t="inlineStr">
        <is>
          <t>IV6804438</t>
        </is>
      </c>
      <c r="E1333" s="19" t="inlineStr">
        <is>
          <t>โอน 26/6/68</t>
        </is>
      </c>
      <c r="F1333" s="19" t="inlineStr">
        <is>
          <t>ลงคอมพ์แล้ว</t>
        </is>
      </c>
    </row>
    <row r="1334">
      <c r="A1334" s="157" t="n">
        <v>24922</v>
      </c>
      <c r="B1334" s="19" t="inlineStr">
        <is>
          <t>ห้างหุ้นส่วนจำกัด พี.บี. เพ้นต์</t>
        </is>
      </c>
      <c r="C1334" s="26" t="n">
        <v>50290</v>
      </c>
      <c r="D1334" s="20" t="inlineStr">
        <is>
          <t>BL2025030024</t>
        </is>
      </c>
      <c r="E1334" s="19" t="inlineStr">
        <is>
          <t>โอน 27/5/68</t>
        </is>
      </c>
      <c r="F1334" s="19" t="inlineStr">
        <is>
          <t>ลงคอมพ์แล้ว</t>
        </is>
      </c>
    </row>
    <row r="1335">
      <c r="A1335" s="157" t="n">
        <v>24916</v>
      </c>
      <c r="B1335" s="19" t="inlineStr">
        <is>
          <t xml:space="preserve">ออโต้เทรด มาร์เก็ตติ้ง </t>
        </is>
      </c>
      <c r="C1335" s="26" t="n">
        <v>2311.2</v>
      </c>
      <c r="D1335" s="20" t="inlineStr">
        <is>
          <t>IV1462679</t>
        </is>
      </c>
      <c r="E1335" s="19" t="inlineStr">
        <is>
          <t>โอน 6/4/68</t>
        </is>
      </c>
      <c r="F1335" s="19" t="inlineStr">
        <is>
          <t>ลงคอมพ์แล้ว</t>
        </is>
      </c>
      <c r="H1335" s="26" t="n"/>
    </row>
    <row r="1336">
      <c r="A1336" s="157" t="n">
        <v>24910</v>
      </c>
      <c r="B1336" s="19" t="inlineStr">
        <is>
          <t>บจก. วีที คัลเลอร์ โปร</t>
        </is>
      </c>
      <c r="C1336" s="26" t="n">
        <v>1284</v>
      </c>
      <c r="D1336" s="20" t="inlineStr">
        <is>
          <t>IV6803094</t>
        </is>
      </c>
      <c r="E1336" s="19" t="inlineStr">
        <is>
          <t>โอน 9/6/68</t>
        </is>
      </c>
      <c r="F1336" s="19" t="inlineStr">
        <is>
          <t>ลงคอมพ์แล้ว</t>
        </is>
      </c>
    </row>
    <row r="1337">
      <c r="A1337" s="157" t="n">
        <v>24921</v>
      </c>
      <c r="B1337" s="19" t="inlineStr">
        <is>
          <t>บจก. วีที คัลเลอร์ โปร</t>
        </is>
      </c>
      <c r="C1337" s="26" t="n">
        <v>5136</v>
      </c>
      <c r="D1337" s="20" t="inlineStr">
        <is>
          <t>IV6803162</t>
        </is>
      </c>
      <c r="E1337" s="19" t="inlineStr">
        <is>
          <t>โอน 9/6/68</t>
        </is>
      </c>
      <c r="F1337" s="19" t="inlineStr">
        <is>
          <t>ลงคอมพ์แล้ว</t>
        </is>
      </c>
    </row>
    <row r="1338">
      <c r="A1338" s="157" t="n">
        <v>24923</v>
      </c>
      <c r="B1338" s="19" t="inlineStr">
        <is>
          <t>บจก. วีที คัลเลอร์ โปร</t>
        </is>
      </c>
      <c r="C1338" s="26" t="n">
        <v>99242.5</v>
      </c>
      <c r="D1338" s="20" t="inlineStr">
        <is>
          <t>IV6803171</t>
        </is>
      </c>
      <c r="E1338" s="19" t="inlineStr">
        <is>
          <t>โอน 9/6/68</t>
        </is>
      </c>
      <c r="F1338" s="19" t="inlineStr">
        <is>
          <t>ลงคอมพ์แล้ว</t>
        </is>
      </c>
    </row>
    <row r="1339">
      <c r="A1339" s="157" t="n">
        <v>24923</v>
      </c>
      <c r="B1339" s="19" t="inlineStr">
        <is>
          <t>บจก. วีที คัลเลอร์ โปร</t>
        </is>
      </c>
      <c r="C1339" s="26" t="n">
        <v>139185.6</v>
      </c>
      <c r="D1339" s="20" t="inlineStr">
        <is>
          <t>IV6803172</t>
        </is>
      </c>
      <c r="E1339" s="19" t="inlineStr">
        <is>
          <t>โอน 9/6/68</t>
        </is>
      </c>
      <c r="F1339" s="19" t="inlineStr">
        <is>
          <t>ลงคอมพ์แล้ว</t>
        </is>
      </c>
    </row>
    <row r="1342">
      <c r="B1342" s="22" t="inlineStr">
        <is>
          <t>ต้นทุนอะไหล่</t>
        </is>
      </c>
    </row>
    <row r="1343">
      <c r="B1343" s="19" t="inlineStr">
        <is>
          <t>ร้านเจ๊แอน</t>
        </is>
      </c>
      <c r="C1343" s="26" t="n">
        <v>45780</v>
      </c>
      <c r="E1343" s="19" t="inlineStr">
        <is>
          <t>โอน 5/4/68</t>
        </is>
      </c>
    </row>
    <row r="1344">
      <c r="B1344" s="19" t="inlineStr">
        <is>
          <t>ร้านจิตต์ อะไหล่ Due 1 - 31/3/2568</t>
        </is>
      </c>
      <c r="C1344" s="26" t="n">
        <v>327068.75</v>
      </c>
      <c r="E1344" s="19" t="inlineStr">
        <is>
          <t>โอน 10/5/68</t>
        </is>
      </c>
      <c r="I1344" s="26" t="n"/>
    </row>
    <row r="1345">
      <c r="B1345" s="19" t="inlineStr">
        <is>
          <t>ร้านศรีสยาม อะไหล่ Due 1 - 31/3/2568</t>
        </is>
      </c>
      <c r="C1345" s="26" t="n">
        <v>114586.66</v>
      </c>
      <c r="E1345" s="19" t="inlineStr">
        <is>
          <t>โอน 10/5/68</t>
        </is>
      </c>
    </row>
    <row r="1346">
      <c r="B1346" s="19" t="inlineStr">
        <is>
          <t>ร้านโสภา</t>
        </is>
      </c>
      <c r="C1346" s="26" t="n">
        <v>4700</v>
      </c>
      <c r="E1346" s="19" t="inlineStr">
        <is>
          <t>โอน 19/5/68</t>
        </is>
      </c>
    </row>
    <row r="1349" customFormat="1" s="28">
      <c r="A1349" s="102" t="inlineStr">
        <is>
          <t>รายการซื้อสินค้าเข้า ประจำเดือน 4/2568</t>
        </is>
      </c>
      <c r="B1349" s="158" t="n"/>
      <c r="C1349" s="158" t="n"/>
      <c r="D1349" s="158" t="n"/>
      <c r="E1349" s="158" t="n"/>
      <c r="F1349" s="27" t="n"/>
      <c r="G1349" s="27" t="n"/>
      <c r="H1349" s="27" t="n"/>
      <c r="I1349" s="27" t="n"/>
      <c r="J1349" s="27" t="n"/>
    </row>
    <row r="1350" customFormat="1" s="20">
      <c r="A1350" s="159" t="inlineStr">
        <is>
          <t>ว/ด/ป</t>
        </is>
      </c>
      <c r="B1350" s="21" t="inlineStr">
        <is>
          <t>ชื่อร้านค้า</t>
        </is>
      </c>
      <c r="C1350" s="25" t="inlineStr">
        <is>
          <t>ยอดรวม</t>
        </is>
      </c>
      <c r="D1350" s="21" t="inlineStr">
        <is>
          <t>เลขที่บิล</t>
        </is>
      </c>
      <c r="E1350" s="21" t="inlineStr">
        <is>
          <t>หมายเหตุ</t>
        </is>
      </c>
    </row>
    <row r="1351">
      <c r="B1351" s="22" t="inlineStr">
        <is>
          <t>ต้นทุนสี</t>
        </is>
      </c>
    </row>
    <row r="1352">
      <c r="A1352" s="157" t="n">
        <v>24930</v>
      </c>
      <c r="B1352" s="19" t="inlineStr">
        <is>
          <t>ทาเลนท์อินเตอร์เทรด</t>
        </is>
      </c>
      <c r="C1352" s="26" t="n">
        <v>2953.2</v>
      </c>
      <c r="D1352" s="20" t="inlineStr">
        <is>
          <t>IV6805479</t>
        </is>
      </c>
      <c r="E1352" s="19" t="inlineStr">
        <is>
          <t>โอน 7/7/68</t>
        </is>
      </c>
      <c r="F1352" s="19" t="inlineStr">
        <is>
          <t>ลงคอมพ์แล้ว</t>
        </is>
      </c>
    </row>
    <row r="1353">
      <c r="A1353" s="157" t="n">
        <v>24930</v>
      </c>
      <c r="B1353" s="19" t="inlineStr">
        <is>
          <t>ทาเลนท์อินเตอร์เทรด</t>
        </is>
      </c>
      <c r="C1353" s="26" t="n">
        <v>1284</v>
      </c>
      <c r="D1353" s="20" t="inlineStr">
        <is>
          <t>IV6805480</t>
        </is>
      </c>
      <c r="E1353" s="19" t="inlineStr">
        <is>
          <t>โอน 7/7/68</t>
        </is>
      </c>
      <c r="F1353" s="19" t="inlineStr">
        <is>
          <t>ลงคอมพ์แล้ว</t>
        </is>
      </c>
    </row>
    <row r="1354">
      <c r="A1354" s="157" t="n">
        <v>24931</v>
      </c>
      <c r="B1354" s="19" t="inlineStr">
        <is>
          <t>ทาเลนท์อินเตอร์เทรด</t>
        </is>
      </c>
      <c r="C1354" s="26" t="n">
        <v>2953.2</v>
      </c>
      <c r="D1354" s="20" t="inlineStr">
        <is>
          <t>IV6805575</t>
        </is>
      </c>
      <c r="E1354" s="19" t="inlineStr">
        <is>
          <t>โอน 7/7/68</t>
        </is>
      </c>
      <c r="F1354" s="19" t="inlineStr">
        <is>
          <t>ลงคอมพ์แล้ว</t>
        </is>
      </c>
      <c r="H1354" s="26" t="n"/>
    </row>
    <row r="1355">
      <c r="A1355" s="157" t="n">
        <v>24936</v>
      </c>
      <c r="B1355" s="19" t="inlineStr">
        <is>
          <t>บจก. วีที คัลเลอร์ โปร</t>
        </is>
      </c>
      <c r="C1355" s="26" t="n">
        <v>7490</v>
      </c>
      <c r="D1355" s="20" t="inlineStr">
        <is>
          <t>IV6804059</t>
        </is>
      </c>
      <c r="E1355" s="19" t="inlineStr">
        <is>
          <t>โอน 7/7/68</t>
        </is>
      </c>
      <c r="F1355" s="19" t="inlineStr">
        <is>
          <t>ลงคอมพ์แล้ว</t>
        </is>
      </c>
    </row>
    <row r="1356">
      <c r="A1356" s="157" t="n">
        <v>24952</v>
      </c>
      <c r="B1356" s="19" t="inlineStr">
        <is>
          <t>บจก. วีที คัลเลอร์ โปร</t>
        </is>
      </c>
      <c r="C1356" s="26" t="n">
        <v>123050</v>
      </c>
      <c r="D1356" s="20" t="inlineStr">
        <is>
          <t>IV6804121</t>
        </is>
      </c>
      <c r="E1356" s="19" t="inlineStr">
        <is>
          <t>โอน 7/7/68</t>
        </is>
      </c>
      <c r="F1356" s="19" t="inlineStr">
        <is>
          <t>ลงคอมพ์แล้ว</t>
        </is>
      </c>
    </row>
    <row r="1357">
      <c r="A1357" s="157" t="n">
        <v>24956</v>
      </c>
      <c r="B1357" s="19" t="inlineStr">
        <is>
          <t>ไทยนครพัฒนา</t>
        </is>
      </c>
      <c r="C1357" s="26" t="n">
        <v>21667.5</v>
      </c>
      <c r="D1357" s="20" t="inlineStr">
        <is>
          <t>INV25040979</t>
        </is>
      </c>
      <c r="E1357" s="19" t="inlineStr">
        <is>
          <t>โอน 1/7/68</t>
        </is>
      </c>
      <c r="F1357" s="19" t="inlineStr">
        <is>
          <t>ลงคอมพ์แล้ว</t>
        </is>
      </c>
    </row>
    <row r="1359">
      <c r="B1359" s="22" t="inlineStr">
        <is>
          <t>ต้นทุนอะไหล่</t>
        </is>
      </c>
    </row>
    <row r="1360">
      <c r="B1360" s="19" t="inlineStr">
        <is>
          <t>ร้านเจ๊แอน</t>
        </is>
      </c>
      <c r="C1360" s="26" t="n">
        <v>30080</v>
      </c>
      <c r="E1360" s="19" t="inlineStr">
        <is>
          <t>โอน 5/5/68</t>
        </is>
      </c>
    </row>
    <row r="1361">
      <c r="B1361" s="19" t="inlineStr">
        <is>
          <t>ร้านจิตต์ อะไหล่ Due 1 - 30/4/2568</t>
        </is>
      </c>
      <c r="C1361" s="26" t="n">
        <v>234974.51</v>
      </c>
      <c r="E1361" s="19" t="inlineStr">
        <is>
          <t>โอน 6/6/68</t>
        </is>
      </c>
    </row>
    <row r="1362">
      <c r="B1362" s="19" t="inlineStr">
        <is>
          <t>ร้านศรีสยาม อะไหล่ Due 1 - 30/4/2568</t>
        </is>
      </c>
      <c r="C1362" s="26" t="n">
        <v>99340.81</v>
      </c>
      <c r="E1362" s="19" t="inlineStr">
        <is>
          <t>โอน 6/6/68</t>
        </is>
      </c>
    </row>
    <row r="1363">
      <c r="B1363" s="19" t="inlineStr">
        <is>
          <t>ร้านโสภา</t>
        </is>
      </c>
      <c r="C1363" s="26" t="n">
        <v>3900</v>
      </c>
      <c r="E1363" s="19" t="inlineStr">
        <is>
          <t>โอน 19/5/68</t>
        </is>
      </c>
    </row>
    <row r="1366" customFormat="1" s="28">
      <c r="A1366" s="102" t="inlineStr">
        <is>
          <t>รายการซื้อสินค้าเข้า ประจำเดือน 5/2568</t>
        </is>
      </c>
      <c r="B1366" s="158" t="n"/>
      <c r="C1366" s="158" t="n"/>
      <c r="D1366" s="158" t="n"/>
      <c r="E1366" s="158" t="n"/>
      <c r="F1366" s="27" t="n"/>
      <c r="G1366" s="27" t="n"/>
      <c r="H1366" s="27" t="n"/>
      <c r="I1366" s="27" t="n"/>
      <c r="J1366" s="27" t="n"/>
    </row>
    <row r="1367" customFormat="1" s="20">
      <c r="A1367" s="159" t="inlineStr">
        <is>
          <t>ว/ด/ป</t>
        </is>
      </c>
      <c r="B1367" s="21" t="inlineStr">
        <is>
          <t>ชื่อร้านค้า</t>
        </is>
      </c>
      <c r="C1367" s="25" t="inlineStr">
        <is>
          <t>ยอดรวม</t>
        </is>
      </c>
      <c r="D1367" s="21" t="inlineStr">
        <is>
          <t>เลขที่บิล</t>
        </is>
      </c>
      <c r="E1367" s="21" t="inlineStr">
        <is>
          <t>หมายเหตุ</t>
        </is>
      </c>
    </row>
    <row r="1368">
      <c r="B1368" s="22" t="inlineStr">
        <is>
          <t>ต้นทุนสี</t>
        </is>
      </c>
    </row>
    <row r="1369">
      <c r="A1369" s="157" t="n">
        <v>24964</v>
      </c>
      <c r="B1369" s="19" t="inlineStr">
        <is>
          <t>บจก. วีที คัลเลอร์ โปร</t>
        </is>
      </c>
      <c r="C1369" s="26" t="n">
        <v>7704</v>
      </c>
      <c r="D1369" s="20" t="inlineStr">
        <is>
          <t>IV6805049</t>
        </is>
      </c>
      <c r="E1369" s="19" t="inlineStr">
        <is>
          <t>โอน 11/8/68</t>
        </is>
      </c>
      <c r="F1369" s="19" t="inlineStr">
        <is>
          <t>ลงคอมพ์แล้ว</t>
        </is>
      </c>
    </row>
    <row r="1370">
      <c r="A1370" s="157" t="n">
        <v>24977</v>
      </c>
      <c r="B1370" s="19" t="inlineStr">
        <is>
          <t>บจก. วีที คัลเลอร์ โปร</t>
        </is>
      </c>
      <c r="C1370" s="26" t="n">
        <v>3466.8</v>
      </c>
      <c r="D1370" s="20" t="inlineStr">
        <is>
          <t>IV6805132</t>
        </is>
      </c>
      <c r="E1370" s="19" t="inlineStr">
        <is>
          <t>โอน 11/8/68</t>
        </is>
      </c>
      <c r="F1370" s="19" t="inlineStr">
        <is>
          <t>ลงคอมพ์แล้ว</t>
        </is>
      </c>
      <c r="I1370" s="26">
        <f>SUM(C1369+C1370+C1371+C1372)</f>
        <v/>
      </c>
    </row>
    <row r="1371">
      <c r="A1371" s="157" t="n">
        <v>24979</v>
      </c>
      <c r="B1371" s="19" t="inlineStr">
        <is>
          <t>บจก. วีที คัลเลอร์ โปร</t>
        </is>
      </c>
      <c r="C1371" s="26" t="n">
        <v>226786.5</v>
      </c>
      <c r="D1371" s="20" t="inlineStr">
        <is>
          <t>IV6805147</t>
        </is>
      </c>
      <c r="E1371" s="19" t="inlineStr">
        <is>
          <t>โอน 11/8/68</t>
        </is>
      </c>
      <c r="F1371" s="19" t="inlineStr">
        <is>
          <t>ลงคอมพ์แล้ว</t>
        </is>
      </c>
    </row>
    <row r="1372">
      <c r="A1372" s="157" t="n">
        <v>24984</v>
      </c>
      <c r="B1372" s="19" t="inlineStr">
        <is>
          <t>บจก. วีที คัลเลอร์ โปร</t>
        </is>
      </c>
      <c r="C1372" s="26" t="n">
        <v>8988</v>
      </c>
      <c r="D1372" s="20" t="inlineStr">
        <is>
          <t>IV6805173</t>
        </is>
      </c>
      <c r="E1372" s="19" t="inlineStr">
        <is>
          <t>โอน 11/8/68</t>
        </is>
      </c>
      <c r="F1372" s="19" t="inlineStr">
        <is>
          <t>ลงคอมพ์แล้ว</t>
        </is>
      </c>
    </row>
    <row r="1373">
      <c r="A1373" s="157" t="n">
        <v>24979</v>
      </c>
      <c r="B1373" s="19" t="inlineStr">
        <is>
          <t>ห้างหุ้นส่วนจำกัด พี.บี. เพ้นต์</t>
        </is>
      </c>
      <c r="C1373" s="26" t="n">
        <v>51360</v>
      </c>
      <c r="D1373" s="20" t="inlineStr">
        <is>
          <t>PB2025050032</t>
        </is>
      </c>
      <c r="E1373" s="19" t="inlineStr">
        <is>
          <t>โอน 4/8/68</t>
        </is>
      </c>
      <c r="F1373" s="19" t="inlineStr">
        <is>
          <t>ลงคอมพ์แล้ว</t>
        </is>
      </c>
    </row>
    <row r="1374">
      <c r="A1374" s="157" t="n">
        <v>24965</v>
      </c>
      <c r="B1374" s="19" t="inlineStr">
        <is>
          <t>ทาเลนท์อินเตอร์เทรด ** คืนถังเปล่า 6ใบ / ใบละ 200 บาท</t>
        </is>
      </c>
      <c r="C1374" s="26" t="n">
        <v>11000</v>
      </c>
      <c r="D1374" s="20" t="inlineStr">
        <is>
          <t>IV6807239</t>
        </is>
      </c>
      <c r="E1374" s="19" t="inlineStr">
        <is>
          <t>โอน 17/8/68</t>
        </is>
      </c>
      <c r="F1374" s="19" t="inlineStr">
        <is>
          <t>ลงคอมพ์แล้ว</t>
        </is>
      </c>
    </row>
    <row r="1376">
      <c r="B1376" s="22" t="inlineStr">
        <is>
          <t>ต้นทุนอะไหล่</t>
        </is>
      </c>
    </row>
    <row r="1377">
      <c r="B1377" s="19" t="inlineStr">
        <is>
          <t>ร้านเจ๊แอน</t>
        </is>
      </c>
      <c r="C1377" s="26" t="n">
        <v>51330</v>
      </c>
      <c r="E1377" s="19" t="inlineStr">
        <is>
          <t>โอน 5/6/68</t>
        </is>
      </c>
    </row>
    <row r="1378">
      <c r="B1378" s="19" t="inlineStr">
        <is>
          <t>ร้านจิตต์ อะไหล่ เดือน 5/2568</t>
        </is>
      </c>
      <c r="C1378" s="26" t="n">
        <v>289753.15</v>
      </c>
      <c r="E1378" s="19" t="inlineStr">
        <is>
          <t>โอน 12/7/68</t>
        </is>
      </c>
      <c r="J1378" s="26" t="n"/>
    </row>
    <row r="1379">
      <c r="B1379" s="19" t="inlineStr">
        <is>
          <t>ร้านศรีสยาม อะไหล่ เดือน 5/2568</t>
        </is>
      </c>
      <c r="C1379" s="26" t="n">
        <v>92208.39</v>
      </c>
      <c r="E1379" s="19" t="inlineStr">
        <is>
          <t>โอน 12/7/68</t>
        </is>
      </c>
    </row>
    <row r="1380">
      <c r="B1380" s="19" t="inlineStr">
        <is>
          <t>ร้านโสภา</t>
        </is>
      </c>
      <c r="C1380" s="26" t="n">
        <v>3800</v>
      </c>
      <c r="E1380" s="19" t="inlineStr">
        <is>
          <t>โอน 5/10/68</t>
        </is>
      </c>
    </row>
    <row r="1383" customFormat="1" s="28">
      <c r="A1383" s="102" t="inlineStr">
        <is>
          <t>รายการซื้อสินค้าเข้า ประจำเดือน 6/2568</t>
        </is>
      </c>
      <c r="B1383" s="158" t="n"/>
      <c r="C1383" s="158" t="n"/>
      <c r="D1383" s="158" t="n"/>
      <c r="E1383" s="158" t="n"/>
      <c r="F1383" s="27" t="n"/>
      <c r="G1383" s="27" t="n"/>
      <c r="H1383" s="27" t="n"/>
      <c r="I1383" s="27" t="n"/>
      <c r="J1383" s="27" t="n"/>
    </row>
    <row r="1384" customFormat="1" s="20">
      <c r="A1384" s="159" t="inlineStr">
        <is>
          <t>ว/ด/ป</t>
        </is>
      </c>
      <c r="B1384" s="21" t="inlineStr">
        <is>
          <t>ชื่อร้านค้า</t>
        </is>
      </c>
      <c r="C1384" s="25" t="inlineStr">
        <is>
          <t>ยอดรวม</t>
        </is>
      </c>
      <c r="D1384" s="21" t="inlineStr">
        <is>
          <t>เลขที่บิล</t>
        </is>
      </c>
      <c r="E1384" s="21" t="inlineStr">
        <is>
          <t>หมายเหตุ</t>
        </is>
      </c>
    </row>
    <row r="1385">
      <c r="B1385" s="22" t="inlineStr">
        <is>
          <t>ต้นทุนสี</t>
        </is>
      </c>
    </row>
    <row r="1386">
      <c r="A1386" s="157" t="n">
        <v>24991</v>
      </c>
      <c r="B1386" s="19" t="inlineStr">
        <is>
          <t>ทาเลนท์อินเตอร์เทรด</t>
        </is>
      </c>
      <c r="C1386" s="26" t="n">
        <v>1592.16</v>
      </c>
      <c r="D1386" s="20" t="inlineStr">
        <is>
          <t>IV6808617</t>
        </is>
      </c>
      <c r="E1386" s="19" t="inlineStr">
        <is>
          <t>โอน 5/10/68</t>
        </is>
      </c>
      <c r="F1386" s="19" t="inlineStr">
        <is>
          <t>ลงคอมพ์แล้ว</t>
        </is>
      </c>
      <c r="I1386" s="26">
        <f>SUM(C1386+C1387+C1388+C1389)</f>
        <v/>
      </c>
    </row>
    <row r="1387">
      <c r="A1387" s="157" t="n">
        <v>24996</v>
      </c>
      <c r="B1387" s="19" t="inlineStr">
        <is>
          <t>ทาเลนท์อินเตอร์เทรด</t>
        </is>
      </c>
      <c r="C1387" s="26" t="n">
        <v>6682.15</v>
      </c>
      <c r="D1387" s="20" t="inlineStr">
        <is>
          <t>IV6809132</t>
        </is>
      </c>
      <c r="E1387" s="19" t="inlineStr">
        <is>
          <t>โอน 5/10/68</t>
        </is>
      </c>
      <c r="F1387" s="19" t="inlineStr">
        <is>
          <t>ลงคอมพ์แล้ว</t>
        </is>
      </c>
    </row>
    <row r="1388">
      <c r="A1388" s="157" t="n">
        <v>25008</v>
      </c>
      <c r="B1388" s="19" t="inlineStr">
        <is>
          <t>ทาเลนท์อินเตอร์เทรด</t>
        </is>
      </c>
      <c r="C1388" s="26" t="n">
        <v>3477.5</v>
      </c>
      <c r="D1388" s="20" t="inlineStr">
        <is>
          <t>IV6809791</t>
        </is>
      </c>
      <c r="E1388" s="19" t="inlineStr">
        <is>
          <t>โอน 5/10/68</t>
        </is>
      </c>
      <c r="F1388" s="19" t="inlineStr">
        <is>
          <t>ลงคอมพ์แล้ว</t>
        </is>
      </c>
    </row>
    <row r="1389">
      <c r="A1389" s="157" t="n">
        <v>25014</v>
      </c>
      <c r="B1389" s="19" t="inlineStr">
        <is>
          <t>ทาเลนท์อินเตอร์เทรด</t>
        </is>
      </c>
      <c r="C1389" s="26" t="n">
        <v>9758.4</v>
      </c>
      <c r="D1389" s="20" t="inlineStr">
        <is>
          <t>IV6810093</t>
        </is>
      </c>
      <c r="E1389" s="19" t="inlineStr">
        <is>
          <t>โอน 5/10/68</t>
        </is>
      </c>
      <c r="F1389" s="19" t="inlineStr">
        <is>
          <t>ลงคอมพ์แล้ว</t>
        </is>
      </c>
    </row>
    <row r="1390">
      <c r="A1390" s="157" t="n">
        <v>24993</v>
      </c>
      <c r="B1390" s="19" t="inlineStr">
        <is>
          <t>บจก. วีที คัลเลอร์ โปร</t>
        </is>
      </c>
      <c r="C1390" s="26" t="n">
        <v>19153</v>
      </c>
      <c r="D1390" s="20" t="inlineStr">
        <is>
          <t>IV6806026</t>
        </is>
      </c>
      <c r="F1390" s="19" t="inlineStr">
        <is>
          <t>ลงคอมพ์แล้ว</t>
        </is>
      </c>
    </row>
    <row r="1391">
      <c r="A1391" s="157" t="n">
        <v>24999</v>
      </c>
      <c r="B1391" s="19" t="inlineStr">
        <is>
          <t>บจก. วีที คัลเลอร์ โปร</t>
        </is>
      </c>
      <c r="C1391" s="26" t="n">
        <v>11556</v>
      </c>
      <c r="D1391" s="20" t="inlineStr">
        <is>
          <t>IV6806061</t>
        </is>
      </c>
      <c r="F1391" s="19" t="inlineStr">
        <is>
          <t>ลงคอมพ์แล้ว</t>
        </is>
      </c>
      <c r="I1391" s="26" t="n"/>
    </row>
    <row r="1392">
      <c r="A1392" s="157" t="n">
        <v>25002</v>
      </c>
      <c r="B1392" s="19" t="inlineStr">
        <is>
          <t>บจก. วีที คัลเลอร์ โปร</t>
        </is>
      </c>
      <c r="C1392" s="26" t="n">
        <v>27916.3</v>
      </c>
      <c r="D1392" s="20" t="inlineStr">
        <is>
          <t>IV6806091</t>
        </is>
      </c>
      <c r="F1392" s="19" t="inlineStr">
        <is>
          <t>ลงคอมพ์แล้ว</t>
        </is>
      </c>
    </row>
    <row r="1393">
      <c r="A1393" s="157" t="n">
        <v>25014</v>
      </c>
      <c r="B1393" s="19" t="inlineStr">
        <is>
          <t>บจก. วีที คัลเลอร์ โปร</t>
        </is>
      </c>
      <c r="C1393" s="26" t="n">
        <v>11085.2</v>
      </c>
      <c r="D1393" s="20" t="inlineStr">
        <is>
          <t>IV6806162</t>
        </is>
      </c>
      <c r="F1393" s="19" t="inlineStr">
        <is>
          <t>ลงคอมพ์แล้ว</t>
        </is>
      </c>
    </row>
    <row r="1394">
      <c r="A1394" s="157" t="n">
        <v>25015</v>
      </c>
      <c r="B1394" s="19" t="inlineStr">
        <is>
          <t>บจก. วีที คัลเลอร์ โปร</t>
        </is>
      </c>
      <c r="C1394" s="26" t="n">
        <v>222346</v>
      </c>
      <c r="D1394" s="20" t="inlineStr">
        <is>
          <t>IV6806175</t>
        </is>
      </c>
      <c r="F1394" s="19" t="inlineStr">
        <is>
          <t>ลงคอมพ์แล้ว</t>
        </is>
      </c>
    </row>
    <row r="1395">
      <c r="A1395" s="157" t="n">
        <v>25016</v>
      </c>
      <c r="B1395" s="19" t="inlineStr">
        <is>
          <t>บจก. วีที คัลเลอร์ โปร</t>
        </is>
      </c>
      <c r="C1395" s="26" t="n">
        <v>7704</v>
      </c>
      <c r="D1395" s="20" t="inlineStr">
        <is>
          <t>IV6806182</t>
        </is>
      </c>
      <c r="F1395" s="19" t="inlineStr">
        <is>
          <t>ลงคอมพ์แล้ว</t>
        </is>
      </c>
      <c r="I1395" s="26" t="n"/>
    </row>
    <row r="1396">
      <c r="A1396" s="157" t="n">
        <v>25001</v>
      </c>
      <c r="B1396" s="19" t="inlineStr">
        <is>
          <t>บจก. วีที คัลเลอร์ โปร -- หักคืนถังเปล่า จำนวน 7ใบ</t>
        </is>
      </c>
      <c r="C1396" s="41" t="n">
        <v>-1498</v>
      </c>
      <c r="D1396" s="20" t="inlineStr">
        <is>
          <t>IV6806026</t>
        </is>
      </c>
      <c r="F1396" s="19" t="inlineStr">
        <is>
          <t>ลงคอมพ์แล้ว</t>
        </is>
      </c>
      <c r="I1396" s="26" t="n"/>
    </row>
    <row r="1397">
      <c r="A1397" s="157" t="n">
        <v>24996</v>
      </c>
      <c r="B1397" s="19" t="inlineStr">
        <is>
          <t>ไทยนครพัฒนา</t>
        </is>
      </c>
      <c r="C1397" s="26" t="n">
        <v>877.4</v>
      </c>
      <c r="D1397" s="20" t="inlineStr">
        <is>
          <t>INV25060323</t>
        </is>
      </c>
      <c r="E1397" s="19" t="inlineStr">
        <is>
          <t>โอน 3/9/68</t>
        </is>
      </c>
      <c r="F1397" s="19" t="inlineStr">
        <is>
          <t>ลงคอมพ์แล้ว</t>
        </is>
      </c>
    </row>
    <row r="1398">
      <c r="A1398" s="157" t="n">
        <v>24996</v>
      </c>
      <c r="B1398" s="19" t="inlineStr">
        <is>
          <t xml:space="preserve">ออโต้เทรด มาร์เก็ตติ้ง </t>
        </is>
      </c>
      <c r="C1398" s="26" t="n">
        <v>31327.46</v>
      </c>
      <c r="D1398" s="20" t="inlineStr">
        <is>
          <t>IV1466221</t>
        </is>
      </c>
      <c r="E1398" s="19" t="inlineStr">
        <is>
          <t>โอน 7/7/68</t>
        </is>
      </c>
      <c r="F1398" s="19" t="inlineStr">
        <is>
          <t>ลงคอมพ์แล้ว</t>
        </is>
      </c>
    </row>
    <row r="1399">
      <c r="A1399" s="157" t="n">
        <v>25005</v>
      </c>
      <c r="B1399" s="19" t="inlineStr">
        <is>
          <t>ห้างหุ้นส่วนจำกัด พี.บี. เพ้นต์</t>
        </is>
      </c>
      <c r="C1399" s="26" t="n">
        <v>62060</v>
      </c>
      <c r="D1399" s="20" t="inlineStr">
        <is>
          <t>PB2025060025</t>
        </is>
      </c>
      <c r="E1399" s="19" t="inlineStr">
        <is>
          <t>โอน 17/8/68</t>
        </is>
      </c>
      <c r="F1399" s="19" t="inlineStr">
        <is>
          <t>ลงคอมพ์แล้ว</t>
        </is>
      </c>
    </row>
    <row r="1401">
      <c r="B1401" s="22" t="inlineStr">
        <is>
          <t>ต้นทุนอะไหล่</t>
        </is>
      </c>
    </row>
    <row r="1402">
      <c r="B1402" s="19" t="inlineStr">
        <is>
          <t>ร้านเจ๊แอน</t>
        </is>
      </c>
      <c r="C1402" s="26" t="n">
        <v>32680</v>
      </c>
      <c r="E1402" s="19" t="inlineStr">
        <is>
          <t>โอน 3/7/68</t>
        </is>
      </c>
    </row>
    <row r="1403">
      <c r="A1403" s="157" t="n">
        <v>25009</v>
      </c>
      <c r="B1403" s="19" t="inlineStr">
        <is>
          <t>ค่ากิ๊บน๊อต / ร้าน 55 กิ๊บน๊อต</t>
        </is>
      </c>
      <c r="C1403" s="26" t="n">
        <v>1600</v>
      </c>
      <c r="E1403" s="19" t="inlineStr">
        <is>
          <t>โอน 20/6/68</t>
        </is>
      </c>
      <c r="F1403" s="19" t="inlineStr">
        <is>
          <t>ลงคอมพ์แล้ว</t>
        </is>
      </c>
    </row>
    <row r="1404">
      <c r="B1404" s="19" t="inlineStr">
        <is>
          <t>ร้านจิตต์ อะไหล่ เดือน 6/2568</t>
        </is>
      </c>
      <c r="C1404" s="26" t="n">
        <v>181800</v>
      </c>
      <c r="E1404" s="19" t="inlineStr">
        <is>
          <t>โอน 11/8/68</t>
        </is>
      </c>
    </row>
    <row r="1405">
      <c r="B1405" s="19" t="inlineStr">
        <is>
          <t>ร้านศรีสยาม อะไหล่ เดือน 6/2568</t>
        </is>
      </c>
      <c r="C1405" s="26" t="n">
        <v>147017</v>
      </c>
      <c r="E1405" s="19" t="inlineStr">
        <is>
          <t>โอน 11/8/68</t>
        </is>
      </c>
      <c r="I1405" s="26" t="n"/>
    </row>
    <row r="1406">
      <c r="B1406" s="19" t="inlineStr">
        <is>
          <t>ร้านโสภา</t>
        </is>
      </c>
      <c r="C1406" s="26" t="n">
        <v>5700</v>
      </c>
      <c r="E1406" s="19" t="inlineStr">
        <is>
          <t>โอน 5/10/68</t>
        </is>
      </c>
    </row>
    <row r="1409" customFormat="1" s="28">
      <c r="A1409" s="102" t="inlineStr">
        <is>
          <t>รายการซื้อสินค้าเข้า ประจำเดือน 7/2568</t>
        </is>
      </c>
      <c r="B1409" s="158" t="n"/>
      <c r="C1409" s="158" t="n"/>
      <c r="D1409" s="158" t="n"/>
      <c r="E1409" s="158" t="n"/>
      <c r="F1409" s="27" t="n"/>
      <c r="G1409" s="27" t="n"/>
      <c r="H1409" s="27" t="n"/>
      <c r="I1409" s="27" t="n"/>
      <c r="J1409" s="27" t="n"/>
    </row>
    <row r="1410" customFormat="1" s="20">
      <c r="A1410" s="159" t="inlineStr">
        <is>
          <t>ว/ด/ป</t>
        </is>
      </c>
      <c r="B1410" s="21" t="inlineStr">
        <is>
          <t>ชื่อร้านค้า</t>
        </is>
      </c>
      <c r="C1410" s="25" t="inlineStr">
        <is>
          <t>ยอดรวม</t>
        </is>
      </c>
      <c r="D1410" s="21" t="inlineStr">
        <is>
          <t>เลขที่บิล</t>
        </is>
      </c>
      <c r="E1410" s="21" t="inlineStr">
        <is>
          <t>หมายเหตุ</t>
        </is>
      </c>
    </row>
    <row r="1411">
      <c r="B1411" s="22" t="inlineStr">
        <is>
          <t>ต้นทุนสี</t>
        </is>
      </c>
    </row>
    <row r="1412">
      <c r="A1412" s="157" t="n">
        <v>25041</v>
      </c>
      <c r="B1412" s="19" t="inlineStr">
        <is>
          <t>ห้างหุ้นส่วนจำกัด พี.บี. เพ้นต์</t>
        </is>
      </c>
      <c r="C1412" s="26" t="n">
        <v>23540</v>
      </c>
      <c r="D1412" s="20" t="inlineStr">
        <is>
          <t>PB2025070040</t>
        </is>
      </c>
      <c r="E1412" s="19" t="inlineStr">
        <is>
          <t>โอน 5/10/68</t>
        </is>
      </c>
      <c r="F1412" s="19" t="inlineStr">
        <is>
          <t>ลงคอมพ์แล้ว</t>
        </is>
      </c>
    </row>
    <row r="1413">
      <c r="A1413" s="157" t="n">
        <v>25021</v>
      </c>
      <c r="B1413" s="19" t="inlineStr">
        <is>
          <t>ทาเลนท์อินเตอร์เทรด</t>
        </is>
      </c>
      <c r="C1413" s="26" t="n">
        <v>11000</v>
      </c>
      <c r="D1413" s="20" t="inlineStr">
        <is>
          <t>IV6810575</t>
        </is>
      </c>
      <c r="E1413" s="19" t="inlineStr">
        <is>
          <t>โอน 5/10/68</t>
        </is>
      </c>
      <c r="F1413" s="19" t="inlineStr">
        <is>
          <t>ลงคอมพ์แล้ว</t>
        </is>
      </c>
      <c r="I1413" s="26" t="n"/>
    </row>
    <row r="1414">
      <c r="A1414" s="157" t="n">
        <v>25037</v>
      </c>
      <c r="B1414" s="19" t="inlineStr">
        <is>
          <t>ทาเลนท์อินเตอร์เทรด</t>
        </is>
      </c>
      <c r="C1414" s="26" t="n">
        <v>4930.56</v>
      </c>
      <c r="D1414" s="20" t="inlineStr">
        <is>
          <t>IV6811579</t>
        </is>
      </c>
      <c r="E1414" s="19" t="inlineStr">
        <is>
          <t>โอน 5/10/68</t>
        </is>
      </c>
      <c r="F1414" s="19" t="inlineStr">
        <is>
          <t>ลงคอมพ์แล้ว</t>
        </is>
      </c>
    </row>
    <row r="1415">
      <c r="A1415" s="157" t="n">
        <v>25042</v>
      </c>
      <c r="B1415" s="19" t="inlineStr">
        <is>
          <t>ทาเลนท์อินเตอร์เทรด</t>
        </is>
      </c>
      <c r="C1415" s="26" t="n">
        <v>11000</v>
      </c>
      <c r="D1415" s="20" t="inlineStr">
        <is>
          <t>IV6811846</t>
        </is>
      </c>
      <c r="E1415" s="19" t="inlineStr">
        <is>
          <t>โอน 5/10/68</t>
        </is>
      </c>
      <c r="F1415" s="19" t="inlineStr">
        <is>
          <t>ลงคอมพ์แล้ว</t>
        </is>
      </c>
    </row>
    <row r="1416">
      <c r="A1416" s="157" t="n">
        <v>25021</v>
      </c>
      <c r="B1416" s="19" t="inlineStr">
        <is>
          <t>บจก. วีที คัลเลอร์ โปร</t>
        </is>
      </c>
      <c r="C1416" s="26" t="n">
        <v>19153</v>
      </c>
      <c r="D1416" s="20" t="inlineStr">
        <is>
          <t>IV6807034</t>
        </is>
      </c>
      <c r="E1416" s="19" t="inlineStr">
        <is>
          <t>โอน 5/10/68</t>
        </is>
      </c>
      <c r="F1416" s="19" t="inlineStr">
        <is>
          <t>ลงคอมพ์แล้ว</t>
        </is>
      </c>
    </row>
    <row r="1417">
      <c r="A1417" s="157" t="n">
        <v>25037</v>
      </c>
      <c r="B1417" s="19" t="inlineStr">
        <is>
          <t>บจก. วีที คัลเลอร์ โปร</t>
        </is>
      </c>
      <c r="C1417" s="26" t="n">
        <v>2311.2</v>
      </c>
      <c r="D1417" s="20" t="inlineStr">
        <is>
          <t>IV6807145</t>
        </is>
      </c>
      <c r="E1417" s="19" t="inlineStr">
        <is>
          <t>โอน 5/10/68</t>
        </is>
      </c>
      <c r="F1417" s="19" t="inlineStr">
        <is>
          <t>ลงคอมพ์แล้ว</t>
        </is>
      </c>
      <c r="I1417" s="26" t="n"/>
    </row>
    <row r="1418">
      <c r="A1418" s="157" t="n">
        <v>25040</v>
      </c>
      <c r="B1418" s="19" t="inlineStr">
        <is>
          <t>บจก. วีที คัลเลอร์ โปร</t>
        </is>
      </c>
      <c r="C1418" s="26" t="n">
        <v>17601.5</v>
      </c>
      <c r="D1418" s="20" t="inlineStr">
        <is>
          <t>IV6807158</t>
        </is>
      </c>
      <c r="E1418" s="19" t="inlineStr">
        <is>
          <t>โอน 5/10/68</t>
        </is>
      </c>
      <c r="F1418" s="19" t="inlineStr">
        <is>
          <t>ลงคอมพ์แล้ว</t>
        </is>
      </c>
    </row>
    <row r="1419">
      <c r="A1419" s="157" t="n">
        <v>25040</v>
      </c>
      <c r="B1419" s="19" t="inlineStr">
        <is>
          <t>บจก. วีที คัลเลอร์ โปร</t>
        </is>
      </c>
      <c r="C1419" s="26" t="n">
        <v>9276.9</v>
      </c>
      <c r="D1419" s="20" t="inlineStr">
        <is>
          <t>IV6807163</t>
        </is>
      </c>
      <c r="E1419" s="19" t="inlineStr">
        <is>
          <t>โอน 5/10/68</t>
        </is>
      </c>
      <c r="F1419" s="19" t="inlineStr">
        <is>
          <t>ลงคอมพ์แล้ว</t>
        </is>
      </c>
    </row>
    <row r="1420">
      <c r="A1420" s="157" t="n">
        <v>25042</v>
      </c>
      <c r="B1420" s="19" t="inlineStr">
        <is>
          <t>บจก. วีที คัลเลอร์ โปร</t>
        </is>
      </c>
      <c r="C1420" s="26" t="n">
        <v>100847.5</v>
      </c>
      <c r="D1420" s="20" t="inlineStr">
        <is>
          <t>IV6807180</t>
        </is>
      </c>
      <c r="E1420" s="19" t="inlineStr">
        <is>
          <t>โอน 5/10/68</t>
        </is>
      </c>
      <c r="F1420" s="19" t="inlineStr">
        <is>
          <t>ลงคอมพ์แล้ว</t>
        </is>
      </c>
    </row>
    <row r="1421">
      <c r="A1421" s="157" t="n">
        <v>25043</v>
      </c>
      <c r="B1421" s="19" t="inlineStr">
        <is>
          <t>บจก. วีที คัลเลอร์ โปร</t>
        </is>
      </c>
      <c r="C1421" s="26" t="n">
        <v>22042</v>
      </c>
      <c r="D1421" s="20" t="inlineStr">
        <is>
          <t>IV6807194</t>
        </is>
      </c>
      <c r="E1421" s="19" t="inlineStr">
        <is>
          <t>โอน 5/10/68</t>
        </is>
      </c>
      <c r="F1421" s="19" t="inlineStr">
        <is>
          <t>ลงคอมพ์แล้ว</t>
        </is>
      </c>
    </row>
    <row r="1422">
      <c r="A1422" s="157" t="n">
        <v>25050</v>
      </c>
      <c r="B1422" s="19" t="inlineStr">
        <is>
          <t>บจก. วีที คัลเลอร์ โปร</t>
        </is>
      </c>
      <c r="C1422" s="26" t="n">
        <v>19153</v>
      </c>
      <c r="D1422" s="20" t="inlineStr">
        <is>
          <t>IV6807220</t>
        </is>
      </c>
      <c r="E1422" s="19" t="inlineStr">
        <is>
          <t>โอน 5/10/68</t>
        </is>
      </c>
      <c r="F1422" s="19" t="inlineStr">
        <is>
          <t>ลงคอมพ์แล้ว</t>
        </is>
      </c>
    </row>
    <row r="1424">
      <c r="B1424" s="22" t="inlineStr">
        <is>
          <t>ต้นทุนอะไหล่</t>
        </is>
      </c>
    </row>
    <row r="1425">
      <c r="B1425" s="19" t="inlineStr">
        <is>
          <t>ร้านเจ๊แอน</t>
        </is>
      </c>
      <c r="C1425" s="26" t="n">
        <v>53110</v>
      </c>
      <c r="E1425" s="19" t="inlineStr">
        <is>
          <t>โอน 4/8/68</t>
        </is>
      </c>
    </row>
    <row r="1426">
      <c r="B1426" s="19" t="inlineStr">
        <is>
          <t>ร้านจิตต์ อะไหล่ เดือน 7/2568</t>
        </is>
      </c>
      <c r="C1426" s="26" t="n">
        <v>300813.86</v>
      </c>
      <c r="E1426" s="19" t="inlineStr">
        <is>
          <t>โอน 11/9/68</t>
        </is>
      </c>
      <c r="I1426" s="26" t="n"/>
    </row>
    <row r="1427">
      <c r="B1427" s="19" t="inlineStr">
        <is>
          <t>ร้านศรีสยาม อะไหล่ เดือน 7/2568</t>
        </is>
      </c>
      <c r="C1427" s="26" t="n">
        <v>127830</v>
      </c>
      <c r="E1427" s="19" t="inlineStr">
        <is>
          <t>โอน 11/9/68</t>
        </is>
      </c>
    </row>
    <row r="1428">
      <c r="B1428" s="19" t="inlineStr">
        <is>
          <t>ร้านโสภา</t>
        </is>
      </c>
      <c r="C1428" s="26" t="n">
        <v>6600</v>
      </c>
      <c r="E1428" s="19" t="inlineStr">
        <is>
          <t>โอน 5/10/68</t>
        </is>
      </c>
    </row>
    <row r="1431" customFormat="1" s="28">
      <c r="A1431" s="102" t="inlineStr">
        <is>
          <t>รายการซื้อสินค้าเข้า ประจำเดือน 8/2568</t>
        </is>
      </c>
      <c r="B1431" s="158" t="n"/>
      <c r="C1431" s="158" t="n"/>
      <c r="D1431" s="158" t="n"/>
      <c r="E1431" s="158" t="n"/>
      <c r="F1431" s="27" t="n"/>
      <c r="G1431" s="27" t="n"/>
      <c r="H1431" s="27" t="n"/>
      <c r="I1431" s="27" t="n"/>
      <c r="J1431" s="27" t="n"/>
    </row>
    <row r="1432" customFormat="1" s="20">
      <c r="A1432" s="159" t="inlineStr">
        <is>
          <t>ว/ด/ป</t>
        </is>
      </c>
      <c r="B1432" s="21" t="inlineStr">
        <is>
          <t>ชื่อร้านค้า</t>
        </is>
      </c>
      <c r="C1432" s="25" t="inlineStr">
        <is>
          <t>ยอดรวม</t>
        </is>
      </c>
      <c r="D1432" s="21" t="inlineStr">
        <is>
          <t>เลขที่บิล</t>
        </is>
      </c>
      <c r="E1432" s="21" t="inlineStr">
        <is>
          <t>หมายเหตุ</t>
        </is>
      </c>
    </row>
    <row r="1433">
      <c r="B1433" s="22" t="inlineStr">
        <is>
          <t>ต้นทุนสี</t>
        </is>
      </c>
    </row>
    <row r="1434">
      <c r="A1434" s="157" t="n">
        <v>25052</v>
      </c>
      <c r="B1434" s="19" t="inlineStr">
        <is>
          <t>ทาเลนท์อินเตอร์เทรด</t>
        </is>
      </c>
      <c r="C1434" s="26" t="n">
        <v>834.6</v>
      </c>
      <c r="D1434" s="20" t="inlineStr">
        <is>
          <t>IV6812358</t>
        </is>
      </c>
      <c r="E1434" s="19" t="inlineStr">
        <is>
          <t>โอน 4/12/68</t>
        </is>
      </c>
      <c r="F1434" s="19" t="inlineStr">
        <is>
          <t>ลงคอมพ์แล้ว</t>
        </is>
      </c>
      <c r="I1434" s="26" t="n"/>
    </row>
    <row r="1435">
      <c r="A1435" s="157" t="n">
        <v>25063</v>
      </c>
      <c r="B1435" s="19" t="inlineStr">
        <is>
          <t>ทาเลนท์อินเตอร์เทรด</t>
        </is>
      </c>
      <c r="C1435" s="26" t="n">
        <v>5500</v>
      </c>
      <c r="D1435" s="20" t="inlineStr">
        <is>
          <t>IV6813011</t>
        </is>
      </c>
      <c r="E1435" s="19" t="inlineStr">
        <is>
          <t>โอน 4/12/68</t>
        </is>
      </c>
      <c r="F1435" s="19" t="inlineStr">
        <is>
          <t>ลงคอมพ์แล้ว</t>
        </is>
      </c>
    </row>
    <row r="1436">
      <c r="A1436" s="157" t="n">
        <v>25065</v>
      </c>
      <c r="B1436" s="19" t="inlineStr">
        <is>
          <t>ทาเลนท์อินเตอร์เทรด</t>
        </is>
      </c>
      <c r="C1436" s="26" t="n">
        <v>2953.2</v>
      </c>
      <c r="D1436" s="20" t="inlineStr">
        <is>
          <t>IV6813173</t>
        </is>
      </c>
      <c r="E1436" s="19" t="inlineStr">
        <is>
          <t>โอน 4/12/68</t>
        </is>
      </c>
      <c r="F1436" s="19" t="inlineStr">
        <is>
          <t>ลงคอมพ์แล้ว</t>
        </is>
      </c>
    </row>
    <row r="1437">
      <c r="A1437" s="157" t="n">
        <v>25078</v>
      </c>
      <c r="B1437" s="19" t="inlineStr">
        <is>
          <t xml:space="preserve">ออโต้เทรด มาร์เก็ตติ้ง </t>
        </is>
      </c>
      <c r="C1437" s="26" t="n">
        <v>6355.8</v>
      </c>
      <c r="D1437" s="20" t="inlineStr">
        <is>
          <t>IV1470081</t>
        </is>
      </c>
      <c r="E1437" s="19" t="inlineStr">
        <is>
          <t>โอน 5/10/68</t>
        </is>
      </c>
      <c r="F1437" s="19" t="inlineStr">
        <is>
          <t>ลงคอมพ์แล้ว</t>
        </is>
      </c>
    </row>
    <row r="1438">
      <c r="A1438" s="157" t="n">
        <v>25052</v>
      </c>
      <c r="B1438" s="19" t="inlineStr">
        <is>
          <t>บจก. วีที คัลเลอร์ โปร -- ใบลดหนี้ ค่าคืนถัง 2ใบ</t>
        </is>
      </c>
      <c r="C1438" s="41" t="n">
        <v>-428</v>
      </c>
      <c r="D1438" s="20" t="inlineStr">
        <is>
          <t>CN6808001</t>
        </is>
      </c>
      <c r="E1438" s="19" t="inlineStr">
        <is>
          <t>โอน 7/11/68</t>
        </is>
      </c>
      <c r="F1438" s="19" t="inlineStr">
        <is>
          <t>ลงคอมพ์แล้ว</t>
        </is>
      </c>
      <c r="H1438" s="26" t="n"/>
    </row>
    <row r="1439">
      <c r="A1439" s="157" t="n">
        <v>25063</v>
      </c>
      <c r="B1439" s="19" t="inlineStr">
        <is>
          <t>บจก. วีที คัลเลอร์ โปร</t>
        </is>
      </c>
      <c r="C1439" s="26" t="n">
        <v>38841</v>
      </c>
      <c r="D1439" s="20" t="inlineStr">
        <is>
          <t>IV6808072</t>
        </is>
      </c>
      <c r="E1439" s="19" t="inlineStr">
        <is>
          <t>โอน 7/11/68</t>
        </is>
      </c>
      <c r="F1439" s="19" t="inlineStr">
        <is>
          <t>ลงคอมพ์แล้ว</t>
        </is>
      </c>
      <c r="I1439" s="26" t="n"/>
    </row>
    <row r="1440">
      <c r="A1440" s="157" t="n">
        <v>25069</v>
      </c>
      <c r="B1440" s="19" t="inlineStr">
        <is>
          <t>บจก. วีที คัลเลอร์ โปร</t>
        </is>
      </c>
      <c r="C1440" s="26" t="n">
        <v>88146.60000000001</v>
      </c>
      <c r="D1440" s="20" t="inlineStr">
        <is>
          <t>IV6808112</t>
        </is>
      </c>
      <c r="E1440" s="19" t="inlineStr">
        <is>
          <t>โอน 7/11/68</t>
        </is>
      </c>
      <c r="F1440" s="19" t="inlineStr">
        <is>
          <t>ลงคอมพ์แล้ว</t>
        </is>
      </c>
    </row>
    <row r="1441">
      <c r="A1441" s="157" t="n">
        <v>25073</v>
      </c>
      <c r="B1441" s="19" t="inlineStr">
        <is>
          <t>บจก. วีที คัลเลอร์ โปร</t>
        </is>
      </c>
      <c r="C1441" s="26" t="n">
        <v>72064.5</v>
      </c>
      <c r="D1441" s="20" t="inlineStr">
        <is>
          <t>IV6808151</t>
        </is>
      </c>
      <c r="E1441" s="19" t="inlineStr">
        <is>
          <t>โอน 7/11/68</t>
        </is>
      </c>
      <c r="F1441" s="19" t="inlineStr">
        <is>
          <t>ลงคอมพ์แล้ว</t>
        </is>
      </c>
    </row>
    <row r="1442">
      <c r="A1442" s="157" t="n">
        <v>25073</v>
      </c>
      <c r="B1442" s="19" t="inlineStr">
        <is>
          <t>บจก. วีที คัลเลอร์ โปร</t>
        </is>
      </c>
      <c r="C1442" s="26" t="n">
        <v>1444.5</v>
      </c>
      <c r="D1442" s="20" t="inlineStr">
        <is>
          <t>IV6808154</t>
        </is>
      </c>
      <c r="E1442" s="19" t="inlineStr">
        <is>
          <t>โอน 7/11/68</t>
        </is>
      </c>
      <c r="F1442" s="19" t="inlineStr">
        <is>
          <t>ลงคอมพ์แล้ว</t>
        </is>
      </c>
    </row>
    <row r="1443">
      <c r="A1443" s="157" t="n">
        <v>25079</v>
      </c>
      <c r="B1443" s="19" t="inlineStr">
        <is>
          <t>บจก. วีที คัลเลอร์ โปร</t>
        </is>
      </c>
      <c r="C1443" s="26" t="n">
        <v>2996</v>
      </c>
      <c r="D1443" s="20" t="inlineStr">
        <is>
          <t>IV6808186</t>
        </is>
      </c>
      <c r="E1443" s="19" t="inlineStr">
        <is>
          <t>โอน 7/11/68</t>
        </is>
      </c>
      <c r="F1443" s="19" t="inlineStr">
        <is>
          <t>ลงคอมพ์แล้ว</t>
        </is>
      </c>
    </row>
    <row r="1446">
      <c r="B1446" s="22" t="inlineStr">
        <is>
          <t>ต้นทุนอะไหล่</t>
        </is>
      </c>
    </row>
    <row r="1447">
      <c r="B1447" s="19" t="inlineStr">
        <is>
          <t>ร้านเจ๊แอน</t>
        </is>
      </c>
      <c r="C1447" s="26" t="n">
        <v>37910</v>
      </c>
      <c r="E1447" s="19" t="inlineStr">
        <is>
          <t>โอน 8/9/68</t>
        </is>
      </c>
      <c r="I1447" s="26" t="n"/>
    </row>
    <row r="1448">
      <c r="B1448" s="19" t="inlineStr">
        <is>
          <t>ร้านจิตต์ อะไหล่ เดือน 8/2568</t>
        </is>
      </c>
      <c r="C1448" s="26" t="n">
        <v>380516.25</v>
      </c>
      <c r="E1448" s="19" t="inlineStr">
        <is>
          <t>โอน 5/10/68</t>
        </is>
      </c>
      <c r="I1448" s="26" t="n"/>
    </row>
    <row r="1449">
      <c r="B1449" s="19" t="inlineStr">
        <is>
          <t>ร้านศรีสยาม อะไหล่ เดือน 8/2568</t>
        </is>
      </c>
      <c r="C1449" s="26" t="n">
        <v>123798.57</v>
      </c>
      <c r="E1449" s="19" t="inlineStr">
        <is>
          <t>โอน 5/10/68</t>
        </is>
      </c>
    </row>
    <row r="1450">
      <c r="B1450" s="19" t="inlineStr">
        <is>
          <t>ร้านโสภา</t>
        </is>
      </c>
      <c r="C1450" s="26" t="n">
        <v>2600</v>
      </c>
      <c r="E1450" s="19" t="inlineStr">
        <is>
          <t>โอน 5/10/68</t>
        </is>
      </c>
    </row>
    <row r="1453" customFormat="1" s="28">
      <c r="A1453" s="102" t="inlineStr">
        <is>
          <t>รายการซื้อสินค้าเข้า ประจำเดือน 9/2568</t>
        </is>
      </c>
      <c r="B1453" s="158" t="n"/>
      <c r="C1453" s="158" t="n"/>
      <c r="D1453" s="158" t="n"/>
      <c r="E1453" s="158" t="n"/>
      <c r="F1453" s="27" t="n"/>
      <c r="G1453" s="27" t="n"/>
      <c r="H1453" s="27" t="n"/>
      <c r="I1453" s="27" t="n"/>
      <c r="J1453" s="27" t="n"/>
    </row>
    <row r="1454" customFormat="1" s="20">
      <c r="A1454" s="159" t="inlineStr">
        <is>
          <t>ว/ด/ป</t>
        </is>
      </c>
      <c r="B1454" s="21" t="inlineStr">
        <is>
          <t>ชื่อร้านค้า</t>
        </is>
      </c>
      <c r="C1454" s="25" t="inlineStr">
        <is>
          <t>ยอดรวม</t>
        </is>
      </c>
      <c r="D1454" s="21" t="inlineStr">
        <is>
          <t>เลขที่บิล</t>
        </is>
      </c>
      <c r="E1454" s="21" t="inlineStr">
        <is>
          <t>หมายเหตุ</t>
        </is>
      </c>
    </row>
    <row r="1455">
      <c r="B1455" s="22" t="inlineStr">
        <is>
          <t>ต้นทุนสี</t>
        </is>
      </c>
    </row>
    <row r="1456">
      <c r="A1456" s="157" t="n">
        <v>25091</v>
      </c>
      <c r="B1456" s="19" t="inlineStr">
        <is>
          <t>ทาเลนท์อินเตอร์เทรด</t>
        </is>
      </c>
      <c r="C1456" s="26" t="n">
        <v>11000</v>
      </c>
      <c r="D1456" s="20" t="inlineStr">
        <is>
          <t>IV6814666</t>
        </is>
      </c>
      <c r="E1456" s="19" t="inlineStr">
        <is>
          <t>โอน 4/12/68</t>
        </is>
      </c>
      <c r="F1456" s="19" t="inlineStr">
        <is>
          <t>ลงคอมพ์แล้ว</t>
        </is>
      </c>
      <c r="I1456" s="26" t="n"/>
      <c r="J1456" s="26" t="n"/>
    </row>
    <row r="1457">
      <c r="A1457" s="157" t="n">
        <v>25092</v>
      </c>
      <c r="B1457" s="19" t="inlineStr">
        <is>
          <t>ทาเลนท์อินเตอร์เทรด</t>
        </is>
      </c>
      <c r="C1457" s="26" t="n">
        <v>2953.2</v>
      </c>
      <c r="D1457" s="20" t="inlineStr">
        <is>
          <t>IV6814709</t>
        </is>
      </c>
      <c r="E1457" s="19" t="inlineStr">
        <is>
          <t>โอน 4/12/68</t>
        </is>
      </c>
      <c r="F1457" s="19" t="inlineStr">
        <is>
          <t>ลงคอมพ์แล้ว</t>
        </is>
      </c>
    </row>
    <row r="1458">
      <c r="A1458" s="157" t="n">
        <v>25098</v>
      </c>
      <c r="B1458" s="19" t="inlineStr">
        <is>
          <t>ทาเลนท์อินเตอร์เทรด</t>
        </is>
      </c>
      <c r="C1458" s="26" t="n">
        <v>4483.3</v>
      </c>
      <c r="D1458" s="20" t="inlineStr">
        <is>
          <t>IV6815079</t>
        </is>
      </c>
      <c r="E1458" s="19" t="inlineStr">
        <is>
          <t>โอน 4/12/68</t>
        </is>
      </c>
      <c r="F1458" s="19" t="inlineStr">
        <is>
          <t>ลงคอมพ์แล้ว</t>
        </is>
      </c>
    </row>
    <row r="1459">
      <c r="A1459" s="157" t="n">
        <v>25098</v>
      </c>
      <c r="B1459" s="19" t="inlineStr">
        <is>
          <t>ห้างหุ้นส่วนจำกัด พี.บี. เพ้นต์</t>
        </is>
      </c>
      <c r="C1459" s="26" t="n">
        <v>3595.2</v>
      </c>
      <c r="D1459" s="20" t="inlineStr">
        <is>
          <t>PB2025090039</t>
        </is>
      </c>
      <c r="E1459" s="19" t="inlineStr">
        <is>
          <t>โอน 5/10/68</t>
        </is>
      </c>
      <c r="F1459" s="19" t="inlineStr">
        <is>
          <t>ลงคอมพ์แล้ว</t>
        </is>
      </c>
    </row>
    <row r="1460">
      <c r="A1460" s="157" t="n">
        <v>25083</v>
      </c>
      <c r="B1460" s="19" t="inlineStr">
        <is>
          <t>บจก. วีที คัลเลอร์ โปร</t>
        </is>
      </c>
      <c r="C1460" s="26" t="n">
        <v>35930.6</v>
      </c>
      <c r="D1460" s="20" t="inlineStr">
        <is>
          <t>IV6809023</t>
        </is>
      </c>
      <c r="E1460" s="19" t="inlineStr">
        <is>
          <t>โอน 4/12/68</t>
        </is>
      </c>
      <c r="F1460" s="19" t="inlineStr">
        <is>
          <t>ลงคอมพ์แล้ว</t>
        </is>
      </c>
      <c r="I1460" s="26" t="n"/>
    </row>
    <row r="1461">
      <c r="A1461" s="157" t="n">
        <v>25092</v>
      </c>
      <c r="B1461" s="19" t="inlineStr">
        <is>
          <t>บจก. วีที คัลเลอร์ โปร</t>
        </is>
      </c>
      <c r="C1461" s="26" t="n">
        <v>9501.6</v>
      </c>
      <c r="D1461" s="20" t="inlineStr">
        <is>
          <t>IV6809080</t>
        </is>
      </c>
      <c r="E1461" s="19" t="inlineStr">
        <is>
          <t>โอน 4/12/68</t>
        </is>
      </c>
      <c r="F1461" s="19" t="inlineStr">
        <is>
          <t>ลงคอมพ์แล้ว</t>
        </is>
      </c>
    </row>
    <row r="1462">
      <c r="A1462" s="157" t="n">
        <v>25093</v>
      </c>
      <c r="B1462" s="19" t="inlineStr">
        <is>
          <t>บจก. วีที คัลเลอร์ โปร</t>
        </is>
      </c>
      <c r="C1462" s="26" t="n">
        <v>1540.8</v>
      </c>
      <c r="D1462" s="20" t="inlineStr">
        <is>
          <t>IV6809085</t>
        </is>
      </c>
      <c r="E1462" s="19" t="inlineStr">
        <is>
          <t>โอน 4/12/68</t>
        </is>
      </c>
      <c r="F1462" s="19" t="inlineStr">
        <is>
          <t>ลงคอมพ์แล้ว</t>
        </is>
      </c>
      <c r="I1462" s="26" t="n"/>
    </row>
    <row r="1463">
      <c r="A1463" s="157" t="n">
        <v>25093</v>
      </c>
      <c r="B1463" s="19" t="inlineStr">
        <is>
          <t>บจก. วีที คัลเลอร์ โปร</t>
        </is>
      </c>
      <c r="C1463" s="26" t="n">
        <v>29853</v>
      </c>
      <c r="D1463" s="20" t="inlineStr">
        <is>
          <t>IV6809088</t>
        </is>
      </c>
      <c r="E1463" s="19" t="inlineStr">
        <is>
          <t>โอน 4/12/68</t>
        </is>
      </c>
      <c r="F1463" s="19" t="inlineStr">
        <is>
          <t>ลงคอมพ์แล้ว</t>
        </is>
      </c>
    </row>
    <row r="1464">
      <c r="A1464" s="157" t="n">
        <v>25093</v>
      </c>
      <c r="B1464" s="19" t="inlineStr">
        <is>
          <t>บจก. วีที คัลเลอร์ โปร -- ใบลดหนี้ คืนฮาร์ดเดนเนอร์ HYBRID PREMIUM 4:1 จำนวน 2กป.</t>
        </is>
      </c>
      <c r="C1464" s="41" t="n">
        <v>-941.6</v>
      </c>
      <c r="D1464" s="20" t="inlineStr">
        <is>
          <t>CN6809002</t>
        </is>
      </c>
      <c r="E1464" s="19" t="inlineStr">
        <is>
          <t>โอน 4/12/68</t>
        </is>
      </c>
      <c r="F1464" s="19" t="inlineStr">
        <is>
          <t>ลงคอมพ์แล้ว</t>
        </is>
      </c>
    </row>
    <row r="1465">
      <c r="A1465" s="157" t="n">
        <v>25098</v>
      </c>
      <c r="B1465" s="19" t="inlineStr">
        <is>
          <t>บจก. วีที คัลเลอร์ โปร</t>
        </is>
      </c>
      <c r="C1465" s="26" t="n">
        <v>152154</v>
      </c>
      <c r="D1465" s="20" t="inlineStr">
        <is>
          <t>IV6809124</t>
        </is>
      </c>
      <c r="E1465" s="19" t="inlineStr">
        <is>
          <t>โอน 4/12/68</t>
        </is>
      </c>
      <c r="F1465" s="19" t="inlineStr">
        <is>
          <t>ลงคอมพ์แล้ว</t>
        </is>
      </c>
    </row>
    <row r="1466">
      <c r="A1466" s="157" t="n">
        <v>25106</v>
      </c>
      <c r="B1466" s="19" t="inlineStr">
        <is>
          <t>บจก. วีที คัลเลอร์ โปร</t>
        </is>
      </c>
      <c r="C1466" s="26" t="n">
        <v>30388</v>
      </c>
      <c r="D1466" s="20" t="inlineStr">
        <is>
          <t>IV6809181</t>
        </is>
      </c>
      <c r="E1466" s="19" t="inlineStr">
        <is>
          <t>โอน 4/12/68</t>
        </is>
      </c>
      <c r="F1466" s="19" t="inlineStr">
        <is>
          <t>ลงคอมพ์แล้ว</t>
        </is>
      </c>
    </row>
    <row r="1469">
      <c r="B1469" s="22" t="inlineStr">
        <is>
          <t>ต้นทุนอะไหล่</t>
        </is>
      </c>
    </row>
    <row r="1470">
      <c r="A1470" s="157" t="n">
        <v>25094</v>
      </c>
      <c r="B1470" s="19" t="inlineStr">
        <is>
          <t>ค่ากิ๊บน๊อต / ร้าน 55 กิ๊บน๊อต</t>
        </is>
      </c>
      <c r="C1470" s="26" t="n">
        <v>6800</v>
      </c>
      <c r="E1470" s="19" t="inlineStr">
        <is>
          <t>โอน 19/9/68</t>
        </is>
      </c>
      <c r="F1470" s="19" t="inlineStr">
        <is>
          <t>ไม่ลงคอมพ์</t>
        </is>
      </c>
    </row>
    <row r="1471">
      <c r="A1471" s="157" t="n">
        <v>25094</v>
      </c>
      <c r="B1471" s="19" t="inlineStr">
        <is>
          <t xml:space="preserve">กิ๊บน๊อต / ร้านต้นคิด   </t>
        </is>
      </c>
      <c r="C1471" s="26" t="n">
        <v>1550</v>
      </c>
      <c r="E1471" s="19" t="inlineStr">
        <is>
          <t>โอน 19/9/68</t>
        </is>
      </c>
      <c r="F1471" s="19" t="inlineStr">
        <is>
          <t>ไม่ลงคอมพ์</t>
        </is>
      </c>
    </row>
    <row r="1472">
      <c r="B1472" s="19" t="inlineStr">
        <is>
          <t>ร้านเจ๊แอน</t>
        </is>
      </c>
      <c r="C1472" s="26" t="n">
        <v>37200</v>
      </c>
      <c r="E1472" s="19" t="inlineStr">
        <is>
          <t>โอน 5/10/68</t>
        </is>
      </c>
    </row>
    <row r="1473">
      <c r="B1473" s="19" t="inlineStr">
        <is>
          <t>ร้านโสภา</t>
        </is>
      </c>
      <c r="C1473" s="26" t="n">
        <v>4000</v>
      </c>
      <c r="E1473" s="19" t="inlineStr">
        <is>
          <t>โอน 5/10/68</t>
        </is>
      </c>
    </row>
    <row r="1474">
      <c r="A1474" s="157" t="inlineStr">
        <is>
          <t>4-25/9/68</t>
        </is>
      </c>
      <c r="B1474" s="19" t="inlineStr">
        <is>
          <t>ร้านตั้มปากซอย</t>
        </is>
      </c>
      <c r="C1474" s="26" t="n">
        <v>37700</v>
      </c>
      <c r="E1474" s="19" t="inlineStr">
        <is>
          <t>โอน 29/9/68</t>
        </is>
      </c>
    </row>
    <row r="1475">
      <c r="A1475" s="157" t="n">
        <v>25103</v>
      </c>
      <c r="B1475" s="19" t="inlineStr">
        <is>
          <t>ร้านตั้มปากซอย</t>
        </is>
      </c>
      <c r="C1475" s="26" t="n">
        <v>13000</v>
      </c>
      <c r="E1475" s="19" t="inlineStr">
        <is>
          <t>โอน 22/9/68</t>
        </is>
      </c>
    </row>
    <row r="1476">
      <c r="A1476" s="157" t="n">
        <v>25110</v>
      </c>
      <c r="B1476" s="19" t="inlineStr">
        <is>
          <t>ร้านตั้มปากซอย</t>
        </is>
      </c>
      <c r="C1476" s="26" t="n">
        <v>3000</v>
      </c>
      <c r="E1476" s="19" t="inlineStr">
        <is>
          <t>โอน 11/10/68</t>
        </is>
      </c>
    </row>
    <row r="1477">
      <c r="B1477" s="19" t="inlineStr">
        <is>
          <t>ร้านจิตต์ อะไหล่ เดือน 9/2568</t>
        </is>
      </c>
      <c r="C1477" s="26" t="n">
        <v>186484.54</v>
      </c>
      <c r="E1477" s="19" t="inlineStr">
        <is>
          <t>โอน 11/11/68</t>
        </is>
      </c>
    </row>
    <row r="1478">
      <c r="B1478" s="19" t="inlineStr">
        <is>
          <t>ร้านศรีสยาม อะไหล่ เดือน 9/2568</t>
        </is>
      </c>
      <c r="C1478" s="26" t="n">
        <v>107477.07</v>
      </c>
      <c r="E1478" s="19" t="inlineStr">
        <is>
          <t>โอน 11/11/68</t>
        </is>
      </c>
    </row>
    <row r="1480" customFormat="1" s="28">
      <c r="A1480" s="102" t="inlineStr">
        <is>
          <t>รายการซื้อสินค้าเข้า ประจำเดือน 10/2568</t>
        </is>
      </c>
      <c r="B1480" s="158" t="n"/>
      <c r="C1480" s="158" t="n"/>
      <c r="D1480" s="158" t="n"/>
      <c r="E1480" s="158" t="n"/>
      <c r="F1480" s="27" t="n"/>
      <c r="G1480" s="27" t="n"/>
      <c r="H1480" s="27" t="n"/>
      <c r="I1480" s="27" t="n"/>
      <c r="J1480" s="27" t="n"/>
    </row>
    <row r="1481" customFormat="1" s="20">
      <c r="A1481" s="159" t="inlineStr">
        <is>
          <t>ว/ด/ป</t>
        </is>
      </c>
      <c r="B1481" s="21" t="inlineStr">
        <is>
          <t>ชื่อร้านค้า</t>
        </is>
      </c>
      <c r="C1481" s="25" t="inlineStr">
        <is>
          <t>ยอดรวม</t>
        </is>
      </c>
      <c r="D1481" s="21" t="inlineStr">
        <is>
          <t>เลขที่บิล</t>
        </is>
      </c>
      <c r="E1481" s="21" t="inlineStr">
        <is>
          <t>หมายเหตุ</t>
        </is>
      </c>
    </row>
    <row r="1482">
      <c r="B1482" s="22" t="inlineStr">
        <is>
          <t>ต้นทุนสี</t>
        </is>
      </c>
    </row>
    <row r="1483">
      <c r="A1483" s="157" t="n">
        <v>25112</v>
      </c>
      <c r="B1483" s="19" t="inlineStr">
        <is>
          <t>บจก. วีที คัลเลอร์ โปร</t>
        </is>
      </c>
      <c r="C1483" s="26" t="n">
        <v>64414</v>
      </c>
      <c r="D1483" s="20" t="inlineStr">
        <is>
          <t>IV6810015</t>
        </is>
      </c>
      <c r="E1483" s="19" t="inlineStr">
        <is>
          <t>โอน 4/1/69</t>
        </is>
      </c>
      <c r="F1483" s="19" t="inlineStr">
        <is>
          <t>ลงคอมพ์แล้ว</t>
        </is>
      </c>
      <c r="I1483" s="26" t="n"/>
    </row>
    <row r="1484">
      <c r="A1484" s="157" t="n">
        <v>25113</v>
      </c>
      <c r="B1484" s="19" t="inlineStr">
        <is>
          <t>บจก. วีที คัลเลอร์ โปร</t>
        </is>
      </c>
      <c r="C1484" s="26" t="n">
        <v>8988</v>
      </c>
      <c r="D1484" s="20" t="inlineStr">
        <is>
          <t>IV6810023</t>
        </is>
      </c>
      <c r="E1484" s="19" t="inlineStr">
        <is>
          <t>โอน 4/1/69</t>
        </is>
      </c>
      <c r="F1484" s="19" t="inlineStr">
        <is>
          <t>ลงคอมพ์แล้ว</t>
        </is>
      </c>
    </row>
    <row r="1485">
      <c r="A1485" s="157" t="n">
        <v>25117</v>
      </c>
      <c r="B1485" s="19" t="inlineStr">
        <is>
          <t>บจก. วีที คัลเลอร์ โปร</t>
        </is>
      </c>
      <c r="C1485" s="26" t="n">
        <v>1926</v>
      </c>
      <c r="D1485" s="20" t="inlineStr">
        <is>
          <t>IV6810042</t>
        </is>
      </c>
      <c r="E1485" s="19" t="inlineStr">
        <is>
          <t>โอน 4/1/69</t>
        </is>
      </c>
      <c r="F1485" s="19" t="inlineStr">
        <is>
          <t>ลงคอมพ์แล้ว</t>
        </is>
      </c>
    </row>
    <row r="1486">
      <c r="A1486" s="157" t="n">
        <v>25122</v>
      </c>
      <c r="B1486" s="19" t="inlineStr">
        <is>
          <t>บจก. วีที คัลเลอร์ โปร</t>
        </is>
      </c>
      <c r="C1486" s="26" t="n">
        <v>8988</v>
      </c>
      <c r="D1486" s="20" t="inlineStr">
        <is>
          <t>IV6810077</t>
        </is>
      </c>
      <c r="E1486" s="19" t="inlineStr">
        <is>
          <t>โอน 4/1/69</t>
        </is>
      </c>
      <c r="F1486" s="19" t="inlineStr">
        <is>
          <t>ลงคอมพ์แล้ว</t>
        </is>
      </c>
    </row>
    <row r="1487">
      <c r="A1487" s="157" t="n">
        <v>25122</v>
      </c>
      <c r="B1487" s="19" t="inlineStr">
        <is>
          <t>บจก. วีที คัลเลอร์ โปร</t>
        </is>
      </c>
      <c r="C1487" s="26" t="n">
        <v>11556</v>
      </c>
      <c r="D1487" s="20" t="inlineStr">
        <is>
          <t>IV6810079</t>
        </is>
      </c>
      <c r="E1487" s="19" t="inlineStr">
        <is>
          <t>โอน 4/1/69</t>
        </is>
      </c>
      <c r="F1487" s="19" t="inlineStr">
        <is>
          <t>ลงคอมพ์แล้ว</t>
        </is>
      </c>
    </row>
    <row r="1488">
      <c r="A1488" s="157" t="n">
        <v>25125</v>
      </c>
      <c r="B1488" s="19" t="inlineStr">
        <is>
          <t>บจก. วีที คัลเลอร์ โปร</t>
        </is>
      </c>
      <c r="C1488" s="26" t="n">
        <v>5992</v>
      </c>
      <c r="D1488" s="20" t="inlineStr">
        <is>
          <t>IV6810085</t>
        </is>
      </c>
      <c r="E1488" s="19" t="inlineStr">
        <is>
          <t>โอน 4/1/69</t>
        </is>
      </c>
      <c r="F1488" s="19" t="inlineStr">
        <is>
          <t>ลงคอมพ์แล้ว</t>
        </is>
      </c>
    </row>
    <row r="1489">
      <c r="A1489" s="157" t="n">
        <v>25127</v>
      </c>
      <c r="B1489" s="19" t="inlineStr">
        <is>
          <t>บจก. วีที คัลเลอร์ โปร</t>
        </is>
      </c>
      <c r="C1489" s="26" t="n">
        <v>47187</v>
      </c>
      <c r="D1489" s="20" t="inlineStr">
        <is>
          <t>IV6810110</t>
        </is>
      </c>
      <c r="E1489" s="19" t="inlineStr">
        <is>
          <t>โอน 4/1/69</t>
        </is>
      </c>
      <c r="F1489" s="19" t="inlineStr">
        <is>
          <t>ลงคอมพ์แล้ว</t>
        </is>
      </c>
    </row>
    <row r="1490">
      <c r="A1490" s="157" t="n">
        <v>25129</v>
      </c>
      <c r="B1490" s="19" t="inlineStr">
        <is>
          <t>บจก. วีที คัลเลอร์ โปร</t>
        </is>
      </c>
      <c r="C1490" s="26" t="n">
        <v>8731.200000000001</v>
      </c>
      <c r="D1490" s="20" t="inlineStr">
        <is>
          <t>IV6810120</t>
        </is>
      </c>
      <c r="E1490" s="19" t="inlineStr">
        <is>
          <t>โอน 4/1/69</t>
        </is>
      </c>
      <c r="F1490" s="19" t="inlineStr">
        <is>
          <t>ลงคอมพ์แล้ว</t>
        </is>
      </c>
    </row>
    <row r="1491">
      <c r="A1491" s="157" t="n">
        <v>25135</v>
      </c>
      <c r="B1491" s="19" t="inlineStr">
        <is>
          <t>บจก. วีที คัลเลอร์ โปร</t>
        </is>
      </c>
      <c r="C1491" s="26" t="n">
        <v>10272</v>
      </c>
      <c r="D1491" s="20" t="inlineStr">
        <is>
          <t>IV6810152</t>
        </is>
      </c>
      <c r="E1491" s="19" t="inlineStr">
        <is>
          <t>โอน 4/1/69</t>
        </is>
      </c>
      <c r="F1491" s="19" t="inlineStr">
        <is>
          <t>ลงคอมพ์แล้ว</t>
        </is>
      </c>
    </row>
    <row r="1492">
      <c r="A1492" s="157" t="n">
        <v>25138</v>
      </c>
      <c r="B1492" s="19" t="inlineStr">
        <is>
          <t>บจก. วีที คัลเลอร์ โปร</t>
        </is>
      </c>
      <c r="C1492" s="26" t="n">
        <v>2996</v>
      </c>
      <c r="D1492" s="20" t="inlineStr">
        <is>
          <t>IV6810167</t>
        </is>
      </c>
      <c r="E1492" s="19" t="inlineStr">
        <is>
          <t>โอน 4/1/69</t>
        </is>
      </c>
      <c r="F1492" s="19" t="inlineStr">
        <is>
          <t>ลงคอมพ์แล้ว</t>
        </is>
      </c>
    </row>
    <row r="1493">
      <c r="A1493" s="157" t="n">
        <v>25135</v>
      </c>
      <c r="B1493" s="19" t="inlineStr">
        <is>
          <t xml:space="preserve">ออโต้เทรด มาร์เก็ตติ้ง </t>
        </is>
      </c>
      <c r="C1493" s="26" t="n">
        <v>26429</v>
      </c>
      <c r="D1493" s="20" t="inlineStr">
        <is>
          <t>IV1472726</t>
        </is>
      </c>
      <c r="E1493" s="19" t="inlineStr">
        <is>
          <t>โอน 16/11/68</t>
        </is>
      </c>
      <c r="F1493" s="19" t="inlineStr">
        <is>
          <t>ลงคอมพ์แล้ว</t>
        </is>
      </c>
    </row>
    <row r="1494">
      <c r="A1494" s="157" t="n">
        <v>25121</v>
      </c>
      <c r="B1494" s="19" t="inlineStr">
        <is>
          <t>ทาเลนท์อินเตอร์เทรด</t>
        </is>
      </c>
      <c r="C1494" s="26" t="n">
        <v>11000</v>
      </c>
      <c r="D1494" s="20" t="inlineStr">
        <is>
          <t>IV6816495</t>
        </is>
      </c>
      <c r="E1494" s="19" t="inlineStr">
        <is>
          <t>โอน 6/2/69</t>
        </is>
      </c>
      <c r="F1494" s="19" t="inlineStr">
        <is>
          <t>ลงคอมพ์แล้ว</t>
        </is>
      </c>
      <c r="I1494" s="26">
        <f>SUM(C1494+C1495)</f>
        <v/>
      </c>
    </row>
    <row r="1495">
      <c r="A1495" s="157" t="n">
        <v>25127</v>
      </c>
      <c r="B1495" s="19" t="inlineStr">
        <is>
          <t>ทาเลนท์อินเตอร์เทรด</t>
        </is>
      </c>
      <c r="C1495" s="26" t="n">
        <v>1129.92</v>
      </c>
      <c r="D1495" s="20" t="inlineStr">
        <is>
          <t>IV6816789</t>
        </is>
      </c>
      <c r="E1495" s="19" t="inlineStr">
        <is>
          <t>โอน 6/2/69</t>
        </is>
      </c>
      <c r="F1495" s="19" t="inlineStr">
        <is>
          <t>ลงคอมพ์แล้ว</t>
        </is>
      </c>
    </row>
    <row r="1497">
      <c r="B1497" s="22" t="inlineStr">
        <is>
          <t>ต้นทุนอะไหล่</t>
        </is>
      </c>
    </row>
    <row r="1498">
      <c r="A1498" s="157" t="inlineStr">
        <is>
          <t>1-10/10/68</t>
        </is>
      </c>
      <c r="B1498" s="19" t="inlineStr">
        <is>
          <t>ร้านตั้มปากซอย</t>
        </is>
      </c>
      <c r="C1498" s="26" t="n">
        <v>26400</v>
      </c>
      <c r="E1498" s="19" t="inlineStr">
        <is>
          <t>โอน 11/10/68</t>
        </is>
      </c>
    </row>
    <row r="1499">
      <c r="A1499" s="157" t="inlineStr">
        <is>
          <t>11-28/10/68</t>
        </is>
      </c>
      <c r="B1499" s="19" t="inlineStr">
        <is>
          <t>ร้านตั้มปากซอย</t>
        </is>
      </c>
      <c r="C1499" s="26" t="n">
        <v>18800</v>
      </c>
      <c r="E1499" s="19" t="inlineStr">
        <is>
          <t>โอน 29/10/68</t>
        </is>
      </c>
    </row>
    <row r="1500">
      <c r="B1500" s="19" t="inlineStr">
        <is>
          <t>ร้านเจ๊แอน</t>
        </is>
      </c>
      <c r="C1500" s="26" t="n">
        <v>33410</v>
      </c>
      <c r="E1500" s="19" t="inlineStr">
        <is>
          <t>โอน 3/11/68</t>
        </is>
      </c>
    </row>
    <row r="1501">
      <c r="B1501" s="19" t="inlineStr">
        <is>
          <t>ร้านจิตต์ อะไหล่ เดือน 10/2568</t>
        </is>
      </c>
      <c r="C1501" s="26" t="n">
        <v>218516.89</v>
      </c>
      <c r="E1501" s="19" t="inlineStr">
        <is>
          <t>โอน 4/12/68</t>
        </is>
      </c>
    </row>
    <row r="1502">
      <c r="B1502" s="19" t="inlineStr">
        <is>
          <t>ร้านศรีสยาม อะไหล่ เดือน 10/2568</t>
        </is>
      </c>
      <c r="C1502" s="26" t="n">
        <v>83788.78999999999</v>
      </c>
      <c r="E1502" s="19" t="inlineStr">
        <is>
          <t>โอน 4/12/68</t>
        </is>
      </c>
    </row>
    <row r="1504" customFormat="1" s="28">
      <c r="A1504" s="102" t="inlineStr">
        <is>
          <t>รายการซื้อสินค้าเข้า ประจำเดือน 11/2568</t>
        </is>
      </c>
      <c r="B1504" s="158" t="n"/>
      <c r="C1504" s="158" t="n"/>
      <c r="D1504" s="158" t="n"/>
      <c r="E1504" s="158" t="n"/>
      <c r="F1504" s="27" t="n"/>
      <c r="G1504" s="27" t="n"/>
      <c r="H1504" s="27" t="n"/>
      <c r="I1504" s="27" t="n"/>
      <c r="J1504" s="27" t="n"/>
    </row>
    <row r="1505" customFormat="1" s="20">
      <c r="A1505" s="159" t="inlineStr">
        <is>
          <t>ว/ด/ป</t>
        </is>
      </c>
      <c r="B1505" s="21" t="inlineStr">
        <is>
          <t>ชื่อร้านค้า</t>
        </is>
      </c>
      <c r="C1505" s="25" t="inlineStr">
        <is>
          <t>ยอดรวม</t>
        </is>
      </c>
      <c r="D1505" s="21" t="inlineStr">
        <is>
          <t>เลขที่บิล</t>
        </is>
      </c>
      <c r="E1505" s="21" t="inlineStr">
        <is>
          <t>หมายเหตุ</t>
        </is>
      </c>
    </row>
    <row r="1506">
      <c r="B1506" s="22" t="inlineStr">
        <is>
          <t>ต้นทุนสี</t>
        </is>
      </c>
    </row>
    <row r="1507">
      <c r="A1507" s="157" t="n">
        <v>25145</v>
      </c>
      <c r="B1507" s="19" t="inlineStr">
        <is>
          <t>บจก. วีที คัลเลอร์ โปร</t>
        </is>
      </c>
      <c r="C1507" s="26" t="n">
        <v>111975.5</v>
      </c>
      <c r="D1507" s="20" t="inlineStr">
        <is>
          <t>IV6811023</t>
        </is>
      </c>
      <c r="E1507" s="19" t="inlineStr">
        <is>
          <t>โอน 6/2/69</t>
        </is>
      </c>
      <c r="F1507" s="19" t="inlineStr">
        <is>
          <t>ลงคอมพ์แล้ว</t>
        </is>
      </c>
      <c r="I1507" s="26" t="n"/>
    </row>
    <row r="1508">
      <c r="A1508" s="157" t="n">
        <v>25146</v>
      </c>
      <c r="B1508" s="19" t="inlineStr">
        <is>
          <t>บจก. วีที คัลเลอร์ โปร</t>
        </is>
      </c>
      <c r="C1508" s="26" t="n">
        <v>3659.4</v>
      </c>
      <c r="D1508" s="20" t="inlineStr">
        <is>
          <t>IV6811032</t>
        </is>
      </c>
      <c r="E1508" s="19" t="inlineStr">
        <is>
          <t>โอน 6/2/69</t>
        </is>
      </c>
      <c r="F1508" s="19" t="inlineStr">
        <is>
          <t>ลงคอมพ์แล้ว</t>
        </is>
      </c>
    </row>
    <row r="1509">
      <c r="A1509" s="157" t="n">
        <v>25149</v>
      </c>
      <c r="B1509" s="19" t="inlineStr">
        <is>
          <t>บจก. วีที คัลเลอร์ โปร</t>
        </is>
      </c>
      <c r="C1509" s="26" t="n">
        <v>19153</v>
      </c>
      <c r="D1509" s="20" t="inlineStr">
        <is>
          <t>IV6811058</t>
        </is>
      </c>
      <c r="E1509" s="19" t="inlineStr">
        <is>
          <t>โอน 6/2/69</t>
        </is>
      </c>
      <c r="F1509" s="19" t="inlineStr">
        <is>
          <t>ลงคอมพ์แล้ว</t>
        </is>
      </c>
    </row>
    <row r="1510">
      <c r="A1510" s="157" t="n">
        <v>25156</v>
      </c>
      <c r="B1510" s="19" t="inlineStr">
        <is>
          <t>บจก. วีที คัลเลอร์ โปร</t>
        </is>
      </c>
      <c r="C1510" s="26" t="n">
        <v>9244.799999999999</v>
      </c>
      <c r="D1510" s="20" t="inlineStr">
        <is>
          <t>IV6811111</t>
        </is>
      </c>
      <c r="E1510" s="19" t="inlineStr">
        <is>
          <t>โอน 6/2/69</t>
        </is>
      </c>
      <c r="F1510" s="19" t="inlineStr">
        <is>
          <t>ลงคอมพ์แล้ว</t>
        </is>
      </c>
    </row>
    <row r="1511">
      <c r="A1511" s="157" t="n">
        <v>25168</v>
      </c>
      <c r="B1511" s="19" t="inlineStr">
        <is>
          <t>บจก. วีที คัลเลอร์ โปร</t>
        </is>
      </c>
      <c r="C1511" s="26" t="n">
        <v>32100</v>
      </c>
      <c r="D1511" s="20" t="inlineStr">
        <is>
          <t>IV6811186</t>
        </is>
      </c>
      <c r="E1511" s="19" t="inlineStr">
        <is>
          <t>โอน 6/2/69</t>
        </is>
      </c>
      <c r="F1511" s="19" t="inlineStr">
        <is>
          <t>ลงคอมพ์แล้ว</t>
        </is>
      </c>
    </row>
    <row r="1512">
      <c r="A1512" s="157" t="n">
        <v>25168</v>
      </c>
      <c r="B1512" s="19" t="inlineStr">
        <is>
          <t>บจก. วีที คัลเลอร์ โปร</t>
        </is>
      </c>
      <c r="C1512" s="26" t="n">
        <v>57619.5</v>
      </c>
      <c r="D1512" s="20" t="inlineStr">
        <is>
          <t>IV6811188</t>
        </is>
      </c>
      <c r="E1512" s="19" t="inlineStr">
        <is>
          <t>โอน 6/2/69</t>
        </is>
      </c>
      <c r="F1512" s="19" t="inlineStr">
        <is>
          <t>ลงคอมพ์แล้ว</t>
        </is>
      </c>
    </row>
    <row r="1513">
      <c r="A1513" s="157" t="n">
        <v>25147</v>
      </c>
      <c r="B1513" s="19" t="inlineStr">
        <is>
          <t>ทาเลนท์อินเตอร์เทรด</t>
        </is>
      </c>
      <c r="C1513" s="26" t="n">
        <v>11000</v>
      </c>
      <c r="D1513" s="20" t="inlineStr">
        <is>
          <t>IV6818042</t>
        </is>
      </c>
      <c r="E1513" s="19" t="inlineStr">
        <is>
          <t>โอน 27/2/69</t>
        </is>
      </c>
      <c r="F1513" s="19" t="inlineStr">
        <is>
          <t>ลงคอมพ์แล้ว</t>
        </is>
      </c>
    </row>
    <row r="1514">
      <c r="A1514" s="157" t="n">
        <v>25160</v>
      </c>
      <c r="B1514" s="19" t="inlineStr">
        <is>
          <t>ทาเลนท์อินเตอร์เทรด</t>
        </is>
      </c>
      <c r="C1514" s="26" t="n">
        <v>4675.9</v>
      </c>
      <c r="D1514" s="20" t="inlineStr">
        <is>
          <t>IV6818818</t>
        </is>
      </c>
      <c r="E1514" s="19" t="inlineStr">
        <is>
          <t>โอน 27/2/69</t>
        </is>
      </c>
      <c r="F1514" s="19" t="inlineStr">
        <is>
          <t>ลงคอมพ์แล้ว</t>
        </is>
      </c>
    </row>
    <row r="1515">
      <c r="A1515" s="157" t="n">
        <v>25163</v>
      </c>
      <c r="B1515" s="19" t="inlineStr">
        <is>
          <t>ทาเลนท์อินเตอร์เทรด</t>
        </is>
      </c>
      <c r="C1515" s="26" t="n">
        <v>1230.5</v>
      </c>
      <c r="D1515" s="20" t="inlineStr">
        <is>
          <t>IV6819012</t>
        </is>
      </c>
      <c r="E1515" s="19" t="inlineStr">
        <is>
          <t>โอน 27/2/69</t>
        </is>
      </c>
      <c r="F1515" s="19" t="inlineStr">
        <is>
          <t>ลงคอมพ์แล้ว</t>
        </is>
      </c>
    </row>
    <row r="1516">
      <c r="A1516" s="157" t="n">
        <v>25169</v>
      </c>
      <c r="B1516" s="19" t="inlineStr">
        <is>
          <t>ทาเลนท์อินเตอร์เทรด</t>
        </is>
      </c>
      <c r="C1516" s="26" t="n">
        <v>11000</v>
      </c>
      <c r="D1516" s="20" t="inlineStr">
        <is>
          <t>IV6819324</t>
        </is>
      </c>
      <c r="E1516" s="19" t="inlineStr">
        <is>
          <t>โอน 27/2/69</t>
        </is>
      </c>
      <c r="F1516" s="19" t="inlineStr">
        <is>
          <t>ลงคอมพ์แล้ว</t>
        </is>
      </c>
    </row>
    <row r="1517">
      <c r="A1517" s="157" t="n">
        <v>25169</v>
      </c>
      <c r="B1517" s="19" t="inlineStr">
        <is>
          <t>ทาเลนท์อินเตอร์เทรด</t>
        </is>
      </c>
      <c r="C1517" s="26" t="n">
        <v>2884.72</v>
      </c>
      <c r="D1517" s="20" t="inlineStr">
        <is>
          <t>IV6819334</t>
        </is>
      </c>
      <c r="E1517" s="19" t="inlineStr">
        <is>
          <t>โอน 27/2/69</t>
        </is>
      </c>
      <c r="F1517" s="19" t="inlineStr">
        <is>
          <t>ลงคอมพ์แล้ว</t>
        </is>
      </c>
    </row>
    <row r="1518">
      <c r="I1518" s="26" t="n"/>
    </row>
    <row r="1520">
      <c r="B1520" s="22" t="inlineStr">
        <is>
          <t>ต้นทุนอะไหล่</t>
        </is>
      </c>
    </row>
    <row r="1521">
      <c r="A1521" s="157" t="inlineStr">
        <is>
          <t>3-7/11/68</t>
        </is>
      </c>
      <c r="B1521" s="19" t="inlineStr">
        <is>
          <t>ร้านตั้มปากซอย</t>
        </is>
      </c>
      <c r="C1521" s="26" t="n">
        <v>25300</v>
      </c>
      <c r="E1521" s="19" t="inlineStr">
        <is>
          <t>โอน 9/11/68</t>
        </is>
      </c>
    </row>
    <row r="1522">
      <c r="A1522" s="157" t="inlineStr">
        <is>
          <t>1-30/11/68</t>
        </is>
      </c>
      <c r="B1522" s="19" t="inlineStr">
        <is>
          <t>ร้านเจ๊แอน</t>
        </is>
      </c>
      <c r="C1522" s="26" t="n">
        <v>28400</v>
      </c>
      <c r="E1522" s="19" t="inlineStr">
        <is>
          <t>โอน 3/12/68</t>
        </is>
      </c>
    </row>
    <row r="1523">
      <c r="B1523" s="19" t="inlineStr">
        <is>
          <t>ร้านจิตต์ อะไหล่ เดือน 11/2568</t>
        </is>
      </c>
      <c r="C1523" s="26" t="n">
        <v>272780.35</v>
      </c>
      <c r="E1523" s="19" t="inlineStr">
        <is>
          <t>โอน 3/1/69</t>
        </is>
      </c>
    </row>
    <row r="1524">
      <c r="B1524" s="19" t="inlineStr">
        <is>
          <t>ร้านศรีสยาม อะไหล่ เดือน 11/2568</t>
        </is>
      </c>
      <c r="C1524" s="26" t="n">
        <v>99223.22</v>
      </c>
      <c r="E1524" s="19" t="inlineStr">
        <is>
          <t>โอน 3/1/69</t>
        </is>
      </c>
    </row>
    <row r="1527" customFormat="1" s="28">
      <c r="A1527" s="102" t="inlineStr">
        <is>
          <t>รายการซื้อสินค้าเข้า ประจำเดือน 12/2568</t>
        </is>
      </c>
      <c r="B1527" s="158" t="n"/>
      <c r="C1527" s="158" t="n"/>
      <c r="D1527" s="158" t="n"/>
      <c r="E1527" s="158" t="n"/>
      <c r="F1527" s="27" t="n"/>
      <c r="G1527" s="27" t="n"/>
      <c r="H1527" s="27" t="n"/>
      <c r="I1527" s="27" t="n"/>
      <c r="J1527" s="27" t="n"/>
    </row>
    <row r="1528" customFormat="1" s="20">
      <c r="A1528" s="159" t="inlineStr">
        <is>
          <t>ว/ด/ป</t>
        </is>
      </c>
      <c r="B1528" s="21" t="inlineStr">
        <is>
          <t>ชื่อร้านค้า</t>
        </is>
      </c>
      <c r="C1528" s="25" t="inlineStr">
        <is>
          <t>ยอดรวม</t>
        </is>
      </c>
      <c r="D1528" s="21" t="inlineStr">
        <is>
          <t>เลขที่บิล</t>
        </is>
      </c>
      <c r="E1528" s="21" t="inlineStr">
        <is>
          <t>หมายเหตุ</t>
        </is>
      </c>
    </row>
    <row r="1529">
      <c r="B1529" s="22" t="inlineStr">
        <is>
          <t>ต้นทุนสี</t>
        </is>
      </c>
    </row>
    <row r="1530">
      <c r="A1530" s="157" t="n">
        <v>25180</v>
      </c>
      <c r="B1530" s="19" t="inlineStr">
        <is>
          <t>บจก. วีที คัลเลอร์ โปร</t>
        </is>
      </c>
      <c r="C1530" s="26" t="n">
        <v>17227</v>
      </c>
      <c r="D1530" s="20" t="inlineStr">
        <is>
          <t>IV6812065</t>
        </is>
      </c>
      <c r="E1530" s="19" t="inlineStr">
        <is>
          <t>โอน 5/3/69</t>
        </is>
      </c>
      <c r="F1530" s="19" t="inlineStr">
        <is>
          <t>ลงคอมพ์แล้ว</t>
        </is>
      </c>
    </row>
    <row r="1531">
      <c r="A1531" s="157" t="n">
        <v>25189</v>
      </c>
      <c r="B1531" s="19" t="inlineStr">
        <is>
          <t>บจก. วีที คัลเลอร์ โปร</t>
        </is>
      </c>
      <c r="C1531" s="26" t="n">
        <v>117229.2</v>
      </c>
      <c r="D1531" s="20" t="inlineStr">
        <is>
          <t>IV6812124</t>
        </is>
      </c>
      <c r="E1531" s="19" t="inlineStr">
        <is>
          <t>โอน 5/3/69</t>
        </is>
      </c>
      <c r="F1531" s="19" t="inlineStr">
        <is>
          <t>ลงคอมพ์แล้ว</t>
        </is>
      </c>
    </row>
    <row r="1532">
      <c r="A1532" s="157" t="n">
        <v>25194</v>
      </c>
      <c r="B1532" s="19" t="inlineStr">
        <is>
          <t>บจก. วีที คัลเลอร์ โปร</t>
        </is>
      </c>
      <c r="C1532" s="26" t="n">
        <v>6206</v>
      </c>
      <c r="D1532" s="20" t="inlineStr">
        <is>
          <t>IV6812142</t>
        </is>
      </c>
      <c r="E1532" s="19" t="inlineStr">
        <is>
          <t>โอน 5/3/69</t>
        </is>
      </c>
      <c r="F1532" s="19" t="inlineStr">
        <is>
          <t>ลงคอมพ์แล้ว</t>
        </is>
      </c>
    </row>
    <row r="1536">
      <c r="B1536" s="22" t="inlineStr">
        <is>
          <t>ต้นทุนอะไหล่</t>
        </is>
      </c>
    </row>
    <row r="1537">
      <c r="A1537" s="157" t="inlineStr">
        <is>
          <t>1-31/12/68</t>
        </is>
      </c>
      <c r="B1537" s="19" t="inlineStr">
        <is>
          <t>ร้านเจ๊แอน</t>
        </is>
      </c>
      <c r="C1537" s="26" t="n">
        <v>13650</v>
      </c>
      <c r="E1537" s="19" t="inlineStr">
        <is>
          <t>โอน 3/1/69</t>
        </is>
      </c>
    </row>
    <row r="1538">
      <c r="B1538" s="19" t="inlineStr">
        <is>
          <t>ร้านจิตต์ อะไหล่ เดือน 12/2568</t>
        </is>
      </c>
      <c r="C1538" s="26" t="n">
        <v>152088.82</v>
      </c>
      <c r="E1538" s="19" t="inlineStr">
        <is>
          <t>โอน 18/2/69</t>
        </is>
      </c>
    </row>
    <row r="1539">
      <c r="B1539" s="19" t="inlineStr">
        <is>
          <t>ร้านศรีสยาม อะไหล่ เดือน 12/2568</t>
        </is>
      </c>
      <c r="C1539" s="26" t="n">
        <v>85102.32000000001</v>
      </c>
      <c r="E1539" s="19" t="inlineStr">
        <is>
          <t>โอน 18/2/69</t>
        </is>
      </c>
    </row>
    <row r="1542" customFormat="1" s="28">
      <c r="A1542" s="102" t="inlineStr">
        <is>
          <t>รายการซื้อสินค้าเข้า ประจำเดือน 1/2569</t>
        </is>
      </c>
      <c r="B1542" s="158" t="n"/>
      <c r="C1542" s="158" t="n"/>
      <c r="D1542" s="158" t="n"/>
      <c r="E1542" s="158" t="n"/>
      <c r="F1542" s="27" t="n"/>
      <c r="G1542" s="27" t="n"/>
      <c r="H1542" s="27" t="n"/>
      <c r="I1542" s="27" t="n"/>
      <c r="J1542" s="27" t="n"/>
    </row>
    <row r="1543" customFormat="1" s="20">
      <c r="A1543" s="159" t="inlineStr">
        <is>
          <t>ว/ด/ป</t>
        </is>
      </c>
      <c r="B1543" s="21" t="inlineStr">
        <is>
          <t>ชื่อร้านค้า</t>
        </is>
      </c>
      <c r="C1543" s="25" t="inlineStr">
        <is>
          <t>ยอดรวม</t>
        </is>
      </c>
      <c r="D1543" s="21" t="inlineStr">
        <is>
          <t>เลขที่บิล</t>
        </is>
      </c>
      <c r="E1543" s="21" t="inlineStr">
        <is>
          <t>หมายเหตุ</t>
        </is>
      </c>
    </row>
    <row r="1544">
      <c r="B1544" s="22" t="inlineStr">
        <is>
          <t>ต้นทุนสี</t>
        </is>
      </c>
    </row>
    <row r="1548">
      <c r="B1548" s="22" t="inlineStr">
        <is>
          <t>ต้นทุนอะไหล่</t>
        </is>
      </c>
    </row>
    <row r="1549">
      <c r="A1549" s="157" t="inlineStr">
        <is>
          <t>1-31/1/69</t>
        </is>
      </c>
      <c r="B1549" s="19" t="inlineStr">
        <is>
          <t>ร้านเจ๊แอน</t>
        </is>
      </c>
      <c r="C1549" s="26" t="n">
        <v>18560</v>
      </c>
      <c r="E1549" s="19" t="inlineStr">
        <is>
          <t>โอน 3/2/69</t>
        </is>
      </c>
    </row>
    <row r="1550">
      <c r="B1550" s="19" t="inlineStr">
        <is>
          <t>ร้านจิตต์ อะไหล่ เดือน 1/2569</t>
        </is>
      </c>
      <c r="C1550" s="26" t="n">
        <v>169227.75</v>
      </c>
      <c r="E1550" s="19" t="inlineStr">
        <is>
          <t>โอน 5/3/69</t>
        </is>
      </c>
    </row>
    <row r="1551">
      <c r="B1551" s="19" t="inlineStr">
        <is>
          <t>ร้านศรีสยาม อะไหล่ เดือน 1/2569</t>
        </is>
      </c>
      <c r="C1551" s="26" t="n">
        <v>107091.82</v>
      </c>
      <c r="E1551" s="19" t="inlineStr">
        <is>
          <t>โอน 5/3/69</t>
        </is>
      </c>
    </row>
    <row r="1554" customFormat="1" s="28">
      <c r="A1554" s="102" t="inlineStr">
        <is>
          <t>รายการซื้อสินค้าเข้า ประจำเดือน 2/2569</t>
        </is>
      </c>
      <c r="B1554" s="158" t="n"/>
      <c r="C1554" s="158" t="n"/>
      <c r="D1554" s="158" t="n"/>
      <c r="E1554" s="158" t="n"/>
      <c r="F1554" s="27" t="n"/>
      <c r="G1554" s="27" t="n"/>
      <c r="H1554" s="27" t="n"/>
      <c r="I1554" s="27" t="n"/>
      <c r="J1554" s="27" t="n"/>
    </row>
    <row r="1555" customFormat="1" s="20">
      <c r="A1555" s="159" t="inlineStr">
        <is>
          <t>ว/ด/ป</t>
        </is>
      </c>
      <c r="B1555" s="21" t="inlineStr">
        <is>
          <t>ชื่อร้านค้า</t>
        </is>
      </c>
      <c r="C1555" s="25" t="inlineStr">
        <is>
          <t>ยอดรวม</t>
        </is>
      </c>
      <c r="D1555" s="21" t="inlineStr">
        <is>
          <t>เลขที่บิล</t>
        </is>
      </c>
      <c r="E1555" s="21" t="inlineStr">
        <is>
          <t>หมายเหตุ</t>
        </is>
      </c>
    </row>
    <row r="1556">
      <c r="B1556" s="22" t="inlineStr">
        <is>
          <t>ต้นทุนสี</t>
        </is>
      </c>
    </row>
    <row r="1560">
      <c r="B1560" s="22" t="inlineStr">
        <is>
          <t>ต้นทุนอะไหล่</t>
        </is>
      </c>
    </row>
    <row r="1561">
      <c r="A1561" s="157" t="inlineStr">
        <is>
          <t>1-28/2/69</t>
        </is>
      </c>
      <c r="B1561" s="19" t="inlineStr">
        <is>
          <t>ร้านเจ๊แอน</t>
        </is>
      </c>
      <c r="C1561" s="26" t="n">
        <v>71270</v>
      </c>
      <c r="E1561" s="19" t="inlineStr">
        <is>
          <t>โอน 5/3/69</t>
        </is>
      </c>
    </row>
    <row r="1564" customFormat="1" s="28">
      <c r="A1564" s="102" t="inlineStr">
        <is>
          <t>รายการซื้อสินค้าเข้า ประจำเดือน 3/2569</t>
        </is>
      </c>
      <c r="B1564" s="158" t="n"/>
      <c r="C1564" s="158" t="n"/>
      <c r="D1564" s="158" t="n"/>
      <c r="E1564" s="158" t="n"/>
      <c r="F1564" s="27" t="n"/>
      <c r="G1564" s="27" t="n"/>
      <c r="H1564" s="27" t="n"/>
      <c r="I1564" s="27" t="n"/>
      <c r="J1564" s="27" t="n"/>
    </row>
    <row r="1565" customFormat="1" s="20">
      <c r="A1565" s="159" t="inlineStr">
        <is>
          <t>ว/ด/ป</t>
        </is>
      </c>
      <c r="B1565" s="21" t="inlineStr">
        <is>
          <t>ชื่อร้านค้า</t>
        </is>
      </c>
      <c r="C1565" s="25" t="inlineStr">
        <is>
          <t>ยอดรวม</t>
        </is>
      </c>
      <c r="D1565" s="21" t="inlineStr">
        <is>
          <t>เลขที่บิล</t>
        </is>
      </c>
      <c r="E1565" s="21" t="inlineStr">
        <is>
          <t>หมายเหตุ</t>
        </is>
      </c>
    </row>
    <row r="1566">
      <c r="B1566" s="22" t="inlineStr">
        <is>
          <t>ต้นทุนสี</t>
        </is>
      </c>
    </row>
    <row r="1567">
      <c r="A1567" s="157" t="n">
        <v>25268</v>
      </c>
      <c r="B1567" s="19" t="inlineStr">
        <is>
          <t>บจก. วีที คัลเลอร์ โปร</t>
        </is>
      </c>
      <c r="C1567" s="26" t="n">
        <v>16050</v>
      </c>
      <c r="D1567" s="20" t="inlineStr">
        <is>
          <t>IV6903059</t>
        </is>
      </c>
      <c r="F1567" s="19" t="inlineStr">
        <is>
          <t>ลงคอมพ์แล้ว</t>
        </is>
      </c>
    </row>
    <row r="1570">
      <c r="B1570" s="22" t="inlineStr">
        <is>
          <t>ต้นทุนอะไหล่</t>
        </is>
      </c>
    </row>
  </sheetData>
  <mergeCells count="64">
    <mergeCell ref="A1192:E1192"/>
    <mergeCell ref="A663:E663"/>
    <mergeCell ref="A1148:E1148"/>
    <mergeCell ref="A1030:E1030"/>
    <mergeCell ref="A835:E835"/>
    <mergeCell ref="A1272:E1272"/>
    <mergeCell ref="A60:E60"/>
    <mergeCell ref="A1:E1"/>
    <mergeCell ref="A1453:E1453"/>
    <mergeCell ref="A809:E809"/>
    <mergeCell ref="A1409:E1409"/>
    <mergeCell ref="A1067:E1067"/>
    <mergeCell ref="A921:E921"/>
    <mergeCell ref="A457:E457"/>
    <mergeCell ref="A315:E315"/>
    <mergeCell ref="A346:E346"/>
    <mergeCell ref="A1110:E1110"/>
    <mergeCell ref="A422:E422"/>
    <mergeCell ref="A1542:E1542"/>
    <mergeCell ref="A1349:E1349"/>
    <mergeCell ref="A690:E690"/>
    <mergeCell ref="A128:E128"/>
    <mergeCell ref="A1124:E1124"/>
    <mergeCell ref="A369:E369"/>
    <mergeCell ref="A1233:E1233"/>
    <mergeCell ref="A145:E145"/>
    <mergeCell ref="A602:E602"/>
    <mergeCell ref="A1504:E1504"/>
    <mergeCell ref="A1052:E1052"/>
    <mergeCell ref="A1480:E1480"/>
    <mergeCell ref="A543:E543"/>
    <mergeCell ref="A1307:E1307"/>
    <mergeCell ref="A1288:E1288"/>
    <mergeCell ref="A772:E772"/>
    <mergeCell ref="A950:E950"/>
    <mergeCell ref="A866:E866"/>
    <mergeCell ref="A719:E719"/>
    <mergeCell ref="A1002:E1002"/>
    <mergeCell ref="A179:E179"/>
    <mergeCell ref="A393:E393"/>
    <mergeCell ref="A897:E897"/>
    <mergeCell ref="A973:E973"/>
    <mergeCell ref="A1366:E1366"/>
    <mergeCell ref="A23:E23"/>
    <mergeCell ref="A574:E574"/>
    <mergeCell ref="A1564:E1564"/>
    <mergeCell ref="A1167:E1167"/>
    <mergeCell ref="A1431:E1431"/>
    <mergeCell ref="A508:E508"/>
    <mergeCell ref="A1214:E1214"/>
    <mergeCell ref="A263:E263"/>
    <mergeCell ref="A1527:E1527"/>
    <mergeCell ref="A1554:E1554"/>
    <mergeCell ref="A224:E224"/>
    <mergeCell ref="A96:E96"/>
    <mergeCell ref="A743:E743"/>
    <mergeCell ref="A1383:E1383"/>
    <mergeCell ref="A1330:E1330"/>
    <mergeCell ref="A1090:E1090"/>
    <mergeCell ref="A202:E202"/>
    <mergeCell ref="A288:E288"/>
    <mergeCell ref="A1255:E1255"/>
    <mergeCell ref="A633:E633"/>
    <mergeCell ref="A480:E480"/>
  </mergeCells>
  <pageMargins left="0.5905511811023623" right="0.1968503937007874" top="0.5905511811023623" bottom="0.1968503937007874" header="0.3149606299212598" footer="0.3149606299212598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11"/>
  <sheetViews>
    <sheetView zoomScale="85" zoomScaleNormal="85" workbookViewId="0">
      <pane ySplit="1" topLeftCell="A2" activePane="bottomLeft" state="frozen"/>
      <selection pane="bottomLeft" activeCell="B631" sqref="B631"/>
    </sheetView>
  </sheetViews>
  <sheetFormatPr baseColWidth="8" defaultColWidth="8.59765625" defaultRowHeight="21"/>
  <cols>
    <col width="19.59765625" customWidth="1" style="67" min="1" max="1"/>
    <col width="49.5" customWidth="1" style="6" min="2" max="2"/>
    <col width="7.59765625" customWidth="1" style="8" min="3" max="3"/>
    <col width="8.59765625" customWidth="1" style="9" min="4" max="4"/>
    <col width="10" customWidth="1" style="9" min="5" max="5"/>
    <col width="6.69921875" bestFit="1" customWidth="1" style="8" min="6" max="6"/>
    <col width="11.59765625" customWidth="1" style="10" min="7" max="7"/>
    <col width="11.59765625" customWidth="1" style="9" min="8" max="8"/>
    <col width="18.69921875" customWidth="1" style="10" min="9" max="9"/>
    <col width="8.59765625" customWidth="1" style="161" min="10" max="10"/>
    <col width="10.8984375" customWidth="1" style="8" min="11" max="11"/>
    <col width="26.796875" customWidth="1" style="8" min="12" max="12"/>
    <col width="8.59765625" customWidth="1" style="6" min="13" max="16384"/>
  </cols>
  <sheetData>
    <row r="1" customFormat="1" s="8">
      <c r="A1" s="162" t="inlineStr">
        <is>
          <t>ประเภท</t>
        </is>
      </c>
      <c r="B1" s="162" t="inlineStr">
        <is>
          <t>รายการ</t>
        </is>
      </c>
      <c r="C1" s="162" t="inlineStr">
        <is>
          <t>จำนวน</t>
        </is>
      </c>
      <c r="D1" s="163" t="inlineStr">
        <is>
          <t>ราคา/ชิ้น</t>
        </is>
      </c>
      <c r="E1" s="163" t="inlineStr">
        <is>
          <t>รวมก่อนVAT</t>
        </is>
      </c>
      <c r="F1" s="162" t="inlineStr">
        <is>
          <t>ส่วนลด%</t>
        </is>
      </c>
      <c r="G1" s="163" t="inlineStr">
        <is>
          <t>ยอดหลังหักส่วนลด</t>
        </is>
      </c>
      <c r="H1" s="163" t="inlineStr">
        <is>
          <t>รวมจำนวนเงิน</t>
        </is>
      </c>
      <c r="I1" s="163" t="inlineStr">
        <is>
          <t>ชื่อร้าน</t>
        </is>
      </c>
      <c r="J1" s="164" t="inlineStr">
        <is>
          <t>ว/ด/ป</t>
        </is>
      </c>
      <c r="K1" s="162" t="inlineStr">
        <is>
          <t>บิลเลขที่</t>
        </is>
      </c>
      <c r="L1" s="162" t="inlineStr">
        <is>
          <t>หมายเหตุ</t>
        </is>
      </c>
      <c r="M1" s="162" t="inlineStr">
        <is>
          <t>(ราคาที่ระบุคือ ราคาก่อน VAT)</t>
        </is>
      </c>
    </row>
    <row r="2">
      <c r="A2" s="66" t="inlineStr">
        <is>
          <t>ทินเนอร์</t>
        </is>
      </c>
      <c r="B2" s="6" t="inlineStr">
        <is>
          <t>ทินเนอร์ 3A  SB  150 kg.</t>
        </is>
      </c>
      <c r="C2" s="8" t="inlineStr">
        <is>
          <t>1ถัง</t>
        </is>
      </c>
      <c r="D2" s="9" t="n">
        <v>6800</v>
      </c>
      <c r="H2" s="9" t="n">
        <v>6800</v>
      </c>
      <c r="I2" s="10" t="inlineStr">
        <is>
          <t>ไทยนคร</t>
        </is>
      </c>
      <c r="J2" s="161" t="n">
        <v>22341</v>
      </c>
    </row>
    <row r="3">
      <c r="B3" s="6" t="inlineStr">
        <is>
          <t>ทินเนอร์ 3A  SB  150 kg.</t>
        </is>
      </c>
      <c r="C3" s="8" t="inlineStr">
        <is>
          <t>2ถัง</t>
        </is>
      </c>
      <c r="D3" s="9" t="n">
        <v>6800</v>
      </c>
      <c r="H3" s="9" t="n">
        <v>13600</v>
      </c>
      <c r="I3" s="10" t="inlineStr">
        <is>
          <t>ไทยนคร</t>
        </is>
      </c>
      <c r="J3" s="161" t="n">
        <v>22376</v>
      </c>
    </row>
    <row r="4">
      <c r="B4" s="6" t="inlineStr">
        <is>
          <t>ทินเนอร์ 3A  SB  150 kg.</t>
        </is>
      </c>
      <c r="C4" s="8" t="inlineStr">
        <is>
          <t>1ถัง</t>
        </is>
      </c>
      <c r="D4" s="9" t="n">
        <v>6800</v>
      </c>
      <c r="H4" s="9" t="n">
        <v>6800</v>
      </c>
      <c r="I4" s="10" t="inlineStr">
        <is>
          <t>ไทยนคร</t>
        </is>
      </c>
      <c r="J4" s="161" t="n">
        <v>22758</v>
      </c>
    </row>
    <row r="5">
      <c r="B5" s="6" t="inlineStr">
        <is>
          <t>ทินเนอร์ 3A EXKO -- ใช้แล้วมีปัญหา</t>
        </is>
      </c>
      <c r="C5" s="8" t="inlineStr">
        <is>
          <t>1ถัง</t>
        </is>
      </c>
      <c r="D5" s="9" t="n">
        <v>6000</v>
      </c>
      <c r="H5" s="9" t="n">
        <v>6420</v>
      </c>
      <c r="I5" s="10" t="inlineStr">
        <is>
          <t xml:space="preserve">เอ็มแอนด์บี </t>
        </is>
      </c>
      <c r="J5" s="161" t="n">
        <v>22430</v>
      </c>
    </row>
    <row r="6">
      <c r="B6" s="6" t="inlineStr">
        <is>
          <t>ทินเนอร์ 3A  SB  150 kg.</t>
        </is>
      </c>
      <c r="C6" s="8" t="inlineStr">
        <is>
          <t>1ถัง</t>
        </is>
      </c>
      <c r="D6" s="9" t="n">
        <v>6800</v>
      </c>
      <c r="H6" s="9" t="n">
        <v>6800</v>
      </c>
      <c r="I6" s="10" t="inlineStr">
        <is>
          <t>ไทยนคร</t>
        </is>
      </c>
      <c r="J6" s="161" t="n">
        <v>22467</v>
      </c>
    </row>
    <row r="7">
      <c r="B7" s="6" t="inlineStr">
        <is>
          <t>ทินเนอร์ 3A  SB  150 kg.</t>
        </is>
      </c>
      <c r="C7" s="8" t="inlineStr">
        <is>
          <t>2ถัง</t>
        </is>
      </c>
      <c r="D7" s="9" t="n">
        <v>6800</v>
      </c>
      <c r="H7" s="9" t="n">
        <v>13600</v>
      </c>
      <c r="I7" s="10" t="inlineStr">
        <is>
          <t>ไทยนคร</t>
        </is>
      </c>
      <c r="J7" s="161" t="n">
        <v>22782</v>
      </c>
    </row>
    <row r="8">
      <c r="B8" s="6" t="inlineStr">
        <is>
          <t>ทินเนอร์ 3A  SB  150 kg.</t>
        </is>
      </c>
      <c r="C8" s="8" t="inlineStr">
        <is>
          <t>2ถัง</t>
        </is>
      </c>
      <c r="D8" s="9" t="n">
        <v>6800</v>
      </c>
      <c r="H8" s="9" t="n">
        <v>13600</v>
      </c>
      <c r="I8" s="10" t="inlineStr">
        <is>
          <t>ไทยนคร</t>
        </is>
      </c>
      <c r="J8" s="161" t="n">
        <v>22802</v>
      </c>
    </row>
    <row r="9">
      <c r="B9" s="6" t="inlineStr">
        <is>
          <t>ทินเนอร์ 3A  SB  150 kg.</t>
        </is>
      </c>
      <c r="C9" s="8" t="inlineStr">
        <is>
          <t>2ถัง</t>
        </is>
      </c>
      <c r="D9" s="9" t="n">
        <v>6800</v>
      </c>
      <c r="H9" s="9" t="n">
        <v>13600</v>
      </c>
      <c r="I9" s="10" t="inlineStr">
        <is>
          <t>ไทยนคร</t>
        </is>
      </c>
      <c r="J9" s="161" t="n">
        <v>22828</v>
      </c>
    </row>
    <row r="10">
      <c r="B10" s="6" t="inlineStr">
        <is>
          <t>ทินเนอร์ 3A  SB  150 kg.</t>
        </is>
      </c>
      <c r="C10" s="8" t="inlineStr">
        <is>
          <t>1ถัง</t>
        </is>
      </c>
      <c r="D10" s="9" t="n">
        <v>6800</v>
      </c>
      <c r="H10" s="9" t="n">
        <v>6800</v>
      </c>
      <c r="I10" s="10" t="inlineStr">
        <is>
          <t>ไทยนคร</t>
        </is>
      </c>
      <c r="J10" s="161" t="n">
        <v>22853</v>
      </c>
    </row>
    <row r="11">
      <c r="B11" s="6" t="inlineStr">
        <is>
          <t>ทินเนอร์ 3A  SB  150 kg.</t>
        </is>
      </c>
      <c r="C11" s="8" t="inlineStr">
        <is>
          <t>2ถัง</t>
        </is>
      </c>
      <c r="D11" s="9" t="n">
        <v>6800</v>
      </c>
      <c r="H11" s="9" t="n">
        <v>13600</v>
      </c>
      <c r="I11" s="10" t="inlineStr">
        <is>
          <t>ไทยนคร</t>
        </is>
      </c>
      <c r="J11" s="161" t="n">
        <v>22866</v>
      </c>
    </row>
    <row r="12">
      <c r="B12" s="6" t="inlineStr">
        <is>
          <t>ทินเนอร์ 3A  SB  150 kg.</t>
        </is>
      </c>
      <c r="C12" s="8" t="inlineStr">
        <is>
          <t>2ถัง</t>
        </is>
      </c>
      <c r="D12" s="9" t="n">
        <v>6800</v>
      </c>
      <c r="H12" s="9" t="n">
        <v>13600</v>
      </c>
      <c r="I12" s="10" t="inlineStr">
        <is>
          <t>ไทยนคร</t>
        </is>
      </c>
      <c r="J12" s="161" t="n">
        <v>22900</v>
      </c>
    </row>
    <row r="13">
      <c r="B13" s="6" t="inlineStr">
        <is>
          <t>ทินเนอร์ 3A  SB  150 kg.</t>
        </is>
      </c>
      <c r="C13" s="8" t="inlineStr">
        <is>
          <t>2ถัง</t>
        </is>
      </c>
      <c r="D13" s="9" t="n">
        <v>6800</v>
      </c>
      <c r="H13" s="9" t="n">
        <v>13600</v>
      </c>
      <c r="I13" s="10" t="inlineStr">
        <is>
          <t>ไทยนคร</t>
        </is>
      </c>
      <c r="J13" s="161" t="n">
        <v>23040</v>
      </c>
    </row>
    <row r="14">
      <c r="B14" s="6" t="inlineStr">
        <is>
          <t>ทินเนอร์ 3A  SB  150 kg.</t>
        </is>
      </c>
      <c r="C14" s="8" t="inlineStr">
        <is>
          <t>2ถัง</t>
        </is>
      </c>
      <c r="D14" s="9" t="n">
        <v>6800</v>
      </c>
      <c r="H14" s="9" t="n">
        <v>13600</v>
      </c>
      <c r="I14" s="10" t="inlineStr">
        <is>
          <t>ไทยนคร</t>
        </is>
      </c>
      <c r="J14" s="161" t="n">
        <v>23073</v>
      </c>
    </row>
    <row r="15">
      <c r="B15" s="6" t="inlineStr">
        <is>
          <t>ทินเนอร์ 3A  SB  150 kg.</t>
        </is>
      </c>
      <c r="C15" s="8" t="inlineStr">
        <is>
          <t>2ถัง</t>
        </is>
      </c>
      <c r="D15" s="9" t="n">
        <v>6200</v>
      </c>
      <c r="H15" s="9" t="n">
        <v>12400</v>
      </c>
      <c r="I15" s="10" t="inlineStr">
        <is>
          <t>ไทยนคร</t>
        </is>
      </c>
      <c r="J15" s="161" t="n">
        <v>23108</v>
      </c>
    </row>
    <row r="16">
      <c r="B16" s="6" t="inlineStr">
        <is>
          <t>ทินเนอร์ 3A  SB  150 kg.</t>
        </is>
      </c>
      <c r="C16" s="8" t="inlineStr">
        <is>
          <t>2ถัง</t>
        </is>
      </c>
      <c r="D16" s="9" t="n">
        <v>6200</v>
      </c>
      <c r="H16" s="9" t="n">
        <v>12400</v>
      </c>
      <c r="I16" s="10" t="inlineStr">
        <is>
          <t>ไทยนคร</t>
        </is>
      </c>
      <c r="J16" s="161" t="n">
        <v>23139</v>
      </c>
    </row>
    <row r="17">
      <c r="B17" s="6" t="inlineStr">
        <is>
          <t>ทินเนอร์ 3A  Matrix  150 kg.</t>
        </is>
      </c>
      <c r="C17" s="8" t="inlineStr">
        <is>
          <t>3ถัง</t>
        </is>
      </c>
      <c r="D17" s="9" t="n">
        <v>5300</v>
      </c>
      <c r="H17" s="9" t="n">
        <v>15900</v>
      </c>
      <c r="I17" s="10" t="inlineStr">
        <is>
          <t>ไทยนคร</t>
        </is>
      </c>
      <c r="J17" s="161" t="n">
        <v>23178</v>
      </c>
    </row>
    <row r="18">
      <c r="B18" s="6" t="inlineStr">
        <is>
          <t>ทินเนอร์ 3A  Matrix  150 kg.</t>
        </is>
      </c>
      <c r="C18" s="8" t="inlineStr">
        <is>
          <t>2ถัง</t>
        </is>
      </c>
      <c r="D18" s="9" t="n">
        <v>5300</v>
      </c>
      <c r="H18" s="9" t="n">
        <v>10600</v>
      </c>
      <c r="I18" s="10" t="inlineStr">
        <is>
          <t>ไทยนคร</t>
        </is>
      </c>
      <c r="J18" s="161" t="n">
        <v>23216</v>
      </c>
    </row>
    <row r="19">
      <c r="B19" s="6" t="inlineStr">
        <is>
          <t>ทินเนอร์ 3A  Matrix  150 kg.</t>
        </is>
      </c>
      <c r="C19" s="8" t="inlineStr">
        <is>
          <t>2ถัง</t>
        </is>
      </c>
      <c r="D19" s="9" t="n">
        <v>5300</v>
      </c>
      <c r="H19" s="9" t="n">
        <v>10600</v>
      </c>
      <c r="I19" s="10" t="inlineStr">
        <is>
          <t>ไทยนคร</t>
        </is>
      </c>
      <c r="J19" s="161" t="n">
        <v>23247</v>
      </c>
    </row>
    <row r="20">
      <c r="B20" s="6" t="inlineStr">
        <is>
          <t>ทินเนอร์ 3A  Matrix  150 kg.</t>
        </is>
      </c>
      <c r="C20" s="8" t="inlineStr">
        <is>
          <t>2ถัง</t>
        </is>
      </c>
      <c r="D20" s="9" t="n">
        <v>5300</v>
      </c>
      <c r="H20" s="9" t="n">
        <v>10600</v>
      </c>
      <c r="I20" s="10" t="inlineStr">
        <is>
          <t>ไทยนคร</t>
        </is>
      </c>
      <c r="J20" s="161" t="n">
        <v>23305</v>
      </c>
    </row>
    <row r="21">
      <c r="B21" s="6" t="inlineStr">
        <is>
          <t>ทินเนอร์ 3A  Matrix  150 kg.</t>
        </is>
      </c>
      <c r="C21" s="8" t="inlineStr">
        <is>
          <t>2ถัง</t>
        </is>
      </c>
      <c r="D21" s="9" t="n">
        <v>5300</v>
      </c>
      <c r="H21" s="9" t="n">
        <v>10600</v>
      </c>
      <c r="I21" s="10" t="inlineStr">
        <is>
          <t>ไทยนคร</t>
        </is>
      </c>
      <c r="J21" s="161" t="n">
        <v>23337</v>
      </c>
    </row>
    <row r="22">
      <c r="B22" s="6" t="inlineStr">
        <is>
          <t>ทินเนอร์ 3A  Matrix  150 kg.</t>
        </is>
      </c>
      <c r="C22" s="8" t="inlineStr">
        <is>
          <t>2ถัง</t>
        </is>
      </c>
      <c r="D22" s="9" t="n">
        <v>5500</v>
      </c>
      <c r="H22" s="9" t="n">
        <v>11000</v>
      </c>
      <c r="I22" s="10" t="inlineStr">
        <is>
          <t>ไทยนคร</t>
        </is>
      </c>
      <c r="J22" s="161" t="n">
        <v>23340</v>
      </c>
    </row>
    <row r="23">
      <c r="B23" s="6" t="inlineStr">
        <is>
          <t>ทินเนอร์ 3A  Matrix  150 kg.</t>
        </is>
      </c>
      <c r="C23" s="8" t="inlineStr">
        <is>
          <t>2ถัง</t>
        </is>
      </c>
      <c r="D23" s="9" t="n">
        <v>5500</v>
      </c>
      <c r="H23" s="9" t="n">
        <v>11000</v>
      </c>
      <c r="I23" s="10" t="inlineStr">
        <is>
          <t>ไทยนคร</t>
        </is>
      </c>
      <c r="J23" s="161" t="n">
        <v>23366</v>
      </c>
    </row>
    <row r="24">
      <c r="B24" s="6" t="inlineStr">
        <is>
          <t>ทินเนอร์ 3A  150 kg.</t>
        </is>
      </c>
      <c r="C24" s="8" t="inlineStr">
        <is>
          <t>1ถัง</t>
        </is>
      </c>
      <c r="D24" s="9" t="n">
        <v>5000</v>
      </c>
      <c r="H24" s="9" t="n">
        <v>5000</v>
      </c>
      <c r="I24" s="10" t="inlineStr">
        <is>
          <t>ทาเลนท์</t>
        </is>
      </c>
      <c r="J24" s="161" t="n">
        <v>23380</v>
      </c>
      <c r="L24" s="8" t="inlineStr">
        <is>
          <t>ราคายังไม่รวม VAT 7%</t>
        </is>
      </c>
    </row>
    <row r="25">
      <c r="B25" s="6" t="inlineStr">
        <is>
          <t>ทินเนอร์ 3A  150 kg.</t>
        </is>
      </c>
      <c r="C25" s="8" t="inlineStr">
        <is>
          <t>2ถัง</t>
        </is>
      </c>
      <c r="D25" s="9" t="n">
        <v>5000</v>
      </c>
      <c r="H25" s="9" t="n">
        <v>10000</v>
      </c>
      <c r="I25" s="10" t="inlineStr">
        <is>
          <t>ทาเลนท์</t>
        </is>
      </c>
      <c r="J25" s="161" t="n">
        <v>23429</v>
      </c>
      <c r="L25" s="8" t="inlineStr">
        <is>
          <t>ราคายังไม่รวม VAT 7%</t>
        </is>
      </c>
    </row>
    <row r="26">
      <c r="B26" s="6" t="inlineStr">
        <is>
          <t>ทินเนอร์ 3A  150 kg.</t>
        </is>
      </c>
      <c r="C26" s="8" t="inlineStr">
        <is>
          <t>2ถัง</t>
        </is>
      </c>
      <c r="D26" s="9" t="n">
        <v>5000</v>
      </c>
      <c r="H26" s="9" t="n">
        <v>10000</v>
      </c>
      <c r="I26" s="10" t="inlineStr">
        <is>
          <t>ทาเลนท์</t>
        </is>
      </c>
      <c r="J26" s="161" t="n">
        <v>23465</v>
      </c>
      <c r="L26" s="8" t="inlineStr">
        <is>
          <t>ราคายังไม่รวม VAT 7%</t>
        </is>
      </c>
    </row>
    <row r="27">
      <c r="B27" s="6" t="inlineStr">
        <is>
          <t>ทินเนอร์ 3A  150 kg.</t>
        </is>
      </c>
      <c r="C27" s="8" t="inlineStr">
        <is>
          <t>2ถัง</t>
        </is>
      </c>
      <c r="D27" s="9" t="n">
        <v>5000</v>
      </c>
      <c r="H27" s="9" t="n">
        <v>10000</v>
      </c>
      <c r="I27" s="10" t="inlineStr">
        <is>
          <t>ทาเลนท์</t>
        </is>
      </c>
      <c r="J27" s="161" t="n">
        <v>23500</v>
      </c>
      <c r="L27" s="8" t="inlineStr">
        <is>
          <t>ราคายังไม่รวม VAT 7%</t>
        </is>
      </c>
    </row>
    <row r="28">
      <c r="B28" s="6" t="inlineStr">
        <is>
          <t>ทินเนอร์ 3A  150 kg.</t>
        </is>
      </c>
      <c r="C28" s="8" t="inlineStr">
        <is>
          <t>2ถัง</t>
        </is>
      </c>
      <c r="D28" s="9" t="n">
        <v>5000</v>
      </c>
      <c r="H28" s="9" t="n">
        <v>10000</v>
      </c>
      <c r="I28" s="10" t="inlineStr">
        <is>
          <t>ทาเลนท์</t>
        </is>
      </c>
      <c r="J28" s="161" t="n">
        <v>23533</v>
      </c>
      <c r="K28" s="8" t="inlineStr">
        <is>
          <t>IV6405945</t>
        </is>
      </c>
      <c r="L28" s="8" t="inlineStr">
        <is>
          <t>ราคายังไม่รวม VAT 7%</t>
        </is>
      </c>
    </row>
    <row r="29">
      <c r="B29" s="6" t="inlineStr">
        <is>
          <t>ทินเนอร์ 3A  150 kg.</t>
        </is>
      </c>
      <c r="C29" s="8" t="inlineStr">
        <is>
          <t>2ถัง</t>
        </is>
      </c>
      <c r="D29" s="9" t="n">
        <v>5000</v>
      </c>
      <c r="H29" s="9" t="n">
        <v>10000</v>
      </c>
      <c r="I29" s="10" t="inlineStr">
        <is>
          <t>ทาเลนท์</t>
        </is>
      </c>
      <c r="J29" s="161" t="n">
        <v>23562</v>
      </c>
      <c r="K29" s="8" t="inlineStr">
        <is>
          <t>IV6407883</t>
        </is>
      </c>
      <c r="L29" s="8" t="inlineStr">
        <is>
          <t>ราคายังไม่รวม VAT 7%</t>
        </is>
      </c>
    </row>
    <row r="30">
      <c r="B30" s="6" t="inlineStr">
        <is>
          <t>ทินเนอร์ 3A  150 kg. -- ถังพลาสติก ตีเทิร์นได้ ใบละ 200 บาท</t>
        </is>
      </c>
      <c r="C30" s="8" t="inlineStr">
        <is>
          <t>1ถัง</t>
        </is>
      </c>
      <c r="D30" s="9" t="n">
        <v>5000</v>
      </c>
      <c r="H30" s="9" t="n">
        <v>5000</v>
      </c>
      <c r="I30" s="10" t="inlineStr">
        <is>
          <t>ทาเลนท์</t>
        </is>
      </c>
      <c r="J30" s="161" t="n">
        <v>23605</v>
      </c>
      <c r="L30" s="8" t="inlineStr">
        <is>
          <t>ราคายังไม่รวม VAT 7%</t>
        </is>
      </c>
    </row>
    <row r="31">
      <c r="B31" s="6" t="inlineStr">
        <is>
          <t>ทินเนอร์ 3A  150 kg. -- ถังพลาสติก ตีเทิร์นได้ ใบละ 200 บาท</t>
        </is>
      </c>
      <c r="C31" s="8" t="inlineStr">
        <is>
          <t>1ถัง</t>
        </is>
      </c>
      <c r="D31" s="9" t="n">
        <v>5000</v>
      </c>
      <c r="H31" s="9" t="n">
        <v>5000</v>
      </c>
      <c r="I31" s="10" t="inlineStr">
        <is>
          <t>ทาเลนท์</t>
        </is>
      </c>
      <c r="J31" s="161" t="n">
        <v>23613</v>
      </c>
      <c r="L31" s="8" t="inlineStr">
        <is>
          <t>ราคายังไม่รวม VAT 7%</t>
        </is>
      </c>
    </row>
    <row r="32">
      <c r="B32" s="6" t="inlineStr">
        <is>
          <t>ทินเนอร์ 3A MATRIX -- ถังเหล็ก</t>
        </is>
      </c>
      <c r="C32" s="8" t="inlineStr">
        <is>
          <t>2ถัง</t>
        </is>
      </c>
      <c r="D32" s="9" t="n">
        <v>4800</v>
      </c>
      <c r="H32" s="9" t="n">
        <v>9600</v>
      </c>
      <c r="I32" s="10" t="inlineStr">
        <is>
          <t>ทรัพย์สิน</t>
        </is>
      </c>
      <c r="J32" s="161" t="n">
        <v>23643</v>
      </c>
      <c r="K32" s="8" t="inlineStr">
        <is>
          <t>IV6409299</t>
        </is>
      </c>
      <c r="L32" s="8" t="inlineStr">
        <is>
          <t>ราคายังไม่รวม VAT 7%</t>
        </is>
      </c>
    </row>
    <row r="33">
      <c r="B33" s="6" t="inlineStr">
        <is>
          <t>ทินเนอร์ 3A MATRIX -- ถังเหล็ก</t>
        </is>
      </c>
      <c r="C33" s="8" t="inlineStr">
        <is>
          <t>2ถัง</t>
        </is>
      </c>
      <c r="D33" s="9" t="n">
        <v>4800</v>
      </c>
      <c r="H33" s="9" t="n">
        <v>9600</v>
      </c>
      <c r="I33" s="10" t="inlineStr">
        <is>
          <t>ทรัพย์สิน</t>
        </is>
      </c>
      <c r="J33" s="161" t="n">
        <v>23676</v>
      </c>
      <c r="K33" s="8" t="inlineStr">
        <is>
          <t>IV6410365</t>
        </is>
      </c>
      <c r="L33" s="8" t="inlineStr">
        <is>
          <t>ราคายังไม่รวม VAT 7%</t>
        </is>
      </c>
    </row>
    <row r="34">
      <c r="B34" s="6" t="inlineStr">
        <is>
          <t>ทินเนอร์ 3A MATRIX -- ถังเหล็ก</t>
        </is>
      </c>
      <c r="C34" s="8" t="inlineStr">
        <is>
          <t>2ถัง</t>
        </is>
      </c>
      <c r="D34" s="9" t="n">
        <v>4800</v>
      </c>
      <c r="H34" s="9" t="n">
        <v>9600</v>
      </c>
      <c r="I34" s="10" t="inlineStr">
        <is>
          <t>ทรัพย์สิน</t>
        </is>
      </c>
      <c r="J34" s="161" t="n">
        <v>23704</v>
      </c>
      <c r="K34" s="8" t="inlineStr">
        <is>
          <t>IV6411321</t>
        </is>
      </c>
      <c r="L34" s="8" t="inlineStr">
        <is>
          <t>ราคายังไม่รวม VAT 7%</t>
        </is>
      </c>
    </row>
    <row r="35">
      <c r="B35" s="6" t="inlineStr">
        <is>
          <t>ทินเนอร์ 3A  150 kg.</t>
        </is>
      </c>
      <c r="C35" s="8" t="inlineStr">
        <is>
          <t>2ถัง</t>
        </is>
      </c>
      <c r="D35" s="9" t="n">
        <v>5000</v>
      </c>
      <c r="H35" s="9" t="n">
        <v>10000</v>
      </c>
      <c r="I35" s="10" t="inlineStr">
        <is>
          <t>ทาเลนท์</t>
        </is>
      </c>
      <c r="J35" s="161" t="n">
        <v>23764</v>
      </c>
      <c r="K35" s="8" t="inlineStr">
        <is>
          <t>IV6501434</t>
        </is>
      </c>
      <c r="L35" s="8" t="inlineStr">
        <is>
          <t>ราคายังไม่รวม VAT 7%</t>
        </is>
      </c>
    </row>
    <row r="36">
      <c r="B36" s="6" t="inlineStr">
        <is>
          <t>ทินเนอร์ 3A A-CW 200ลิตร (156 kg.)</t>
        </is>
      </c>
      <c r="C36" s="8" t="inlineStr">
        <is>
          <t>1ถัง</t>
        </is>
      </c>
      <c r="D36" s="9" t="n">
        <v>5000</v>
      </c>
      <c r="H36" s="9" t="n">
        <v>5000</v>
      </c>
      <c r="I36" s="10" t="inlineStr">
        <is>
          <t>ไทยนคร</t>
        </is>
      </c>
      <c r="J36" s="161" t="n">
        <v>23789</v>
      </c>
      <c r="K36" s="8" t="inlineStr">
        <is>
          <t>INV22020634</t>
        </is>
      </c>
      <c r="L36" s="8" t="inlineStr">
        <is>
          <t>ราคายังไม่รวม VAT 7%</t>
        </is>
      </c>
    </row>
    <row r="37">
      <c r="B37" s="6" t="inlineStr">
        <is>
          <t>ทินเนอร์ 3A A-CW 200ลิตร (156 kg.)</t>
        </is>
      </c>
      <c r="C37" s="8" t="inlineStr">
        <is>
          <t>1ถัง</t>
        </is>
      </c>
      <c r="D37" s="9" t="n">
        <v>5000</v>
      </c>
      <c r="H37" s="9" t="n">
        <v>5000</v>
      </c>
      <c r="I37" s="10" t="inlineStr">
        <is>
          <t>ไทยนคร</t>
        </is>
      </c>
      <c r="J37" s="161" t="n">
        <v>23826</v>
      </c>
      <c r="K37" s="8" t="inlineStr">
        <is>
          <t>INV22031033</t>
        </is>
      </c>
      <c r="L37" s="8" t="inlineStr">
        <is>
          <t>ราคายังไม่รวม VAT 7%</t>
        </is>
      </c>
    </row>
    <row r="38" customFormat="1" s="30">
      <c r="A38" s="68" t="n"/>
      <c r="B38" s="30" t="inlineStr">
        <is>
          <t>**เมื่อ 19/8/64 นิ่มคุยราคากับ ช.ทรัพย์สินไว้ (3A) ถังละ 5,000 บาท (VAT นอก)</t>
        </is>
      </c>
      <c r="C38" s="29" t="n"/>
      <c r="D38" s="31" t="n"/>
      <c r="E38" s="31" t="n"/>
      <c r="F38" s="29" t="n"/>
      <c r="G38" s="32" t="n"/>
      <c r="H38" s="31" t="n"/>
      <c r="I38" s="32" t="n"/>
      <c r="J38" s="165" t="n"/>
      <c r="K38" s="29" t="n"/>
      <c r="L38" s="29" t="n"/>
    </row>
    <row r="39" customFormat="1" s="30">
      <c r="A39" s="68" t="n"/>
      <c r="B39" s="30" t="inlineStr">
        <is>
          <t>**เมื่อ 23/9/64 นิ่มคุยราคากับ ช.ทรัพย์สินไว้ (3A) ถังละ 4,800 บาท (VAT นอก) หักคืนค่าถังเหล็ก 150บาท/ถัง</t>
        </is>
      </c>
      <c r="C39" s="29" t="n"/>
      <c r="D39" s="31" t="n"/>
      <c r="E39" s="31" t="n"/>
      <c r="F39" s="29" t="n"/>
      <c r="G39" s="32" t="n"/>
      <c r="H39" s="31" t="n"/>
      <c r="I39" s="32" t="n"/>
      <c r="J39" s="165" t="n"/>
      <c r="K39" s="29" t="n"/>
      <c r="L39" s="29" t="n"/>
    </row>
    <row r="40" customFormat="1" s="30">
      <c r="A40" s="68" t="n"/>
      <c r="B40" s="30" t="inlineStr">
        <is>
          <t>**เมื่อ 21/1/65 นิ่มคุยราคากับ ทาเลนท์ (3A) ถังละ 5,000 บาท (VAT นอก) หักคืนค่าถังเหล็ก 200บาท/ถัง</t>
        </is>
      </c>
      <c r="C40" s="29" t="n"/>
      <c r="D40" s="31" t="n"/>
      <c r="E40" s="31" t="n"/>
      <c r="F40" s="29" t="n"/>
      <c r="G40" s="32" t="n"/>
      <c r="H40" s="31" t="n"/>
      <c r="I40" s="32" t="n"/>
      <c r="J40" s="165" t="n"/>
      <c r="K40" s="29" t="n"/>
      <c r="L40" s="29" t="n"/>
    </row>
    <row r="41" customFormat="1" s="30">
      <c r="A41" s="69" t="inlineStr">
        <is>
          <t>** เมื่อ 23/6 เช็คทาเลนท์ 6,500 รวมVATแล้ว</t>
        </is>
      </c>
      <c r="B41" s="30" t="inlineStr">
        <is>
          <t xml:space="preserve">**เมื่อ 16/2/65 นิ่มคุยราคากับ ไทยนคร(เจ๊) (3A) ถังละ 5,000 บาท (VAT นอก) </t>
        </is>
      </c>
      <c r="C41" s="29" t="n"/>
      <c r="D41" s="31" t="n"/>
      <c r="E41" s="31" t="n"/>
      <c r="F41" s="29" t="n"/>
      <c r="G41" s="32" t="n"/>
      <c r="H41" s="31" t="n"/>
      <c r="I41" s="32" t="n"/>
      <c r="J41" s="165" t="n"/>
      <c r="K41" s="29" t="n"/>
      <c r="L41" s="29" t="n"/>
    </row>
    <row r="42">
      <c r="A42" s="69" t="inlineStr">
        <is>
          <t>** เมื่อ 23/6/65 ไทยนครแจ้ง 6,100+7%</t>
        </is>
      </c>
      <c r="B42" s="6" t="inlineStr">
        <is>
          <t>ทินเนอร์ 3A A-CW 200ลิตร (150 kg.)</t>
        </is>
      </c>
      <c r="C42" s="8" t="inlineStr">
        <is>
          <t>2ถัง</t>
        </is>
      </c>
      <c r="D42" s="9" t="n">
        <v>5140.18</v>
      </c>
      <c r="H42" s="9" t="n">
        <v>10280.37</v>
      </c>
      <c r="I42" s="10" t="inlineStr">
        <is>
          <t>ไทยนคร</t>
        </is>
      </c>
      <c r="J42" s="161" t="n">
        <v>23865</v>
      </c>
      <c r="K42" s="8" t="inlineStr">
        <is>
          <t>IB3000095</t>
        </is>
      </c>
      <c r="L42" s="8" t="inlineStr">
        <is>
          <t>ราคายังไม่รวม VAT 7%</t>
        </is>
      </c>
    </row>
    <row r="43">
      <c r="A43" s="69" t="n"/>
      <c r="B43" s="6" t="inlineStr">
        <is>
          <t>ทินเนอร์ 3A A-CW 200ลิตร (150 kg.)</t>
        </is>
      </c>
      <c r="C43" s="8" t="inlineStr">
        <is>
          <t>2ถัง</t>
        </is>
      </c>
      <c r="D43" s="9" t="n">
        <v>6100</v>
      </c>
      <c r="H43" s="9" t="n">
        <v>12200</v>
      </c>
      <c r="I43" s="10" t="inlineStr">
        <is>
          <t>ไทยนคร</t>
        </is>
      </c>
      <c r="J43" s="161" t="n">
        <v>23916</v>
      </c>
      <c r="K43" s="8" t="inlineStr">
        <is>
          <t>INV22060914</t>
        </is>
      </c>
      <c r="L43" s="8" t="inlineStr">
        <is>
          <t>ราคายังไม่รวม VAT 7%</t>
        </is>
      </c>
    </row>
    <row r="44">
      <c r="A44" s="69" t="n"/>
      <c r="B44" s="6" t="inlineStr">
        <is>
          <t>ทินเนอร์ 3A A-CW 200ลิตร (150 kg.)</t>
        </is>
      </c>
      <c r="C44" s="8" t="inlineStr">
        <is>
          <t>1ถัง</t>
        </is>
      </c>
      <c r="D44" s="9" t="n">
        <v>6100</v>
      </c>
      <c r="H44" s="9" t="n">
        <v>6100</v>
      </c>
      <c r="I44" s="10" t="inlineStr">
        <is>
          <t>ไทยนคร</t>
        </is>
      </c>
      <c r="J44" s="161" t="n">
        <v>23974</v>
      </c>
      <c r="K44" s="8" t="inlineStr">
        <is>
          <t>INV22080756</t>
        </is>
      </c>
      <c r="L44" s="8" t="inlineStr">
        <is>
          <t>ราคายังไม่รวม VAT 7%</t>
        </is>
      </c>
    </row>
    <row r="45">
      <c r="A45" s="69" t="n"/>
      <c r="B45" s="6" t="inlineStr">
        <is>
          <t>ทินเนอร์ 3A A-CW 200ลิตร (150 kg.)</t>
        </is>
      </c>
      <c r="C45" s="8" t="inlineStr">
        <is>
          <t>2ถัง</t>
        </is>
      </c>
      <c r="D45" s="9" t="n">
        <v>6100</v>
      </c>
      <c r="H45" s="9" t="n">
        <v>12200</v>
      </c>
      <c r="I45" s="10" t="inlineStr">
        <is>
          <t>ไทยนคร</t>
        </is>
      </c>
      <c r="J45" s="161" t="n">
        <v>24016</v>
      </c>
      <c r="K45" s="8" t="inlineStr">
        <is>
          <t>INX00000683</t>
        </is>
      </c>
      <c r="L45" s="8" t="inlineStr">
        <is>
          <t>ราคายังไม่รวม VAT 7%</t>
        </is>
      </c>
    </row>
    <row r="46">
      <c r="A46" s="69" t="n"/>
      <c r="B46" s="6" t="inlineStr">
        <is>
          <t>ทินเนอร์ 3A A-CW 200ลิตร (150 kg.)</t>
        </is>
      </c>
      <c r="C46" s="8" t="inlineStr">
        <is>
          <t>1ถัง</t>
        </is>
      </c>
      <c r="D46" s="9" t="n">
        <v>6100</v>
      </c>
      <c r="H46" s="9" t="n">
        <v>6100</v>
      </c>
      <c r="I46" s="10" t="inlineStr">
        <is>
          <t>ไทยนคร</t>
        </is>
      </c>
      <c r="J46" s="161" t="n">
        <v>24035</v>
      </c>
      <c r="K46" s="8" t="inlineStr">
        <is>
          <t>INV22100716</t>
        </is>
      </c>
      <c r="L46" s="8" t="inlineStr">
        <is>
          <t>ราคายังไม่รวม VAT 7%</t>
        </is>
      </c>
    </row>
    <row r="47">
      <c r="A47" s="69" t="n"/>
      <c r="B47" s="6" t="inlineStr">
        <is>
          <t>ทินเนอร์ 3A A-CW 200ลิตร (150 kg.)</t>
        </is>
      </c>
      <c r="C47" s="8" t="inlineStr">
        <is>
          <t>2ถัง</t>
        </is>
      </c>
      <c r="D47" s="9" t="n">
        <v>6100</v>
      </c>
      <c r="H47" s="9" t="n">
        <v>12200</v>
      </c>
      <c r="I47" s="10" t="inlineStr">
        <is>
          <t>ไทยนคร</t>
        </is>
      </c>
      <c r="J47" s="161" t="n">
        <v>24061</v>
      </c>
      <c r="K47" s="8" t="inlineStr">
        <is>
          <t>INV22110536</t>
        </is>
      </c>
      <c r="L47" s="8" t="inlineStr">
        <is>
          <t>ราคายังไม่รวม VAT 7%</t>
        </is>
      </c>
    </row>
    <row r="48">
      <c r="A48" s="69" t="n"/>
      <c r="B48" s="6" t="inlineStr">
        <is>
          <t>ทินเนอร์ 3A A-CW 200ลิตร (150 kg.)</t>
        </is>
      </c>
      <c r="C48" s="8" t="inlineStr">
        <is>
          <t>2ถัง</t>
        </is>
      </c>
      <c r="D48" s="9" t="n">
        <v>6100</v>
      </c>
      <c r="H48" s="9" t="n">
        <v>12200</v>
      </c>
      <c r="I48" s="10" t="inlineStr">
        <is>
          <t>ไทยนคร</t>
        </is>
      </c>
      <c r="J48" s="161" t="n">
        <v>24141</v>
      </c>
      <c r="K48" s="8" t="inlineStr">
        <is>
          <t>INV23020087</t>
        </is>
      </c>
      <c r="L48" s="8" t="inlineStr">
        <is>
          <t>ราคายังไม่รวม VAT 7%</t>
        </is>
      </c>
    </row>
    <row r="49">
      <c r="A49" s="69" t="n"/>
      <c r="B49" s="6" t="inlineStr">
        <is>
          <t>ทินเนอร์ 3A A-CW 200ลิตร (150 kg.)</t>
        </is>
      </c>
      <c r="C49" s="8" t="inlineStr">
        <is>
          <t>2ถัง</t>
        </is>
      </c>
      <c r="D49" s="9" t="n">
        <v>6100</v>
      </c>
      <c r="H49" s="9" t="n">
        <v>12200</v>
      </c>
      <c r="I49" s="10" t="inlineStr">
        <is>
          <t>ไทยนคร</t>
        </is>
      </c>
      <c r="J49" s="161" t="n">
        <v>24183</v>
      </c>
      <c r="K49" s="8" t="inlineStr">
        <is>
          <t>INV23030628</t>
        </is>
      </c>
      <c r="L49" s="8" t="inlineStr">
        <is>
          <t>ราคายังไม่รวม VAT 7%</t>
        </is>
      </c>
    </row>
    <row r="50">
      <c r="A50" s="69" t="n"/>
      <c r="B50" s="6" t="inlineStr">
        <is>
          <t>ทินเนอร์ 3A A-CW 200ลิตร (150 kg.)</t>
        </is>
      </c>
      <c r="C50" s="8" t="inlineStr">
        <is>
          <t>1ถัง</t>
        </is>
      </c>
      <c r="D50" s="9" t="n">
        <v>6100</v>
      </c>
      <c r="H50" s="9" t="n">
        <v>6100</v>
      </c>
      <c r="I50" s="10" t="inlineStr">
        <is>
          <t>ไทยนคร</t>
        </is>
      </c>
      <c r="J50" s="161" t="n">
        <v>24233</v>
      </c>
      <c r="K50" s="8" t="inlineStr">
        <is>
          <t>INV23050217</t>
        </is>
      </c>
      <c r="L50" s="8" t="inlineStr">
        <is>
          <t>ราคายังไม่รวม VAT 7%</t>
        </is>
      </c>
    </row>
    <row r="51">
      <c r="A51" s="69" t="n"/>
      <c r="B51" s="6" t="inlineStr">
        <is>
          <t>ทินเนอร์ 3A A-CW 200ลิตร (150 kg.)</t>
        </is>
      </c>
      <c r="C51" s="8" t="inlineStr">
        <is>
          <t>1ถัง</t>
        </is>
      </c>
      <c r="D51" s="9" t="n">
        <v>6100</v>
      </c>
      <c r="H51" s="9" t="n">
        <v>6100</v>
      </c>
      <c r="I51" s="10" t="inlineStr">
        <is>
          <t>ไทยนคร</t>
        </is>
      </c>
      <c r="J51" s="161" t="n">
        <v>24270</v>
      </c>
      <c r="K51" s="8" t="inlineStr">
        <is>
          <t>INV23060429</t>
        </is>
      </c>
      <c r="L51" s="8" t="inlineStr">
        <is>
          <t>ราคายังไม่รวม VAT 7%</t>
        </is>
      </c>
    </row>
    <row r="52">
      <c r="A52" s="69" t="n"/>
      <c r="B52" s="6" t="inlineStr">
        <is>
          <t>ทินเนอร์ 3A ABC 200ลิตร (150 kg.)</t>
        </is>
      </c>
      <c r="C52" s="8" t="inlineStr">
        <is>
          <t>2ถัง</t>
        </is>
      </c>
      <c r="D52" s="9" t="n">
        <v>6200</v>
      </c>
      <c r="H52" s="9" t="n">
        <v>12400</v>
      </c>
      <c r="I52" s="10" t="inlineStr">
        <is>
          <t>ไทยนคร</t>
        </is>
      </c>
      <c r="J52" s="161" t="n">
        <v>24298</v>
      </c>
      <c r="K52" s="8" t="inlineStr">
        <is>
          <t>INV23070398</t>
        </is>
      </c>
      <c r="L52" s="8" t="inlineStr">
        <is>
          <t>ราคายังไม่รวม VAT 7%</t>
        </is>
      </c>
    </row>
    <row r="53">
      <c r="A53" s="69" t="n"/>
      <c r="B53" s="6" t="inlineStr">
        <is>
          <t>ทินเนอร์ 3A A-CW 200ลิตร (150 kg.)</t>
        </is>
      </c>
      <c r="C53" s="8" t="inlineStr">
        <is>
          <t>1ถัง</t>
        </is>
      </c>
      <c r="D53" s="9" t="n">
        <v>6100</v>
      </c>
      <c r="H53" s="9" t="n">
        <v>6100</v>
      </c>
      <c r="I53" s="10" t="inlineStr">
        <is>
          <t>ไทยนคร</t>
        </is>
      </c>
      <c r="J53" s="161" t="n">
        <v>24334</v>
      </c>
      <c r="K53" s="8" t="inlineStr">
        <is>
          <t>INV23080494</t>
        </is>
      </c>
      <c r="L53" s="8" t="inlineStr">
        <is>
          <t>ราคายังไม่รวม VAT 7%</t>
        </is>
      </c>
    </row>
    <row r="54">
      <c r="A54" s="69" t="n"/>
      <c r="B54" s="6" t="inlineStr">
        <is>
          <t>ทินเนอร์ 3A A-CW 200ลิตร (150 kg.)</t>
        </is>
      </c>
      <c r="C54" s="8" t="inlineStr">
        <is>
          <t>2ถัง</t>
        </is>
      </c>
      <c r="D54" s="9" t="n">
        <v>6200</v>
      </c>
      <c r="H54" s="9" t="n">
        <v>12400</v>
      </c>
      <c r="I54" s="10" t="inlineStr">
        <is>
          <t>ไทยนคร</t>
        </is>
      </c>
      <c r="J54" s="161" t="n">
        <v>24361</v>
      </c>
      <c r="K54" s="8" t="inlineStr">
        <is>
          <t>INV23090410</t>
        </is>
      </c>
      <c r="L54" s="8" t="inlineStr">
        <is>
          <t>ราคายังไม่รวม VAT 7%</t>
        </is>
      </c>
    </row>
    <row r="55">
      <c r="A55" s="69" t="n"/>
      <c r="B55" s="6" t="inlineStr">
        <is>
          <t>ทินเนอร์ 3A A-CW 200ลิตร (150 kg.)</t>
        </is>
      </c>
      <c r="C55" s="8" t="inlineStr">
        <is>
          <t>2ถัง</t>
        </is>
      </c>
      <c r="D55" s="9" t="n">
        <v>6100</v>
      </c>
      <c r="H55" s="9" t="n">
        <v>12200</v>
      </c>
      <c r="I55" s="10" t="inlineStr">
        <is>
          <t>ไทยนคร</t>
        </is>
      </c>
      <c r="J55" s="161" t="n">
        <v>24398</v>
      </c>
      <c r="K55" s="8" t="inlineStr">
        <is>
          <t>INV23100640</t>
        </is>
      </c>
      <c r="L55" s="8" t="inlineStr">
        <is>
          <t>ราคายังไม่รวม VAT 7%</t>
        </is>
      </c>
    </row>
    <row r="56">
      <c r="A56" s="69" t="n"/>
      <c r="B56" s="6" t="inlineStr">
        <is>
          <t>ทินเนอร์ 3A 200ลิตร (150 kg.)</t>
        </is>
      </c>
      <c r="C56" s="8" t="inlineStr">
        <is>
          <t>2ถัง</t>
        </is>
      </c>
      <c r="D56" s="9" t="n">
        <v>5500</v>
      </c>
      <c r="H56" s="9" t="n">
        <v>11000</v>
      </c>
      <c r="I56" s="10" t="inlineStr">
        <is>
          <t>ทาเลนท์</t>
        </is>
      </c>
      <c r="J56" s="161" t="n">
        <v>24421</v>
      </c>
      <c r="K56" s="8" t="inlineStr">
        <is>
          <t>IV2223646</t>
        </is>
      </c>
      <c r="L56" s="8" t="inlineStr">
        <is>
          <t>ราคารวม VAT แล้ว</t>
        </is>
      </c>
    </row>
    <row r="57">
      <c r="A57" s="69" t="n"/>
      <c r="B57" s="6" t="inlineStr">
        <is>
          <t>ทินเนอร์ 3A 200ลิตร (150 kg.) ราคาต่อ1ถัง</t>
        </is>
      </c>
      <c r="C57" s="8" t="n">
        <v>2</v>
      </c>
      <c r="D57" s="9" t="n">
        <v>5500</v>
      </c>
      <c r="H57" s="9">
        <f>SUM(D57*C57)</f>
        <v/>
      </c>
      <c r="I57" s="10" t="inlineStr">
        <is>
          <t>ทาเลนท์</t>
        </is>
      </c>
      <c r="J57" s="161" t="n">
        <v>24462</v>
      </c>
      <c r="K57" s="8" t="inlineStr">
        <is>
          <t>IV2225991</t>
        </is>
      </c>
      <c r="L57" s="8" t="inlineStr">
        <is>
          <t>ราคารวม VAT แล้ว</t>
        </is>
      </c>
    </row>
    <row r="58">
      <c r="A58" s="69" t="n"/>
      <c r="B58" s="6" t="inlineStr">
        <is>
          <t>ทินเนอร์ 3A 200ลิตร (150 kg.) ราคาต่อ1ถัง</t>
        </is>
      </c>
      <c r="C58" s="8" t="n">
        <v>2</v>
      </c>
      <c r="D58" s="9" t="n">
        <v>5500</v>
      </c>
      <c r="H58" s="9">
        <f>SUM(D58*C58)</f>
        <v/>
      </c>
      <c r="I58" s="10" t="inlineStr">
        <is>
          <t>ทาเลนท์</t>
        </is>
      </c>
      <c r="J58" s="161" t="n">
        <v>24519</v>
      </c>
      <c r="K58" s="8" t="inlineStr">
        <is>
          <t>IV2228925</t>
        </is>
      </c>
      <c r="L58" s="8" t="inlineStr">
        <is>
          <t>ราคารวม VAT แล้ว</t>
        </is>
      </c>
    </row>
    <row r="59">
      <c r="A59" s="69" t="n"/>
      <c r="B59" s="6" t="inlineStr">
        <is>
          <t>ทินเนอร์ 3A 200ลิตร (150 kg.) ราคาต่อ1ถัง</t>
        </is>
      </c>
      <c r="C59" s="8" t="n">
        <v>2</v>
      </c>
      <c r="D59" s="9" t="n">
        <v>5500</v>
      </c>
      <c r="H59" s="9">
        <f>SUM(D59*C59)</f>
        <v/>
      </c>
      <c r="I59" s="10" t="inlineStr">
        <is>
          <t>ทาเลนท์</t>
        </is>
      </c>
      <c r="J59" s="161" t="n">
        <v>24551</v>
      </c>
      <c r="K59" s="8" t="inlineStr">
        <is>
          <t>IV2230797</t>
        </is>
      </c>
      <c r="L59" s="8" t="inlineStr">
        <is>
          <t>ราคารวม VAT แล้ว</t>
        </is>
      </c>
    </row>
    <row r="60">
      <c r="A60" s="69" t="n"/>
      <c r="B60" s="6" t="inlineStr">
        <is>
          <t>ทินเนอร์ 3A 200ลิตร (150 kg.) ราคาต่อ1ถัง</t>
        </is>
      </c>
      <c r="C60" s="8" t="n">
        <v>1</v>
      </c>
      <c r="D60" s="9" t="n">
        <v>5500</v>
      </c>
      <c r="H60" s="9">
        <f>SUM(D60*C60)</f>
        <v/>
      </c>
      <c r="I60" s="10" t="inlineStr">
        <is>
          <t>ทาเลนท์</t>
        </is>
      </c>
      <c r="J60" s="161" t="n">
        <v>24640</v>
      </c>
      <c r="K60" s="8" t="inlineStr">
        <is>
          <t>IV2235520</t>
        </is>
      </c>
      <c r="L60" s="8" t="inlineStr">
        <is>
          <t>ราคารวม VAT แล้ว</t>
        </is>
      </c>
    </row>
    <row r="61">
      <c r="A61" s="69" t="n"/>
      <c r="B61" s="6" t="inlineStr">
        <is>
          <t>ทินเนอร์ 3A 200ลิตร (150 kg.) ราคาต่อ1ถัง</t>
        </is>
      </c>
      <c r="C61" s="8" t="n">
        <v>2</v>
      </c>
      <c r="D61" s="9" t="n">
        <v>5500</v>
      </c>
      <c r="H61" s="9">
        <f>SUM(D61*C61)</f>
        <v/>
      </c>
      <c r="I61" s="10" t="inlineStr">
        <is>
          <t>ทาเลนท์</t>
        </is>
      </c>
      <c r="J61" s="161" t="n">
        <v>24601</v>
      </c>
      <c r="K61" s="8" t="inlineStr">
        <is>
          <t>IV2233213</t>
        </is>
      </c>
      <c r="L61" s="8" t="inlineStr">
        <is>
          <t>ราคารวม VAT แล้ว</t>
        </is>
      </c>
    </row>
    <row r="62">
      <c r="A62" s="69" t="n"/>
      <c r="B62" s="6" t="inlineStr">
        <is>
          <t>ทินเนอร์ 3A 200ลิตร (150 kg.) ราคาต่อ1ถัง</t>
        </is>
      </c>
      <c r="C62" s="8" t="n">
        <v>2</v>
      </c>
      <c r="D62" s="9" t="n">
        <v>5500</v>
      </c>
      <c r="H62" s="9">
        <f>SUM(D62*C62)</f>
        <v/>
      </c>
      <c r="I62" s="10" t="inlineStr">
        <is>
          <t>ทาเลนท์</t>
        </is>
      </c>
      <c r="J62" s="161" t="n">
        <v>24669</v>
      </c>
      <c r="K62" s="8" t="inlineStr">
        <is>
          <t>IV2237182</t>
        </is>
      </c>
      <c r="L62" s="8" t="inlineStr">
        <is>
          <t>ราคารวม VAT แล้ว</t>
        </is>
      </c>
    </row>
    <row r="63">
      <c r="A63" s="69" t="n"/>
      <c r="B63" s="6" t="inlineStr">
        <is>
          <t>ทินเนอร์ 3A 200ลิตร (150 kg.) ราคาต่อ1ถัง</t>
        </is>
      </c>
      <c r="C63" s="8" t="n">
        <v>2</v>
      </c>
      <c r="D63" s="9" t="n">
        <v>5500</v>
      </c>
      <c r="H63" s="9">
        <f>SUM(D63*C63)</f>
        <v/>
      </c>
      <c r="I63" s="10" t="inlineStr">
        <is>
          <t>ทาเลนท์</t>
        </is>
      </c>
      <c r="J63" s="161" t="n">
        <v>24704</v>
      </c>
      <c r="K63" s="8" t="inlineStr">
        <is>
          <t>IV2239078</t>
        </is>
      </c>
      <c r="L63" s="8" t="inlineStr">
        <is>
          <t>ราคารวม VAT แล้ว</t>
        </is>
      </c>
    </row>
    <row r="64">
      <c r="A64" s="69" t="n"/>
      <c r="B64" s="6" t="inlineStr">
        <is>
          <t>ทินเนอร์ 3A 200ลิตร (150 kg.) ราคาต่อ1ถัง</t>
        </is>
      </c>
      <c r="C64" s="8" t="n">
        <v>1</v>
      </c>
      <c r="D64" s="9" t="n">
        <v>5500</v>
      </c>
      <c r="H64" s="9">
        <f>SUM(D64*C64)</f>
        <v/>
      </c>
      <c r="I64" s="10" t="inlineStr">
        <is>
          <t>ทาเลนท์</t>
        </is>
      </c>
      <c r="J64" s="161" t="n">
        <v>24734</v>
      </c>
      <c r="K64" s="8" t="inlineStr">
        <is>
          <t>IV2240911</t>
        </is>
      </c>
      <c r="L64" s="8" t="inlineStr">
        <is>
          <t>ราคารวม VAT แล้ว</t>
        </is>
      </c>
    </row>
    <row r="65">
      <c r="A65" s="69" t="n"/>
      <c r="B65" s="6" t="inlineStr">
        <is>
          <t>ทินเนอร์ 3A 200ลิตร (150 kg.) ราคาต่อ1ถัง</t>
        </is>
      </c>
      <c r="C65" s="8" t="n">
        <v>2</v>
      </c>
      <c r="D65" s="9" t="n">
        <v>5500</v>
      </c>
      <c r="H65" s="9">
        <f>SUM(D65*C65)</f>
        <v/>
      </c>
      <c r="I65" s="10" t="inlineStr">
        <is>
          <t>ทาเลนท์</t>
        </is>
      </c>
      <c r="J65" s="161" t="n">
        <v>24767</v>
      </c>
      <c r="K65" s="8" t="inlineStr">
        <is>
          <t>IV2242741</t>
        </is>
      </c>
      <c r="L65" s="8" t="inlineStr">
        <is>
          <t>ราคารวม VAT แล้ว</t>
        </is>
      </c>
    </row>
    <row r="66">
      <c r="A66" s="69" t="n"/>
      <c r="B66" s="6" t="inlineStr">
        <is>
          <t>ทินเนอร์ 3A 200ลิตร (150 kg.) ราคาต่อ1ถัง</t>
        </is>
      </c>
      <c r="C66" s="8" t="n">
        <v>2</v>
      </c>
      <c r="D66" s="9" t="n">
        <v>5500</v>
      </c>
      <c r="H66" s="9">
        <f>SUM(D66*C66)</f>
        <v/>
      </c>
      <c r="I66" s="10" t="inlineStr">
        <is>
          <t>ทาเลนท์</t>
        </is>
      </c>
      <c r="J66" s="161" t="n">
        <v>24809</v>
      </c>
      <c r="K66" s="8" t="inlineStr">
        <is>
          <t>IV2245144</t>
        </is>
      </c>
      <c r="L66" s="8" t="inlineStr">
        <is>
          <t>ราคารวม VAT แล้ว</t>
        </is>
      </c>
    </row>
    <row r="67">
      <c r="A67" s="69" t="n"/>
      <c r="B67" s="6" t="inlineStr">
        <is>
          <t>ทินเนอร์ 3A 200ลิตร (150 kg.) ราคาต่อ1ถัง</t>
        </is>
      </c>
      <c r="C67" s="8" t="n">
        <v>2</v>
      </c>
      <c r="D67" s="9" t="n">
        <v>5500</v>
      </c>
      <c r="H67" s="9">
        <f>SUM(D67*C67)</f>
        <v/>
      </c>
      <c r="I67" s="10" t="inlineStr">
        <is>
          <t>ทาเลนท์</t>
        </is>
      </c>
      <c r="J67" s="161" t="n">
        <v>24858</v>
      </c>
      <c r="K67" s="8" t="inlineStr">
        <is>
          <t>IV6801256</t>
        </is>
      </c>
      <c r="L67" s="8" t="inlineStr">
        <is>
          <t>ราคารวม VAT แล้ว</t>
        </is>
      </c>
    </row>
    <row r="68">
      <c r="A68" s="69" t="n"/>
      <c r="B68" s="6" t="inlineStr">
        <is>
          <t>ทินเนอร์ 3A 200ลิตร (150 kg.) ราคาต่อ1ถัง</t>
        </is>
      </c>
      <c r="C68" s="8" t="n">
        <v>2</v>
      </c>
      <c r="D68" s="9" t="n">
        <v>5500</v>
      </c>
      <c r="H68" s="9">
        <f>SUM(D68*C68)</f>
        <v/>
      </c>
      <c r="I68" s="10" t="inlineStr">
        <is>
          <t>ทาเลนท์</t>
        </is>
      </c>
      <c r="J68" s="161" t="n">
        <v>24911</v>
      </c>
      <c r="K68" s="8" t="inlineStr">
        <is>
          <t>IV6804438</t>
        </is>
      </c>
      <c r="L68" s="8" t="inlineStr">
        <is>
          <t>ราคารวม VAT แล้ว</t>
        </is>
      </c>
    </row>
    <row r="69">
      <c r="A69" s="69" t="n"/>
      <c r="B69" s="6" t="inlineStr">
        <is>
          <t>ทินเนอร์ 3A 200ลิตร (150 kg.) ราคาต่อ1ถัง</t>
        </is>
      </c>
      <c r="C69" s="8" t="n">
        <v>2</v>
      </c>
      <c r="D69" s="9" t="n">
        <v>5140.186</v>
      </c>
      <c r="E69" s="9">
        <f>SUM(C69*D69)</f>
        <v/>
      </c>
      <c r="G69" s="10" t="inlineStr">
        <is>
          <t>ราคารวมVAT =</t>
        </is>
      </c>
      <c r="H69" s="9">
        <f>SUM(E69*O69/N69)</f>
        <v/>
      </c>
      <c r="I69" s="10" t="inlineStr">
        <is>
          <t>ทาเลนท์</t>
        </is>
      </c>
      <c r="J69" s="161" t="n">
        <v>24965</v>
      </c>
      <c r="K69" s="8" t="inlineStr">
        <is>
          <t>IV6807239</t>
        </is>
      </c>
      <c r="L69" s="8" t="inlineStr">
        <is>
          <t>ราคารวม VAT แล้ว</t>
        </is>
      </c>
      <c r="N69" s="6" t="n">
        <v>100</v>
      </c>
      <c r="O69" s="6" t="n">
        <v>107</v>
      </c>
    </row>
    <row r="70">
      <c r="A70" s="69" t="n"/>
      <c r="B70" s="42" t="inlineStr">
        <is>
          <t>เมื่อ 8/5/68 วาทีเสนอขายทินเนอร์ 3A แบบมือ1 -- แบบ 150ลิตรNET ราคา = 5,500 บาทก่อนVAT // แบบ 150ลิตรรวมถัง ราคา = 5,200 บาทก่อนVAT // รับเทรินถังเปล่า 200 บาท/ใบ ** ซื้อ ร้านทาเลนท์ จะราคาถูกกว่า</t>
        </is>
      </c>
    </row>
    <row r="71">
      <c r="A71" s="69" t="n"/>
      <c r="B71" s="6" t="inlineStr">
        <is>
          <t>ทินเนอร์ 3A 200ลิตร (150 kg.) ราคาต่อ1ถัง</t>
        </is>
      </c>
      <c r="C71" s="8" t="n">
        <v>2</v>
      </c>
      <c r="D71" s="9" t="n">
        <v>5140.186</v>
      </c>
      <c r="E71" s="9">
        <f>SUM(C71*D71)</f>
        <v/>
      </c>
      <c r="G71" s="10" t="inlineStr">
        <is>
          <t>ราคารวมVAT =</t>
        </is>
      </c>
      <c r="H71" s="9">
        <f>SUM(E71*O71/N71)</f>
        <v/>
      </c>
      <c r="I71" s="10" t="inlineStr">
        <is>
          <t>ทาเลนท์</t>
        </is>
      </c>
      <c r="J71" s="161" t="n">
        <v>25021</v>
      </c>
      <c r="K71" s="8" t="inlineStr">
        <is>
          <t>IV6810575</t>
        </is>
      </c>
      <c r="L71" s="8" t="inlineStr">
        <is>
          <t>ราคารวม VAT แล้ว</t>
        </is>
      </c>
      <c r="N71" s="6" t="n">
        <v>100</v>
      </c>
      <c r="O71" s="6" t="n">
        <v>107</v>
      </c>
    </row>
    <row r="72">
      <c r="A72" s="69" t="n"/>
      <c r="B72" s="6" t="inlineStr">
        <is>
          <t>ทินเนอร์ 3A 200ลิตร (150 kg.) ราคาต่อ1ถัง</t>
        </is>
      </c>
      <c r="C72" s="8" t="n">
        <v>2</v>
      </c>
      <c r="D72" s="9" t="n">
        <v>5140.186</v>
      </c>
      <c r="E72" s="9">
        <f>SUM(C72*D72)</f>
        <v/>
      </c>
      <c r="G72" s="10" t="inlineStr">
        <is>
          <t>ราคารวมVAT =</t>
        </is>
      </c>
      <c r="H72" s="9">
        <f>SUM(E72*O72/N72)</f>
        <v/>
      </c>
      <c r="I72" s="10" t="inlineStr">
        <is>
          <t>ทาเลนท์</t>
        </is>
      </c>
      <c r="J72" s="161" t="n">
        <v>25042</v>
      </c>
      <c r="K72" s="8" t="inlineStr">
        <is>
          <t>IV6811846</t>
        </is>
      </c>
      <c r="L72" s="8" t="inlineStr">
        <is>
          <t>ราคารวม VAT แล้ว</t>
        </is>
      </c>
      <c r="N72" s="6" t="n">
        <v>100</v>
      </c>
      <c r="O72" s="6" t="n">
        <v>107</v>
      </c>
    </row>
    <row r="73">
      <c r="A73" s="69" t="n"/>
      <c r="B73" s="6" t="inlineStr">
        <is>
          <t>ทินเนอร์ 3A 200ลิตร (150 kg.) ราคาต่อ1ถัง</t>
        </is>
      </c>
      <c r="C73" s="8" t="n">
        <v>1</v>
      </c>
      <c r="D73" s="9" t="n">
        <v>5140.186</v>
      </c>
      <c r="E73" s="9">
        <f>SUM(C73*D73)</f>
        <v/>
      </c>
      <c r="G73" s="10" t="inlineStr">
        <is>
          <t>ราคารวมVAT =</t>
        </is>
      </c>
      <c r="H73" s="9">
        <f>SUM(E73*O73/N73)</f>
        <v/>
      </c>
      <c r="I73" s="10" t="inlineStr">
        <is>
          <t>ทาเลนท์</t>
        </is>
      </c>
      <c r="J73" s="161" t="n">
        <v>25063</v>
      </c>
      <c r="K73" s="8" t="inlineStr">
        <is>
          <t>IV6813011</t>
        </is>
      </c>
      <c r="L73" s="8" t="inlineStr">
        <is>
          <t>ราคารวม VAT แล้ว</t>
        </is>
      </c>
      <c r="N73" s="6" t="n">
        <v>100</v>
      </c>
      <c r="O73" s="6" t="n">
        <v>107</v>
      </c>
    </row>
    <row r="74">
      <c r="A74" s="69" t="n"/>
      <c r="B74" s="6" t="inlineStr">
        <is>
          <t>ทินเนอร์ 3A 200ลิตร (150 kg.) ราคาต่อ1ถัง</t>
        </is>
      </c>
      <c r="C74" s="8" t="n">
        <v>2</v>
      </c>
      <c r="D74" s="9" t="n">
        <v>5140.186</v>
      </c>
      <c r="E74" s="9">
        <f>SUM(C74*D74)</f>
        <v/>
      </c>
      <c r="G74" s="10" t="inlineStr">
        <is>
          <t>ราคารวมVAT =</t>
        </is>
      </c>
      <c r="H74" s="9">
        <f>SUM(E74*O74/N74)</f>
        <v/>
      </c>
      <c r="I74" s="10" t="inlineStr">
        <is>
          <t>ทาเลนท์</t>
        </is>
      </c>
      <c r="J74" s="161" t="n">
        <v>25091</v>
      </c>
      <c r="K74" s="8" t="inlineStr">
        <is>
          <t>IV6814666</t>
        </is>
      </c>
      <c r="L74" s="8" t="inlineStr">
        <is>
          <t>ราคารวม VAT แล้ว</t>
        </is>
      </c>
      <c r="N74" s="6" t="n">
        <v>100</v>
      </c>
      <c r="O74" s="6" t="n">
        <v>107</v>
      </c>
    </row>
    <row r="75">
      <c r="A75" s="69" t="n"/>
      <c r="B75" s="6" t="inlineStr">
        <is>
          <t>ทินเนอร์ 3A 200ลิตร (150 kg.) ราคาต่อ1ถัง</t>
        </is>
      </c>
      <c r="C75" s="8" t="n">
        <v>2</v>
      </c>
      <c r="D75" s="9" t="n">
        <v>5140.186</v>
      </c>
      <c r="E75" s="9">
        <f>SUM(C75*D75)</f>
        <v/>
      </c>
      <c r="G75" s="10" t="inlineStr">
        <is>
          <t>ราคารวมVAT =</t>
        </is>
      </c>
      <c r="H75" s="9">
        <f>SUM(E75*O75/N75)</f>
        <v/>
      </c>
      <c r="I75" s="10" t="inlineStr">
        <is>
          <t>ทาเลนท์</t>
        </is>
      </c>
      <c r="J75" s="161" t="n">
        <v>25121</v>
      </c>
      <c r="K75" s="8" t="inlineStr">
        <is>
          <t>IV6816495</t>
        </is>
      </c>
      <c r="L75" s="8" t="inlineStr">
        <is>
          <t>ราคารวม VAT แล้ว</t>
        </is>
      </c>
      <c r="N75" s="6" t="n">
        <v>100</v>
      </c>
      <c r="O75" s="6" t="n">
        <v>107</v>
      </c>
    </row>
    <row r="76">
      <c r="A76" s="69" t="n"/>
      <c r="B76" s="6" t="inlineStr">
        <is>
          <t>ทินเนอร์ 3A 200ลิตร (150 kg.) ราคาต่อ1ถัง</t>
        </is>
      </c>
      <c r="C76" s="8" t="n">
        <v>2</v>
      </c>
      <c r="D76" s="9" t="n">
        <v>5140.186</v>
      </c>
      <c r="E76" s="9">
        <f>SUM(C76*D76)</f>
        <v/>
      </c>
      <c r="G76" s="10" t="inlineStr">
        <is>
          <t>ราคารวมVAT =</t>
        </is>
      </c>
      <c r="H76" s="9">
        <f>SUM(E76*O76/N76)</f>
        <v/>
      </c>
      <c r="I76" s="10" t="inlineStr">
        <is>
          <t>ทาเลนท์</t>
        </is>
      </c>
      <c r="J76" s="161" t="n">
        <v>25147</v>
      </c>
      <c r="K76" s="8" t="inlineStr">
        <is>
          <t>IV6818042</t>
        </is>
      </c>
      <c r="L76" s="8" t="inlineStr">
        <is>
          <t>ราคารวม VAT แล้ว</t>
        </is>
      </c>
      <c r="N76" s="6" t="n">
        <v>100</v>
      </c>
      <c r="O76" s="6" t="n">
        <v>107</v>
      </c>
    </row>
    <row r="77">
      <c r="A77" s="69" t="n"/>
      <c r="B77" s="6" t="inlineStr">
        <is>
          <t>ทินเนอร์ 3A 200ลิตร (150 kg.) ราคาต่อ1ถัง</t>
        </is>
      </c>
      <c r="C77" s="8" t="n">
        <v>2</v>
      </c>
      <c r="D77" s="9" t="n">
        <v>5140.186</v>
      </c>
      <c r="E77" s="9">
        <f>SUM(C77*D77)</f>
        <v/>
      </c>
      <c r="G77" s="10" t="inlineStr">
        <is>
          <t>ราคารวมVAT =</t>
        </is>
      </c>
      <c r="H77" s="9">
        <f>SUM(E77*O77/N77)</f>
        <v/>
      </c>
      <c r="I77" s="10" t="inlineStr">
        <is>
          <t>ทาเลนท์</t>
        </is>
      </c>
      <c r="J77" s="161" t="n">
        <v>25169</v>
      </c>
      <c r="K77" s="8" t="inlineStr">
        <is>
          <t>IV6819324</t>
        </is>
      </c>
      <c r="L77" s="8" t="inlineStr">
        <is>
          <t>ราคารวม VAT แล้ว</t>
        </is>
      </c>
      <c r="N77" s="6" t="n">
        <v>100</v>
      </c>
      <c r="O77" s="6" t="n">
        <v>107</v>
      </c>
    </row>
    <row r="79">
      <c r="B79" s="6" t="inlineStr">
        <is>
          <t>ทินเนอร์ อคิลิค EXKO -- ใช้แล้วมีปัญหา</t>
        </is>
      </c>
      <c r="C79" s="8" t="inlineStr">
        <is>
          <t>1ถัง</t>
        </is>
      </c>
      <c r="D79" s="9" t="n">
        <v>7500</v>
      </c>
      <c r="H79" s="9" t="n">
        <v>8025</v>
      </c>
      <c r="I79" s="10" t="inlineStr">
        <is>
          <t xml:space="preserve">เอ็มแอนด์บี </t>
        </is>
      </c>
      <c r="J79" s="161" t="n">
        <v>22430</v>
      </c>
    </row>
    <row r="80">
      <c r="B80" s="6" t="inlineStr">
        <is>
          <t>ทินเนอร์ อะคริลิค (ลูไซด์) 3602 S  WELCO 150 kg.</t>
        </is>
      </c>
      <c r="C80" s="8" t="inlineStr">
        <is>
          <t>1ถัง</t>
        </is>
      </c>
      <c r="D80" s="9" t="n">
        <v>7600</v>
      </c>
      <c r="H80" s="9" t="n">
        <v>7600</v>
      </c>
      <c r="I80" s="10" t="inlineStr">
        <is>
          <t>ไทยนคร</t>
        </is>
      </c>
      <c r="J80" s="161" t="n">
        <v>22467</v>
      </c>
      <c r="L80" s="8" t="inlineStr">
        <is>
          <t>ราคายังไม่รวม VAT 7%</t>
        </is>
      </c>
    </row>
    <row r="81">
      <c r="B81" s="6" t="inlineStr">
        <is>
          <t>ทินเนอร์ อะคริลิค (ลูไซด์) 3602 S  WELCO 150 kg.</t>
        </is>
      </c>
      <c r="C81" s="8" t="inlineStr">
        <is>
          <t>1ถัง</t>
        </is>
      </c>
      <c r="D81" s="9" t="n">
        <v>7500</v>
      </c>
      <c r="H81" s="9" t="n">
        <v>7500</v>
      </c>
      <c r="I81" s="10" t="inlineStr">
        <is>
          <t>ไทยนคร</t>
        </is>
      </c>
      <c r="J81" s="161" t="n">
        <v>22758</v>
      </c>
      <c r="L81" s="8" t="inlineStr">
        <is>
          <t>ราคายังไม่รวม VAT 7%</t>
        </is>
      </c>
    </row>
    <row r="82">
      <c r="B82" s="6" t="inlineStr">
        <is>
          <t>ทินเนอร์ อะคริลิค (ลูไซด์) 3602 S  WELCO 150 kg.</t>
        </is>
      </c>
      <c r="C82" s="8" t="inlineStr">
        <is>
          <t>1ถัง</t>
        </is>
      </c>
      <c r="D82" s="9" t="n">
        <v>7500</v>
      </c>
      <c r="H82" s="9" t="n">
        <v>7500</v>
      </c>
      <c r="I82" s="10" t="inlineStr">
        <is>
          <t>ไทยนคร</t>
        </is>
      </c>
      <c r="J82" s="161" t="n">
        <v>22782</v>
      </c>
      <c r="L82" s="8" t="inlineStr">
        <is>
          <t>ราคายังไม่รวม VAT 7%</t>
        </is>
      </c>
    </row>
    <row r="83">
      <c r="B83" s="6" t="inlineStr">
        <is>
          <t>ทินเนอร์ อะคริลิค (ลูไซด์) 3602 S  WELCO 150 kg.</t>
        </is>
      </c>
      <c r="C83" s="8" t="inlineStr">
        <is>
          <t>1ถัง</t>
        </is>
      </c>
      <c r="D83" s="9" t="n">
        <v>7500</v>
      </c>
      <c r="H83" s="9" t="n">
        <v>7500</v>
      </c>
      <c r="I83" s="10" t="inlineStr">
        <is>
          <t>ไทยนคร</t>
        </is>
      </c>
      <c r="J83" s="161" t="n">
        <v>22828</v>
      </c>
      <c r="L83" s="8" t="inlineStr">
        <is>
          <t>ราคายังไม่รวม VAT 7%</t>
        </is>
      </c>
    </row>
    <row r="84">
      <c r="B84" s="6" t="inlineStr">
        <is>
          <t>ทินเนอร์ อะคริลิค (ลูไซด์) 3602 S  WELCO 150 kg.</t>
        </is>
      </c>
      <c r="C84" s="8" t="inlineStr">
        <is>
          <t>1ถัง</t>
        </is>
      </c>
      <c r="D84" s="9" t="n">
        <v>7500</v>
      </c>
      <c r="H84" s="9" t="n">
        <v>7500</v>
      </c>
      <c r="I84" s="10" t="inlineStr">
        <is>
          <t>ไทยนคร</t>
        </is>
      </c>
      <c r="J84" s="161" t="n">
        <v>22853</v>
      </c>
      <c r="L84" s="8" t="inlineStr">
        <is>
          <t>ราคายังไม่รวม VAT 7%</t>
        </is>
      </c>
    </row>
    <row r="85">
      <c r="B85" s="6" t="inlineStr">
        <is>
          <t>ทินเนอร์ อะคริลิค (ลูไซด์) 3602 S  WELCO 150 kg.</t>
        </is>
      </c>
      <c r="C85" s="8" t="inlineStr">
        <is>
          <t>2ถัง</t>
        </is>
      </c>
      <c r="D85" s="9" t="n">
        <v>7500</v>
      </c>
      <c r="H85" s="9" t="n">
        <v>15000</v>
      </c>
      <c r="I85" s="10" t="inlineStr">
        <is>
          <t>ไทยนคร</t>
        </is>
      </c>
      <c r="J85" s="161" t="n">
        <v>22891</v>
      </c>
      <c r="L85" s="8" t="inlineStr">
        <is>
          <t>ราคายังไม่รวม VAT 7%</t>
        </is>
      </c>
    </row>
    <row r="86">
      <c r="B86" s="6" t="inlineStr">
        <is>
          <t>ทินเนอร์ อะคริลิค (ลูไซด์) 3602 S  WELCO 150 kg.</t>
        </is>
      </c>
      <c r="C86" s="8" t="inlineStr">
        <is>
          <t>1ถัง</t>
        </is>
      </c>
      <c r="D86" s="9" t="n">
        <v>7500</v>
      </c>
      <c r="H86" s="9" t="n">
        <v>7500</v>
      </c>
      <c r="I86" s="10" t="inlineStr">
        <is>
          <t>ไทยนคร</t>
        </is>
      </c>
      <c r="J86" s="161" t="n">
        <v>23040</v>
      </c>
      <c r="L86" s="8" t="inlineStr">
        <is>
          <t>ราคายังไม่รวม VAT 7%</t>
        </is>
      </c>
    </row>
    <row r="87">
      <c r="B87" s="6" t="inlineStr">
        <is>
          <t>ทินเนอร์ อะคริลิค (ลูไซด์) 3602 S  WELCO 150 kg.</t>
        </is>
      </c>
      <c r="C87" s="8" t="inlineStr">
        <is>
          <t>1ถัง</t>
        </is>
      </c>
      <c r="D87" s="9" t="n">
        <v>7500</v>
      </c>
      <c r="H87" s="9" t="n">
        <v>7500</v>
      </c>
      <c r="I87" s="10" t="inlineStr">
        <is>
          <t>ไทยนคร</t>
        </is>
      </c>
      <c r="J87" s="161" t="n">
        <v>23073</v>
      </c>
      <c r="L87" s="8" t="inlineStr">
        <is>
          <t>ราคายังไม่รวม VAT 7%</t>
        </is>
      </c>
    </row>
    <row r="88">
      <c r="B88" s="6" t="inlineStr">
        <is>
          <t>ทินเนอร์ อะคริลิค (ลูไซด์) 3602 S  WELCO 150 kg.</t>
        </is>
      </c>
      <c r="C88" s="8" t="inlineStr">
        <is>
          <t>1ถัง</t>
        </is>
      </c>
      <c r="D88" s="9" t="n">
        <v>7200</v>
      </c>
      <c r="H88" s="9" t="n">
        <v>7200</v>
      </c>
      <c r="I88" s="10" t="inlineStr">
        <is>
          <t>ไทยนคร</t>
        </is>
      </c>
      <c r="J88" s="161" t="n">
        <v>23108</v>
      </c>
      <c r="L88" s="8" t="inlineStr">
        <is>
          <t>ราคายังไม่รวม VAT 7%</t>
        </is>
      </c>
    </row>
    <row r="89">
      <c r="B89" s="6" t="inlineStr">
        <is>
          <t>ทินเนอร์ อะคริลิค (ลูไซด์) 3602 S  WELCO 150 kg.</t>
        </is>
      </c>
      <c r="C89" s="8" t="inlineStr">
        <is>
          <t>1ถัง</t>
        </is>
      </c>
      <c r="D89" s="9" t="n">
        <v>7200</v>
      </c>
      <c r="H89" s="9" t="n">
        <v>7200</v>
      </c>
      <c r="I89" s="10" t="inlineStr">
        <is>
          <t>ไทยนคร</t>
        </is>
      </c>
      <c r="J89" s="161" t="n">
        <v>23139</v>
      </c>
      <c r="L89" s="8" t="inlineStr">
        <is>
          <t>ราคายังไม่รวม VAT 7%</t>
        </is>
      </c>
    </row>
    <row r="90">
      <c r="B90" s="6" t="inlineStr">
        <is>
          <t>ทินเนอร์ อะคริลิค (ลูไซด์) 3602 S  WELCO 150 kg.</t>
        </is>
      </c>
      <c r="C90" s="8" t="inlineStr">
        <is>
          <t>1ถัง</t>
        </is>
      </c>
      <c r="D90" s="9" t="n">
        <v>7200</v>
      </c>
      <c r="H90" s="9" t="n">
        <v>7200</v>
      </c>
      <c r="I90" s="10" t="inlineStr">
        <is>
          <t>ไทยนคร</t>
        </is>
      </c>
      <c r="J90" s="161" t="n">
        <v>23179</v>
      </c>
      <c r="L90" s="8" t="inlineStr">
        <is>
          <t>ราคายังไม่รวม VAT 7%</t>
        </is>
      </c>
    </row>
    <row r="91">
      <c r="B91" s="6" t="inlineStr">
        <is>
          <t>ทินเนอร์ อะคริลิค (ลูไซด์) 3602 S  WELCO 150 kg.</t>
        </is>
      </c>
      <c r="C91" s="8" t="inlineStr">
        <is>
          <t>2ถัง</t>
        </is>
      </c>
      <c r="D91" s="9" t="n">
        <v>7200</v>
      </c>
      <c r="H91" s="9" t="n">
        <v>14400</v>
      </c>
      <c r="I91" s="10" t="inlineStr">
        <is>
          <t>ไทยนคร</t>
        </is>
      </c>
      <c r="J91" s="161" t="n">
        <v>23215</v>
      </c>
      <c r="L91" s="8" t="inlineStr">
        <is>
          <t>ราคายังไม่รวม VAT 7%</t>
        </is>
      </c>
    </row>
    <row r="92">
      <c r="B92" s="6" t="inlineStr">
        <is>
          <t>ทินเนอร์ อะคริลิค (ลูไซด์) 3602 S  WELCO 150 kg.</t>
        </is>
      </c>
      <c r="C92" s="8" t="inlineStr">
        <is>
          <t>2ถัง</t>
        </is>
      </c>
      <c r="D92" s="9" t="n">
        <v>7200</v>
      </c>
      <c r="H92" s="9" t="n">
        <v>14400</v>
      </c>
      <c r="I92" s="10" t="inlineStr">
        <is>
          <t>ไทยนคร</t>
        </is>
      </c>
      <c r="J92" s="161" t="n">
        <v>23262</v>
      </c>
      <c r="L92" s="8" t="inlineStr">
        <is>
          <t>ราคายังไม่รวม VAT 7%</t>
        </is>
      </c>
    </row>
    <row r="93">
      <c r="B93" s="6" t="inlineStr">
        <is>
          <t>ทินเนอร์ อะคริลิค (ลูไซด์) 3602 S  WELCO 150 kg.</t>
        </is>
      </c>
      <c r="C93" s="8" t="inlineStr">
        <is>
          <t>1ถัง</t>
        </is>
      </c>
      <c r="D93" s="9" t="n">
        <v>7200</v>
      </c>
      <c r="H93" s="9" t="n">
        <v>7200</v>
      </c>
      <c r="I93" s="10" t="inlineStr">
        <is>
          <t>ไทยนคร</t>
        </is>
      </c>
      <c r="J93" s="161" t="n">
        <v>23299</v>
      </c>
      <c r="L93" s="8" t="inlineStr">
        <is>
          <t>ราคายังไม่รวม VAT 7%</t>
        </is>
      </c>
    </row>
    <row r="94">
      <c r="B94" s="6" t="inlineStr">
        <is>
          <t>ทินเนอร์ อะคริลิค (ลูไซด์) 3602 S  WELCO 150 kg.</t>
        </is>
      </c>
      <c r="C94" s="8" t="inlineStr">
        <is>
          <t>1ถัง</t>
        </is>
      </c>
      <c r="D94" s="9" t="n">
        <v>7200</v>
      </c>
      <c r="H94" s="9" t="n">
        <v>7200</v>
      </c>
      <c r="I94" s="10" t="inlineStr">
        <is>
          <t>ไทยนคร</t>
        </is>
      </c>
      <c r="J94" s="161" t="n">
        <v>23341</v>
      </c>
      <c r="L94" s="8" t="inlineStr">
        <is>
          <t>ราคายังไม่รวม VAT 7%</t>
        </is>
      </c>
    </row>
    <row r="95">
      <c r="B95" s="6" t="inlineStr">
        <is>
          <t>ทินเนอร์ อะคริลิค (ลูไซด์) 3602 S  WELCO 150 kg.</t>
        </is>
      </c>
      <c r="C95" s="8" t="inlineStr">
        <is>
          <t>1ถัง</t>
        </is>
      </c>
      <c r="D95" s="9" t="n">
        <v>7200</v>
      </c>
      <c r="H95" s="9" t="n">
        <v>7200</v>
      </c>
      <c r="I95" s="10" t="inlineStr">
        <is>
          <t>ไทยนคร</t>
        </is>
      </c>
      <c r="J95" s="161" t="n">
        <v>23388</v>
      </c>
      <c r="L95" s="8" t="inlineStr">
        <is>
          <t>ราคายังไม่รวม VAT 7%</t>
        </is>
      </c>
    </row>
    <row r="96">
      <c r="B96" s="6" t="inlineStr">
        <is>
          <t>ทินเนอร์ อะคริลิค (ลูไซด์) 3602 S  WELCO 150 kg.</t>
        </is>
      </c>
      <c r="C96" s="8" t="inlineStr">
        <is>
          <t>1ถัง</t>
        </is>
      </c>
      <c r="D96" s="9" t="n">
        <v>7200</v>
      </c>
      <c r="H96" s="9" t="n">
        <v>7200</v>
      </c>
      <c r="I96" s="10" t="inlineStr">
        <is>
          <t>ไทยนคร</t>
        </is>
      </c>
      <c r="J96" s="161" t="n">
        <v>23438</v>
      </c>
      <c r="L96" s="8" t="inlineStr">
        <is>
          <t>ราคายังไม่รวม VAT 7%</t>
        </is>
      </c>
    </row>
    <row r="97">
      <c r="B97" s="6" t="inlineStr">
        <is>
          <t>ทินเนอร์ อะคริลิค (ลูไซด์) 3602 S  WELCO 150 kg.</t>
        </is>
      </c>
      <c r="C97" s="8" t="inlineStr">
        <is>
          <t>1ถัง</t>
        </is>
      </c>
      <c r="D97" s="9" t="n">
        <v>7200</v>
      </c>
      <c r="H97" s="9" t="n">
        <v>7200</v>
      </c>
      <c r="I97" s="10" t="inlineStr">
        <is>
          <t>ไทยนคร</t>
        </is>
      </c>
      <c r="J97" s="161" t="n">
        <v>23533</v>
      </c>
      <c r="K97" s="8" t="inlineStr">
        <is>
          <t>IV6406/0342</t>
        </is>
      </c>
      <c r="L97" s="8" t="inlineStr">
        <is>
          <t>ราคายังไม่รวม VAT 7%</t>
        </is>
      </c>
    </row>
    <row r="98">
      <c r="B98" s="6" t="inlineStr">
        <is>
          <t>ทินเนอร์ อะคริลิค (ลูไซด์) 3602 S  WELCO 150 kg.</t>
        </is>
      </c>
      <c r="C98" s="8" t="inlineStr">
        <is>
          <t>1ถัง</t>
        </is>
      </c>
      <c r="D98" s="9" t="n">
        <v>7200</v>
      </c>
      <c r="H98" s="9" t="n">
        <v>7200</v>
      </c>
      <c r="I98" s="10" t="inlineStr">
        <is>
          <t>ไทยนคร</t>
        </is>
      </c>
      <c r="J98" s="161" t="n">
        <v>23565</v>
      </c>
      <c r="K98" s="8" t="inlineStr">
        <is>
          <t>IV6407/0408</t>
        </is>
      </c>
      <c r="L98" s="8" t="inlineStr">
        <is>
          <t>ราคายังไม่รวม VAT 7%</t>
        </is>
      </c>
    </row>
    <row r="99">
      <c r="B99" s="6" t="inlineStr">
        <is>
          <t>ทินเนอร์ อะคริลิค (ลูไซด์) 3602 S  WELCO 150 kg.</t>
        </is>
      </c>
      <c r="C99" s="8" t="inlineStr">
        <is>
          <t>2ถัง</t>
        </is>
      </c>
      <c r="D99" s="9" t="n">
        <v>8400</v>
      </c>
      <c r="H99" s="9" t="n">
        <v>16800</v>
      </c>
      <c r="I99" s="10" t="inlineStr">
        <is>
          <t>ไทยนคร</t>
        </is>
      </c>
      <c r="J99" s="161" t="n">
        <v>23603</v>
      </c>
      <c r="K99" s="8" t="inlineStr">
        <is>
          <t>IV6408/0573</t>
        </is>
      </c>
      <c r="L99" s="8" t="inlineStr">
        <is>
          <t>ราคายังไม่รวม VAT 7%</t>
        </is>
      </c>
    </row>
    <row r="100">
      <c r="B100" s="6" t="inlineStr">
        <is>
          <t>ทินเนอร์ อะคริลิค (ลูไซด์) 3602 S WINNER -- ถังพลาสติก</t>
        </is>
      </c>
      <c r="C100" s="8" t="inlineStr">
        <is>
          <t>1ถัง</t>
        </is>
      </c>
      <c r="D100" s="9" t="n">
        <v>7000</v>
      </c>
      <c r="H100" s="9" t="n">
        <v>7000</v>
      </c>
      <c r="I100" s="10" t="inlineStr">
        <is>
          <t>ทรัพย์สิน</t>
        </is>
      </c>
      <c r="J100" s="161" t="n">
        <v>23642</v>
      </c>
      <c r="K100" s="8" t="inlineStr">
        <is>
          <t>IV6409286</t>
        </is>
      </c>
      <c r="L100" s="8" t="inlineStr">
        <is>
          <t>ราคายังไม่รวม VAT 7%</t>
        </is>
      </c>
    </row>
    <row r="101">
      <c r="B101" s="6" t="inlineStr">
        <is>
          <t>ทินเนอร์ อะคริลิค (ลูไซด์) 3602 S WINNER -- ถังพลาสติก</t>
        </is>
      </c>
      <c r="C101" s="8" t="inlineStr">
        <is>
          <t>1ถัง</t>
        </is>
      </c>
      <c r="D101" s="9" t="n">
        <v>7000</v>
      </c>
      <c r="H101" s="9" t="n">
        <v>7000</v>
      </c>
      <c r="I101" s="10" t="inlineStr">
        <is>
          <t>ทรัพย์สิน</t>
        </is>
      </c>
      <c r="J101" s="161" t="n">
        <v>23704</v>
      </c>
      <c r="K101" s="8" t="inlineStr">
        <is>
          <t>IV6411321</t>
        </is>
      </c>
      <c r="L101" s="8" t="inlineStr">
        <is>
          <t>ราคายังไม่รวม VAT 7%</t>
        </is>
      </c>
    </row>
    <row r="102">
      <c r="B102" s="6" t="inlineStr">
        <is>
          <t>ทินเนอร์ อะคริลิค (ลูไซด์) 3602 S PETER 200 ลิตร (156 kg.) -- ถังเหล็ก</t>
        </is>
      </c>
      <c r="C102" s="8" t="inlineStr">
        <is>
          <t>1ถัง</t>
        </is>
      </c>
      <c r="D102" s="9" t="n">
        <v>7500</v>
      </c>
      <c r="H102" s="9" t="n">
        <v>7500</v>
      </c>
      <c r="I102" s="10" t="inlineStr">
        <is>
          <t>ไทยนคร</t>
        </is>
      </c>
      <c r="J102" s="161" t="n">
        <v>23789</v>
      </c>
      <c r="K102" s="8" t="inlineStr">
        <is>
          <t>INV22020634</t>
        </is>
      </c>
      <c r="L102" s="8" t="inlineStr">
        <is>
          <t>ราคายังไม่รวม VAT 7%</t>
        </is>
      </c>
    </row>
    <row r="103">
      <c r="B103" s="6" t="inlineStr">
        <is>
          <t>ทินเนอร์ อะคริลิค (ลูไซด์) 3602 S PETER 200 ลิตร (156 kg.) -- ถังเหล็ก</t>
        </is>
      </c>
      <c r="C103" s="8" t="inlineStr">
        <is>
          <t>1ถัง</t>
        </is>
      </c>
      <c r="D103" s="9" t="n">
        <v>7500</v>
      </c>
      <c r="H103" s="9" t="n">
        <v>7500</v>
      </c>
      <c r="I103" s="10" t="inlineStr">
        <is>
          <t>ไทยนคร</t>
        </is>
      </c>
      <c r="J103" s="161" t="n">
        <v>23826</v>
      </c>
      <c r="K103" s="8" t="inlineStr">
        <is>
          <t>INV22031033</t>
        </is>
      </c>
      <c r="L103" s="8" t="inlineStr">
        <is>
          <t>ราคายังไม่รวม VAT 7%</t>
        </is>
      </c>
    </row>
    <row r="104" customFormat="1" s="30">
      <c r="A104" s="68" t="n"/>
      <c r="B104" s="30" t="inlineStr">
        <is>
          <t>**เมื่อ 19/8/64 นิ่มคุยราคากับ ช.ทรัพย์สินไว้ (อคิลิค) ถังละ 7,000 บาท  (VAT นอก)</t>
        </is>
      </c>
      <c r="C104" s="29" t="n"/>
      <c r="D104" s="31" t="n"/>
      <c r="E104" s="31" t="n"/>
      <c r="F104" s="29" t="n"/>
      <c r="G104" s="32" t="n"/>
      <c r="H104" s="31" t="n"/>
      <c r="I104" s="32" t="n"/>
      <c r="J104" s="165" t="n"/>
      <c r="K104" s="29" t="n"/>
      <c r="L104" s="29" t="n"/>
    </row>
    <row r="105" customFormat="1" s="30">
      <c r="A105" s="68" t="n"/>
      <c r="B105" s="30" t="inlineStr">
        <is>
          <t>**เมื่อ 16/2/65 พี่หนุ่มขอให้สั่งทินเนอร์จากร้านเดิมมาใช้ เพราะขอที่สั่งจากทรัพย์สิน คุณภาพไม่ดี เจ๊คิดราคาพิเศษให้ ราคาถังละ 7,500 บาท</t>
        </is>
      </c>
      <c r="C105" s="29" t="n"/>
      <c r="D105" s="31" t="n"/>
      <c r="E105" s="31" t="n"/>
      <c r="F105" s="29" t="n"/>
      <c r="G105" s="32" t="n"/>
      <c r="H105" s="31" t="n"/>
      <c r="I105" s="32" t="n"/>
      <c r="J105" s="165" t="n"/>
      <c r="K105" s="29" t="n"/>
      <c r="L105" s="29" t="n"/>
    </row>
    <row r="106">
      <c r="B106" s="6" t="inlineStr">
        <is>
          <t>ทินเนอร์ อะคริลิค (ลูไซด์) 3602 S PETER 200 ลิตร (150 kg.) -- ถังเหล็ก</t>
        </is>
      </c>
      <c r="C106" s="8" t="inlineStr">
        <is>
          <t>1ถัง</t>
        </is>
      </c>
      <c r="D106" s="9" t="n">
        <v>8650</v>
      </c>
      <c r="H106" s="9" t="n">
        <v>8650</v>
      </c>
      <c r="I106" s="10" t="inlineStr">
        <is>
          <t>ไทยนคร</t>
        </is>
      </c>
      <c r="J106" s="161" t="n">
        <v>23865</v>
      </c>
      <c r="K106" s="8" t="inlineStr">
        <is>
          <t>INV22050028</t>
        </is>
      </c>
      <c r="L106" s="8" t="inlineStr">
        <is>
          <t>ราคายังไม่รวม VAT 7%</t>
        </is>
      </c>
    </row>
    <row r="107">
      <c r="B107" s="6" t="inlineStr">
        <is>
          <t>ทินเนอร์ อะคริลิค (ลูไซด์) 3602 S PETER 200 ลิตร (150 kg.) -- ถังเหล็ก</t>
        </is>
      </c>
      <c r="C107" s="8" t="inlineStr">
        <is>
          <t>1ถัง</t>
        </is>
      </c>
      <c r="D107" s="9" t="n">
        <v>8650</v>
      </c>
      <c r="H107" s="9" t="n">
        <v>8650</v>
      </c>
      <c r="I107" s="10" t="inlineStr">
        <is>
          <t>ไทยนคร</t>
        </is>
      </c>
      <c r="J107" s="161" t="n">
        <v>23906</v>
      </c>
      <c r="K107" s="8" t="inlineStr">
        <is>
          <t>INV22060461</t>
        </is>
      </c>
      <c r="L107" s="8" t="inlineStr">
        <is>
          <t>ราคายังไม่รวม VAT 7%</t>
        </is>
      </c>
    </row>
    <row r="108">
      <c r="B108" s="6" t="inlineStr">
        <is>
          <t>ทินเนอร์ อะคริลิค (ลูไซด์) 3602 S PETER 200 ลิตร (150 kg.) -- ถังเหล็ก</t>
        </is>
      </c>
      <c r="C108" s="8" t="inlineStr">
        <is>
          <t>1ถัง</t>
        </is>
      </c>
      <c r="D108" s="9" t="n">
        <v>8650</v>
      </c>
      <c r="H108" s="9" t="n">
        <v>8650</v>
      </c>
      <c r="I108" s="10" t="inlineStr">
        <is>
          <t>ไทยนคร</t>
        </is>
      </c>
      <c r="J108" s="161" t="n">
        <v>23916</v>
      </c>
      <c r="K108" s="8" t="inlineStr">
        <is>
          <t>INV22060914</t>
        </is>
      </c>
      <c r="L108" s="8" t="inlineStr">
        <is>
          <t>ราคายังไม่รวม VAT 7%</t>
        </is>
      </c>
    </row>
    <row r="109">
      <c r="B109" s="6" t="inlineStr">
        <is>
          <t>ทินเนอร์ อะคริลิค (ลูไซด์) 3602 S PETER 200 ลิตร (150 kg.) -- ถังเหล็ก</t>
        </is>
      </c>
      <c r="C109" s="8" t="inlineStr">
        <is>
          <t>1ถัง</t>
        </is>
      </c>
      <c r="D109" s="9" t="n">
        <v>8650</v>
      </c>
      <c r="H109" s="9" t="n">
        <v>8650</v>
      </c>
      <c r="I109" s="10" t="inlineStr">
        <is>
          <t>ไทยนคร</t>
        </is>
      </c>
      <c r="J109" s="161" t="n">
        <v>23974</v>
      </c>
      <c r="K109" s="8" t="inlineStr">
        <is>
          <t>INV22080756</t>
        </is>
      </c>
      <c r="L109" s="8" t="inlineStr">
        <is>
          <t>ราคายังไม่รวม VAT 7%</t>
        </is>
      </c>
    </row>
    <row r="110">
      <c r="B110" s="6" t="inlineStr">
        <is>
          <t>ทินเนอร์ อะคริลิค (ลูไซด์) 3602 S PETER 200 ลิตร (150 kg.) -- ถังเหล็ก</t>
        </is>
      </c>
      <c r="C110" s="8" t="inlineStr">
        <is>
          <t>1ถัง</t>
        </is>
      </c>
      <c r="D110" s="9" t="n">
        <v>8650</v>
      </c>
      <c r="H110" s="9" t="n">
        <v>8650</v>
      </c>
      <c r="I110" s="10" t="inlineStr">
        <is>
          <t>ไทยนคร</t>
        </is>
      </c>
      <c r="J110" s="161" t="n">
        <v>24016</v>
      </c>
      <c r="K110" s="8" t="inlineStr">
        <is>
          <t>INX00000683</t>
        </is>
      </c>
      <c r="L110" s="8" t="inlineStr">
        <is>
          <t>ราคายังไม่รวม VAT 7%</t>
        </is>
      </c>
    </row>
    <row r="111">
      <c r="B111" s="6" t="inlineStr">
        <is>
          <t>ทินเนอร์ อะคริลิค (ลูไซด์) 3602 S PETER 200 ลิตร (150 kg.) -- ถังเหล็ก</t>
        </is>
      </c>
      <c r="C111" s="8" t="inlineStr">
        <is>
          <t>1ถัง</t>
        </is>
      </c>
      <c r="D111" s="9" t="n">
        <v>9990</v>
      </c>
      <c r="H111" s="9" t="n">
        <v>9990</v>
      </c>
      <c r="I111" s="10" t="inlineStr">
        <is>
          <t>ไทยนคร</t>
        </is>
      </c>
      <c r="J111" s="161" t="n">
        <v>24061</v>
      </c>
      <c r="K111" s="8" t="inlineStr">
        <is>
          <t>INV22110536</t>
        </is>
      </c>
      <c r="L111" s="8" t="inlineStr">
        <is>
          <t>ราคายังไม่รวม VAT 7%</t>
        </is>
      </c>
    </row>
    <row r="112">
      <c r="B112" s="6" t="inlineStr">
        <is>
          <t>ทินเนอร์ อะคริลิค (ลูไซด์) 3602 S PETER 200 ลิตร (150 kg.) -- ถังเหล็ก</t>
        </is>
      </c>
      <c r="C112" s="8" t="inlineStr">
        <is>
          <t>4ถัง</t>
        </is>
      </c>
      <c r="D112" s="9" t="n">
        <v>8300</v>
      </c>
      <c r="H112" s="9" t="n">
        <v>33200</v>
      </c>
      <c r="I112" s="10" t="inlineStr">
        <is>
          <t>ไทยนคร</t>
        </is>
      </c>
      <c r="J112" s="161" t="n">
        <v>24098</v>
      </c>
      <c r="K112" s="8" t="inlineStr">
        <is>
          <t>INV22120804</t>
        </is>
      </c>
      <c r="L112" s="8" t="inlineStr">
        <is>
          <t>ราคายังไม่รวม VAT 7%</t>
        </is>
      </c>
    </row>
    <row r="113">
      <c r="B113" s="6" t="inlineStr">
        <is>
          <t>ทินเนอร์ อะคริลิค (ลูไซด์) 3602 S PETER 200 ลิตร (150 kg.) -- ถังเหล็ก</t>
        </is>
      </c>
      <c r="C113" s="8" t="inlineStr">
        <is>
          <t>1ถัง</t>
        </is>
      </c>
      <c r="D113" s="9" t="n">
        <v>8300</v>
      </c>
      <c r="H113" s="9" t="n">
        <v>8000</v>
      </c>
      <c r="I113" s="10" t="inlineStr">
        <is>
          <t>ไทยนคร</t>
        </is>
      </c>
      <c r="J113" s="161" t="n">
        <v>24231</v>
      </c>
      <c r="K113" s="8" t="inlineStr">
        <is>
          <t>INV23050155</t>
        </is>
      </c>
      <c r="L113" s="8" t="inlineStr">
        <is>
          <t>ราคายังไม่รวม VAT 7%</t>
        </is>
      </c>
    </row>
    <row r="114">
      <c r="B114" s="6" t="inlineStr">
        <is>
          <t>ทินเนอร์ อะคริลิค (ลูไซด์) 3602 S PETER 200 ลิตร (150 kg.) -- ถังเหล็ก</t>
        </is>
      </c>
      <c r="C114" s="8" t="inlineStr">
        <is>
          <t>1ถัง</t>
        </is>
      </c>
      <c r="D114" s="9" t="n">
        <v>8000</v>
      </c>
      <c r="H114" s="9" t="n">
        <v>8000</v>
      </c>
      <c r="I114" s="10" t="inlineStr">
        <is>
          <t>ไทยนคร</t>
        </is>
      </c>
      <c r="J114" s="161" t="n">
        <v>24270</v>
      </c>
      <c r="K114" s="8" t="inlineStr">
        <is>
          <t>INV23060429</t>
        </is>
      </c>
      <c r="L114" s="8" t="inlineStr">
        <is>
          <t>ราคายังไม่รวม VAT 7%</t>
        </is>
      </c>
    </row>
    <row r="115">
      <c r="B115" s="6" t="inlineStr">
        <is>
          <t>ทินเนอร์ อะคริลิค (ลูไซด์) 3602 S PETER 200 ลิตร (150 kg.) -- ถังเหล็ก</t>
        </is>
      </c>
      <c r="C115" s="8" t="inlineStr">
        <is>
          <t>1ถัง</t>
        </is>
      </c>
      <c r="D115" s="9" t="n">
        <v>8000</v>
      </c>
      <c r="H115" s="9" t="n">
        <v>8000</v>
      </c>
      <c r="I115" s="10" t="inlineStr">
        <is>
          <t>ไทยนคร</t>
        </is>
      </c>
      <c r="J115" s="161" t="n">
        <v>24298</v>
      </c>
      <c r="K115" s="8" t="inlineStr">
        <is>
          <t>INV23070398</t>
        </is>
      </c>
      <c r="L115" s="8" t="inlineStr">
        <is>
          <t>ราคายังไม่รวม VAT 7%</t>
        </is>
      </c>
    </row>
    <row r="116">
      <c r="B116" s="6" t="inlineStr">
        <is>
          <t>ทินเนอร์ อะคริลิค (ลูไซด์) 3602 S PETER 200 ลิตร (150 kg.) -- ถังเหล็ก</t>
        </is>
      </c>
      <c r="C116" s="8" t="inlineStr">
        <is>
          <t>1ถัง</t>
        </is>
      </c>
      <c r="D116" s="9" t="n">
        <v>8000</v>
      </c>
      <c r="H116" s="9" t="n">
        <v>8000</v>
      </c>
      <c r="I116" s="10" t="inlineStr">
        <is>
          <t>ไทยนคร</t>
        </is>
      </c>
      <c r="J116" s="161" t="n">
        <v>24334</v>
      </c>
      <c r="K116" s="8" t="inlineStr">
        <is>
          <t>INV23080494</t>
        </is>
      </c>
      <c r="L116" s="8" t="inlineStr">
        <is>
          <t>ราคายังไม่รวม VAT 7%</t>
        </is>
      </c>
    </row>
    <row r="117">
      <c r="B117" s="6" t="inlineStr">
        <is>
          <t>ทินเนอร์ อะคริลิค (ลูไซด์) 3602 S PETER 200 ลิตร (150 kg.) -- ถังเหล็ก</t>
        </is>
      </c>
      <c r="C117" s="8" t="inlineStr">
        <is>
          <t>1ถัง</t>
        </is>
      </c>
      <c r="D117" s="9" t="n">
        <v>8000</v>
      </c>
      <c r="H117" s="9" t="n">
        <v>8000</v>
      </c>
      <c r="I117" s="10" t="inlineStr">
        <is>
          <t>ไทยนคร</t>
        </is>
      </c>
      <c r="J117" s="161" t="n">
        <v>24361</v>
      </c>
      <c r="K117" s="8" t="inlineStr">
        <is>
          <t>INV23090410</t>
        </is>
      </c>
      <c r="L117" s="8" t="inlineStr">
        <is>
          <t>ราคายังไม่รวม VAT 7%</t>
        </is>
      </c>
    </row>
    <row r="118">
      <c r="B118" s="6" t="inlineStr">
        <is>
          <t>ทินเนอร์ อะคริลิค (ลูไซด์) 3602 S PETER 200 ลิตร (150 kg.) -- ถังเหล็ก</t>
        </is>
      </c>
      <c r="C118" s="8" t="inlineStr">
        <is>
          <t>1ถัง</t>
        </is>
      </c>
      <c r="D118" s="9" t="n">
        <v>8000</v>
      </c>
      <c r="H118" s="9" t="n">
        <v>8000</v>
      </c>
      <c r="I118" s="10" t="inlineStr">
        <is>
          <t>ไทยนคร</t>
        </is>
      </c>
      <c r="J118" s="161" t="n">
        <v>24422</v>
      </c>
      <c r="K118" s="8" t="inlineStr">
        <is>
          <t>INV23110457</t>
        </is>
      </c>
      <c r="L118" s="8" t="inlineStr">
        <is>
          <t>ราคายังไม่รวม VAT 7%</t>
        </is>
      </c>
    </row>
    <row r="119">
      <c r="B119" s="6" t="inlineStr">
        <is>
          <t>ทินเนอร์ อะคริลิค (ลูไซด์) 3602 S PETER 200 ลิตร (150 kg.) -- ถังเหล็ก</t>
        </is>
      </c>
      <c r="C119" s="8" t="inlineStr">
        <is>
          <t>1ถัง</t>
        </is>
      </c>
      <c r="D119" s="9" t="n">
        <v>8000</v>
      </c>
      <c r="H119" s="9" t="n">
        <v>8000</v>
      </c>
      <c r="I119" s="10" t="inlineStr">
        <is>
          <t>ไทยนคร</t>
        </is>
      </c>
      <c r="J119" s="161" t="n">
        <v>24463</v>
      </c>
      <c r="K119" s="8" t="inlineStr">
        <is>
          <t>INV23120895</t>
        </is>
      </c>
      <c r="L119" s="8" t="inlineStr">
        <is>
          <t>ราคายังไม่รวม VAT 7%</t>
        </is>
      </c>
    </row>
    <row r="120">
      <c r="B120" s="6" t="inlineStr">
        <is>
          <t>ทินเนอร์ อะคริลิค (ลูไซด์) 3602 S PETER 200 ลิตร (150 kg.) -- ถังเหล็ก</t>
        </is>
      </c>
      <c r="C120" s="8" t="inlineStr">
        <is>
          <t>1ถัง</t>
        </is>
      </c>
      <c r="D120" s="9" t="n">
        <v>7800</v>
      </c>
      <c r="H120" s="9" t="n">
        <v>7800</v>
      </c>
      <c r="I120" s="10" t="inlineStr">
        <is>
          <t>ไทยนคร</t>
        </is>
      </c>
      <c r="J120" s="161" t="n">
        <v>24519</v>
      </c>
      <c r="K120" s="8" t="inlineStr">
        <is>
          <t>INV24020637</t>
        </is>
      </c>
      <c r="L120" s="8" t="inlineStr">
        <is>
          <t>ราคายังไม่รวม VAT 7%</t>
        </is>
      </c>
    </row>
    <row r="121">
      <c r="B121" s="6" t="inlineStr">
        <is>
          <t>ทินเนอร์ อะคริลิค (ลูไซด์) 3602 S PETER 200 ลิตร (150 kg.) -- ถังเหล็ก</t>
        </is>
      </c>
      <c r="C121" s="8" t="inlineStr">
        <is>
          <t>1ถัง</t>
        </is>
      </c>
      <c r="D121" s="9" t="n">
        <v>7800</v>
      </c>
      <c r="H121" s="9" t="n">
        <v>7800</v>
      </c>
      <c r="I121" s="10" t="inlineStr">
        <is>
          <t>ไทยนคร</t>
        </is>
      </c>
      <c r="J121" s="161" t="n">
        <v>24551</v>
      </c>
      <c r="K121" s="8" t="inlineStr">
        <is>
          <t>INV24030847</t>
        </is>
      </c>
      <c r="L121" s="8" t="inlineStr">
        <is>
          <t>ราคายังไม่รวม VAT 7%</t>
        </is>
      </c>
    </row>
    <row r="122">
      <c r="B122" s="6" t="inlineStr">
        <is>
          <t>ทินเนอร์ อะคริลิค (ลูไซด์) 3602 S PETER 200 ลิตร (150 kg.) -- ถังเหล็ก</t>
        </is>
      </c>
      <c r="C122" s="8" t="inlineStr">
        <is>
          <t>1ถัง</t>
        </is>
      </c>
      <c r="D122" s="9" t="n">
        <v>7800</v>
      </c>
      <c r="H122" s="9" t="n">
        <v>7800</v>
      </c>
      <c r="I122" s="10" t="inlineStr">
        <is>
          <t>ไทยนคร</t>
        </is>
      </c>
      <c r="J122" s="161" t="n">
        <v>24585</v>
      </c>
      <c r="K122" s="8" t="inlineStr">
        <is>
          <t>INV24040704</t>
        </is>
      </c>
      <c r="L122" s="8" t="inlineStr">
        <is>
          <t>ราคายังไม่รวม VAT 7%</t>
        </is>
      </c>
    </row>
    <row r="123">
      <c r="B123" s="6" t="inlineStr">
        <is>
          <t>ทินเนอร์ อะคริลิค (ลูไซด์) 3602 S PETER 200 ลิตร (150 kg.) -- ถังเหล็ก</t>
        </is>
      </c>
      <c r="C123" s="8" t="inlineStr">
        <is>
          <t>1ถัง</t>
        </is>
      </c>
      <c r="D123" s="9" t="n">
        <v>7800</v>
      </c>
      <c r="H123" s="9" t="n">
        <v>7800</v>
      </c>
      <c r="I123" s="10" t="inlineStr">
        <is>
          <t>ไทยนคร</t>
        </is>
      </c>
      <c r="J123" s="161" t="n">
        <v>24640</v>
      </c>
      <c r="K123" s="8" t="inlineStr">
        <is>
          <t>INV24060638</t>
        </is>
      </c>
      <c r="L123" s="8" t="inlineStr">
        <is>
          <t>ราคายังไม่รวม VAT 7%</t>
        </is>
      </c>
    </row>
    <row r="124">
      <c r="B124" s="6" t="inlineStr">
        <is>
          <t>ทินเนอร์ อะคริลิค (ลูไซด์) 3602 S PETER 200 ลิตร (150 kg.) -- ถังเหล็ก</t>
        </is>
      </c>
      <c r="C124" s="8" t="inlineStr">
        <is>
          <t>1ถัง</t>
        </is>
      </c>
      <c r="D124" s="9" t="n">
        <v>7800</v>
      </c>
      <c r="H124" s="9" t="n">
        <v>7800</v>
      </c>
      <c r="I124" s="10" t="inlineStr">
        <is>
          <t>ไทยนคร</t>
        </is>
      </c>
      <c r="J124" s="161" t="n">
        <v>24668</v>
      </c>
      <c r="K124" s="8" t="inlineStr">
        <is>
          <t>INV24070640</t>
        </is>
      </c>
      <c r="L124" s="8" t="inlineStr">
        <is>
          <t>ราคายังไม่รวม VAT 7%</t>
        </is>
      </c>
    </row>
    <row r="125">
      <c r="B125" s="6" t="inlineStr">
        <is>
          <t>ทินเนอร์ อะคริลิค (ลูไซด์) 3602 S PETER 200 ลิตร (150 kg.) -- ถังเหล็ก</t>
        </is>
      </c>
      <c r="C125" s="8" t="inlineStr">
        <is>
          <t>1ถัง</t>
        </is>
      </c>
      <c r="D125" s="9" t="n">
        <v>7800</v>
      </c>
      <c r="H125" s="9" t="n">
        <v>7800</v>
      </c>
      <c r="I125" s="10" t="inlineStr">
        <is>
          <t>ไทยนคร</t>
        </is>
      </c>
      <c r="J125" s="161" t="n">
        <v>24703</v>
      </c>
      <c r="K125" s="8" t="inlineStr">
        <is>
          <t>INV24080732</t>
        </is>
      </c>
      <c r="L125" s="8" t="inlineStr">
        <is>
          <t>ราคายังไม่รวม VAT 7%</t>
        </is>
      </c>
    </row>
    <row r="126">
      <c r="B126" s="6" t="inlineStr">
        <is>
          <t>ทินเนอร์ อะคริลิค (ลูไซด์) 3602 S PETER 200 ลิตร (150 kg.) -- ถังเหล็ก</t>
        </is>
      </c>
      <c r="C126" s="8" t="inlineStr">
        <is>
          <t>1ถัง</t>
        </is>
      </c>
      <c r="D126" s="9" t="n">
        <v>7300</v>
      </c>
      <c r="H126" s="9" t="n">
        <v>7300</v>
      </c>
      <c r="I126" s="10" t="inlineStr">
        <is>
          <t>ไทยนคร</t>
        </is>
      </c>
      <c r="J126" s="161" t="n">
        <v>24798</v>
      </c>
      <c r="K126" s="8" t="inlineStr">
        <is>
          <t>INV24110947</t>
        </is>
      </c>
      <c r="L126" s="8" t="inlineStr">
        <is>
          <t>ราคายังไม่รวม VAT 7%</t>
        </is>
      </c>
    </row>
    <row r="127">
      <c r="B127" s="6" t="inlineStr">
        <is>
          <t>ทินเนอร์ อะคริลิค (ลูไซด์) 3602 S PETER 200 ลิตร (150 kg.) -- ถังเหล็ก</t>
        </is>
      </c>
      <c r="C127" s="8" t="inlineStr">
        <is>
          <t>1ถัง</t>
        </is>
      </c>
      <c r="D127" s="9" t="n">
        <v>7300</v>
      </c>
      <c r="H127" s="9" t="n">
        <v>7300</v>
      </c>
      <c r="I127" s="10" t="inlineStr">
        <is>
          <t>ไทยนคร</t>
        </is>
      </c>
      <c r="J127" s="161" t="n">
        <v>24846</v>
      </c>
      <c r="K127" s="8" t="inlineStr">
        <is>
          <t>INV25010305</t>
        </is>
      </c>
      <c r="L127" s="8" t="inlineStr">
        <is>
          <t>ราคายังไม่รวม VAT 7%</t>
        </is>
      </c>
    </row>
    <row r="128">
      <c r="B128" s="6" t="inlineStr">
        <is>
          <t>ทินเนอร์ อะคริลิค (ลูไซด์) 3602 S PETER 200 ลิตร (150 kg.) -- ถังเหล็ก</t>
        </is>
      </c>
      <c r="C128" s="8" t="n">
        <v>1</v>
      </c>
      <c r="D128" s="9" t="n">
        <v>8025</v>
      </c>
      <c r="H128" s="9">
        <f>SUM(D128*C128)</f>
        <v/>
      </c>
      <c r="I128" s="10" t="inlineStr">
        <is>
          <t>ไทยนคร</t>
        </is>
      </c>
      <c r="J128" s="161" t="n">
        <v>24888</v>
      </c>
      <c r="K128" s="8" t="inlineStr">
        <is>
          <t>INV25020938</t>
        </is>
      </c>
      <c r="L128" s="8" t="inlineStr">
        <is>
          <t>ราคารวม VAT แล้ว</t>
        </is>
      </c>
    </row>
    <row r="129">
      <c r="B129" s="6" t="inlineStr">
        <is>
          <t>ทินเนอร์ อะคริลิค (ลูไซด์) 3602 S PETER 200 ลิตร (150 kg.) -- ถังเหล็ก</t>
        </is>
      </c>
      <c r="C129" s="8" t="n">
        <v>1</v>
      </c>
      <c r="D129" s="9" t="n">
        <v>7500</v>
      </c>
      <c r="G129" s="10" t="inlineStr">
        <is>
          <t>ราคารวม VAT =</t>
        </is>
      </c>
      <c r="H129" s="9">
        <f>SUM(D129*C129*O129/N129)</f>
        <v/>
      </c>
      <c r="I129" s="10" t="inlineStr">
        <is>
          <t>ไทยนคร</t>
        </is>
      </c>
      <c r="J129" s="161" t="n">
        <v>24956</v>
      </c>
      <c r="K129" s="8" t="inlineStr">
        <is>
          <t>INV25040979</t>
        </is>
      </c>
      <c r="L129" s="8" t="inlineStr">
        <is>
          <t>ราคารวม VAT แล้ว</t>
        </is>
      </c>
      <c r="N129" s="6" t="n">
        <v>100</v>
      </c>
      <c r="O129" s="6" t="n">
        <v>107</v>
      </c>
    </row>
    <row r="130">
      <c r="B130" s="6" t="inlineStr">
        <is>
          <t>ทินเนอร์ อะคริลิค (ลูไซด์) 3602 3D 150 kg. (NETไม่รวมถัง)</t>
        </is>
      </c>
      <c r="C130" s="8" t="n">
        <v>1</v>
      </c>
      <c r="D130" s="9" t="n">
        <v>7400</v>
      </c>
      <c r="G130" s="10" t="inlineStr">
        <is>
          <t>ราคารวม VAT =</t>
        </is>
      </c>
      <c r="H130" s="9">
        <f>SUM(D130*C130*O130/N130)</f>
        <v/>
      </c>
      <c r="I130" s="10" t="inlineStr">
        <is>
          <t>บจก. วีที คัลเลอร์ โปร</t>
        </is>
      </c>
      <c r="J130" s="161" t="n">
        <v>24993</v>
      </c>
      <c r="K130" s="8" t="inlineStr">
        <is>
          <t>IV6806026</t>
        </is>
      </c>
      <c r="L130" s="8" t="inlineStr">
        <is>
          <t>ราคารวม VAT แล้ว</t>
        </is>
      </c>
      <c r="N130" s="6" t="n">
        <v>100</v>
      </c>
      <c r="O130" s="6" t="n">
        <v>107</v>
      </c>
    </row>
    <row r="131">
      <c r="B131" s="6" t="inlineStr">
        <is>
          <t>ทินเนอร์ อะคริลิค (ลูไซด์) 3602 3D 150 kg. (NETไม่รวมถัง)</t>
        </is>
      </c>
      <c r="C131" s="8" t="n">
        <v>1</v>
      </c>
      <c r="D131" s="9" t="n">
        <v>7400</v>
      </c>
      <c r="E131" s="9">
        <f>SUM(D131*C131)</f>
        <v/>
      </c>
      <c r="F131" s="8" t="n">
        <v>0.07000000000000001</v>
      </c>
      <c r="G131" s="10" t="inlineStr">
        <is>
          <t>รวม VAT =</t>
        </is>
      </c>
      <c r="H131" s="9">
        <f>SUM(E131+N131)</f>
        <v/>
      </c>
      <c r="I131" s="10" t="inlineStr">
        <is>
          <t>บจก. วีที คัลเลอร์ โปร</t>
        </is>
      </c>
      <c r="J131" s="161" t="n">
        <v>25021</v>
      </c>
      <c r="K131" s="8" t="inlineStr">
        <is>
          <t>IV6807034</t>
        </is>
      </c>
      <c r="N131" s="6">
        <f>SUM(E131*F131)</f>
        <v/>
      </c>
    </row>
    <row r="132">
      <c r="B132" s="6" t="inlineStr">
        <is>
          <t>ทินเนอร์ อะคริลิค (ลูไซด์) 3602 3D 150 kg. (NETไม่รวมถัง)</t>
        </is>
      </c>
      <c r="C132" s="8" t="n">
        <v>1</v>
      </c>
      <c r="D132" s="9" t="n">
        <v>7400</v>
      </c>
      <c r="E132" s="9">
        <f>SUM(D132*C132)</f>
        <v/>
      </c>
      <c r="F132" s="8" t="n">
        <v>0.07000000000000001</v>
      </c>
      <c r="G132" s="10" t="inlineStr">
        <is>
          <t>รวม VAT =</t>
        </is>
      </c>
      <c r="H132" s="9">
        <f>SUM(E132+N132)</f>
        <v/>
      </c>
      <c r="I132" s="10" t="inlineStr">
        <is>
          <t>บจก. วีที คัลเลอร์ โปร</t>
        </is>
      </c>
      <c r="J132" s="161" t="n">
        <v>25050</v>
      </c>
      <c r="K132" s="8" t="inlineStr">
        <is>
          <t>IV6807220</t>
        </is>
      </c>
      <c r="N132" s="6">
        <f>SUM(E132*F132)</f>
        <v/>
      </c>
    </row>
    <row r="133">
      <c r="B133" s="6" t="inlineStr">
        <is>
          <t>ทินเนอร์ อะคริลิค (ลูไซด์) 3602 3D 150 kg. (NETไม่รวมถัง)</t>
        </is>
      </c>
      <c r="C133" s="8" t="n">
        <v>1</v>
      </c>
      <c r="D133" s="9" t="n">
        <v>7400</v>
      </c>
      <c r="E133" s="9">
        <f>SUM(D133*C133)</f>
        <v/>
      </c>
      <c r="F133" s="8" t="n">
        <v>0.07000000000000001</v>
      </c>
      <c r="G133" s="10" t="inlineStr">
        <is>
          <t>รวม VAT =</t>
        </is>
      </c>
      <c r="H133" s="9">
        <f>SUM(E133+N133)</f>
        <v/>
      </c>
      <c r="I133" s="10" t="inlineStr">
        <is>
          <t>บจก. วีที คัลเลอร์ โปร</t>
        </is>
      </c>
      <c r="J133" s="161" t="n">
        <v>25106</v>
      </c>
      <c r="K133" s="8" t="inlineStr">
        <is>
          <t>IV6809181</t>
        </is>
      </c>
      <c r="N133" s="6">
        <f>SUM(E133*F133)</f>
        <v/>
      </c>
    </row>
    <row r="134">
      <c r="B134" s="6" t="inlineStr">
        <is>
          <t>ทินเนอร์ อะคริลิค (ลูไซด์) 3602 3D 150 kg. (NETไม่รวมถัง)</t>
        </is>
      </c>
      <c r="C134" s="8" t="n">
        <v>1</v>
      </c>
      <c r="D134" s="9" t="n">
        <v>7400</v>
      </c>
      <c r="E134" s="9">
        <f>SUM(D134*C134)</f>
        <v/>
      </c>
      <c r="F134" s="8" t="n">
        <v>0.07000000000000001</v>
      </c>
      <c r="G134" s="10" t="inlineStr">
        <is>
          <t>รวม VAT =</t>
        </is>
      </c>
      <c r="H134" s="9">
        <f>SUM(E134+N134)</f>
        <v/>
      </c>
      <c r="I134" s="10" t="inlineStr">
        <is>
          <t>บจก. วีที คัลเลอร์ โปร</t>
        </is>
      </c>
      <c r="J134" s="161" t="n">
        <v>25149</v>
      </c>
      <c r="K134" s="8" t="inlineStr">
        <is>
          <t>IV6811058</t>
        </is>
      </c>
      <c r="N134" s="6">
        <f>SUM(E134*F134)</f>
        <v/>
      </c>
    </row>
    <row r="137">
      <c r="B137" s="6" t="inlineStr">
        <is>
          <t>ทินเนอร์ 2K -- ใช้แล้วมีปัญหา</t>
        </is>
      </c>
      <c r="C137" s="8" t="inlineStr">
        <is>
          <t>1ถัง</t>
        </is>
      </c>
      <c r="D137" s="9" t="n">
        <v>10000</v>
      </c>
      <c r="H137" s="9" t="n">
        <v>10700</v>
      </c>
      <c r="I137" s="10" t="inlineStr">
        <is>
          <t xml:space="preserve">เอ็มแอนด์บี </t>
        </is>
      </c>
      <c r="J137" s="161" t="n">
        <v>22430</v>
      </c>
    </row>
    <row r="138">
      <c r="B138" s="6" t="inlineStr">
        <is>
          <t>ทินเนอร์แห้งช้า 2K D500 LEZZON 150 kg.</t>
        </is>
      </c>
      <c r="C138" s="8" t="inlineStr">
        <is>
          <t>1ถัง</t>
        </is>
      </c>
      <c r="D138" s="9" t="n">
        <v>11500</v>
      </c>
      <c r="H138" s="9" t="n">
        <v>11500</v>
      </c>
      <c r="I138" s="10" t="inlineStr">
        <is>
          <t>ไทยนคร</t>
        </is>
      </c>
      <c r="J138" s="161" t="n">
        <v>22758</v>
      </c>
    </row>
    <row r="139">
      <c r="B139" s="6" t="inlineStr">
        <is>
          <t>ทินเนอร์แห้งช้า 2K D500 LEZZON 150 kg.</t>
        </is>
      </c>
      <c r="C139" s="8" t="inlineStr">
        <is>
          <t>1ถัง</t>
        </is>
      </c>
      <c r="D139" s="9" t="n">
        <v>11500</v>
      </c>
      <c r="H139" s="9" t="n">
        <v>11500</v>
      </c>
      <c r="I139" s="10" t="inlineStr">
        <is>
          <t>ไทยนคร</t>
        </is>
      </c>
      <c r="J139" s="161" t="n">
        <v>22828</v>
      </c>
    </row>
    <row r="140">
      <c r="B140" s="6" t="inlineStr">
        <is>
          <t>ทินเนอร์แห้งช้า 2K D500 LEZZON 150 kg.</t>
        </is>
      </c>
      <c r="C140" s="8" t="inlineStr">
        <is>
          <t>1ถัง</t>
        </is>
      </c>
      <c r="D140" s="9" t="n">
        <v>11500</v>
      </c>
      <c r="H140" s="9" t="n">
        <v>11500</v>
      </c>
      <c r="I140" s="10" t="inlineStr">
        <is>
          <t>ไทยนคร</t>
        </is>
      </c>
      <c r="J140" s="161" t="n">
        <v>22866</v>
      </c>
    </row>
    <row r="141">
      <c r="B141" s="6" t="inlineStr">
        <is>
          <t>ทินเนอร์แห้งช้า 2K D500 LEZZON 150 kg.</t>
        </is>
      </c>
      <c r="C141" s="8" t="inlineStr">
        <is>
          <t>1ถัง</t>
        </is>
      </c>
      <c r="D141" s="9" t="n">
        <v>11500</v>
      </c>
      <c r="H141" s="9" t="n">
        <v>11500</v>
      </c>
      <c r="I141" s="10" t="inlineStr">
        <is>
          <t>ไทยนคร</t>
        </is>
      </c>
      <c r="J141" s="161" t="n">
        <v>23040</v>
      </c>
    </row>
    <row r="142">
      <c r="B142" s="6" t="inlineStr">
        <is>
          <t>ทินเนอร์แห้งช้า 2K D500 LEZZON 150 kg.</t>
        </is>
      </c>
      <c r="C142" s="8" t="inlineStr">
        <is>
          <t>1ถัง</t>
        </is>
      </c>
      <c r="D142" s="9" t="n">
        <v>11500</v>
      </c>
      <c r="H142" s="9" t="n">
        <v>11500</v>
      </c>
      <c r="I142" s="10" t="inlineStr">
        <is>
          <t>ไทยนคร</t>
        </is>
      </c>
      <c r="J142" s="161" t="n">
        <v>23073</v>
      </c>
    </row>
    <row r="143">
      <c r="B143" s="6" t="inlineStr">
        <is>
          <t>ทินเนอร์แห้งช้า 2K D500 LEZZON 150 kg.</t>
        </is>
      </c>
      <c r="C143" s="8" t="inlineStr">
        <is>
          <t>1ถัง</t>
        </is>
      </c>
      <c r="D143" s="9" t="n">
        <v>11500</v>
      </c>
      <c r="H143" s="9" t="n">
        <v>11500</v>
      </c>
      <c r="I143" s="10" t="inlineStr">
        <is>
          <t>ไทยนคร</t>
        </is>
      </c>
      <c r="J143" s="161" t="n">
        <v>23108</v>
      </c>
    </row>
    <row r="144">
      <c r="B144" s="6" t="inlineStr">
        <is>
          <t>ทินเนอร์แห้งช้า 2K D500 LEZZON 150 kg.</t>
        </is>
      </c>
      <c r="C144" s="8" t="inlineStr">
        <is>
          <t>1ถัง</t>
        </is>
      </c>
      <c r="D144" s="9" t="n">
        <v>11500</v>
      </c>
      <c r="H144" s="9" t="n">
        <v>11500</v>
      </c>
      <c r="I144" s="10" t="inlineStr">
        <is>
          <t>ไทยนคร</t>
        </is>
      </c>
      <c r="J144" s="161" t="n">
        <v>23139</v>
      </c>
    </row>
    <row r="145">
      <c r="B145" s="6" t="inlineStr">
        <is>
          <t>ทินเนอร์แห้งช้า 2K D500 LEZZON 150 kg.</t>
        </is>
      </c>
      <c r="C145" s="8" t="inlineStr">
        <is>
          <t>1ถัง</t>
        </is>
      </c>
      <c r="D145" s="9" t="n">
        <v>11500</v>
      </c>
      <c r="H145" s="9" t="n">
        <v>11500</v>
      </c>
      <c r="I145" s="10" t="inlineStr">
        <is>
          <t>ไทยนคร</t>
        </is>
      </c>
      <c r="J145" s="161" t="n">
        <v>23179</v>
      </c>
    </row>
    <row r="146">
      <c r="B146" s="6" t="inlineStr">
        <is>
          <t>ทินเนอร์แห้งช้า 2K D500 LEZZON 150 kg.</t>
        </is>
      </c>
      <c r="C146" s="8" t="inlineStr">
        <is>
          <t>1ถัง</t>
        </is>
      </c>
      <c r="D146" s="9" t="n">
        <v>11500</v>
      </c>
      <c r="H146" s="9" t="n">
        <v>11500</v>
      </c>
      <c r="I146" s="10" t="inlineStr">
        <is>
          <t>ไทยนคร</t>
        </is>
      </c>
      <c r="J146" s="161" t="n">
        <v>23262</v>
      </c>
    </row>
    <row r="147">
      <c r="B147" s="6" t="inlineStr">
        <is>
          <t>ทินเนอร์แห้งช้า 2K D500 LEZZON 150 kg.</t>
        </is>
      </c>
      <c r="C147" s="8" t="inlineStr">
        <is>
          <t>1ถัง</t>
        </is>
      </c>
      <c r="D147" s="9" t="n">
        <v>11500</v>
      </c>
      <c r="H147" s="9" t="n">
        <v>11500</v>
      </c>
      <c r="I147" s="10" t="inlineStr">
        <is>
          <t>ไทยนคร</t>
        </is>
      </c>
      <c r="J147" s="161" t="n">
        <v>23299</v>
      </c>
    </row>
    <row r="148">
      <c r="B148" s="6" t="inlineStr">
        <is>
          <t>ทินเนอร์แห้งช้า 2K D500 LEZZON 150 kg.</t>
        </is>
      </c>
      <c r="C148" s="8" t="inlineStr">
        <is>
          <t>1ถัง</t>
        </is>
      </c>
      <c r="D148" s="9" t="n">
        <v>11500</v>
      </c>
      <c r="H148" s="9" t="n">
        <v>11500</v>
      </c>
      <c r="I148" s="10" t="inlineStr">
        <is>
          <t>ไทยนคร</t>
        </is>
      </c>
      <c r="J148" s="161" t="n">
        <v>23341</v>
      </c>
    </row>
    <row r="149">
      <c r="B149" s="6" t="inlineStr">
        <is>
          <t>ทินเนอร์แห้งช้า 2K D500 LEZZON 150 kg.</t>
        </is>
      </c>
      <c r="C149" s="8" t="inlineStr">
        <is>
          <t>1ถัง</t>
        </is>
      </c>
      <c r="D149" s="9" t="n">
        <v>11500</v>
      </c>
      <c r="H149" s="9" t="n">
        <v>11500</v>
      </c>
      <c r="I149" s="10" t="inlineStr">
        <is>
          <t>ไทยนคร</t>
        </is>
      </c>
      <c r="J149" s="161" t="n">
        <v>23388</v>
      </c>
    </row>
    <row r="150">
      <c r="B150" s="6" t="inlineStr">
        <is>
          <t>ทินเนอร์แห้งช้า 2K D500 LEZZON 150 kg.</t>
        </is>
      </c>
      <c r="C150" s="8" t="inlineStr">
        <is>
          <t>1ถัง</t>
        </is>
      </c>
      <c r="D150" s="9" t="n">
        <v>11500</v>
      </c>
      <c r="H150" s="9" t="n">
        <v>11500</v>
      </c>
      <c r="I150" s="10" t="inlineStr">
        <is>
          <t>ไทยนคร</t>
        </is>
      </c>
      <c r="J150" s="161" t="n">
        <v>23438</v>
      </c>
    </row>
    <row r="151">
      <c r="B151" s="6" t="inlineStr">
        <is>
          <t>ทินเนอร์แห้งช้า 2K D500 LEZZON 150 kg.</t>
        </is>
      </c>
      <c r="C151" s="8" t="inlineStr">
        <is>
          <t>1ถัง</t>
        </is>
      </c>
      <c r="D151" s="9" t="n">
        <v>11500</v>
      </c>
      <c r="H151" s="9" t="n">
        <v>11500</v>
      </c>
      <c r="I151" s="10" t="inlineStr">
        <is>
          <t>ไทยนคร</t>
        </is>
      </c>
      <c r="J151" s="161" t="n">
        <v>23533</v>
      </c>
      <c r="K151" s="8" t="inlineStr">
        <is>
          <t>IV6406/0342</t>
        </is>
      </c>
    </row>
    <row r="152">
      <c r="B152" s="6" t="inlineStr">
        <is>
          <t>ทินเนอร์แห้งช้า 2K D500 LEZZON 150 kg.</t>
        </is>
      </c>
      <c r="C152" s="8" t="inlineStr">
        <is>
          <t>1ถัง</t>
        </is>
      </c>
      <c r="D152" s="9" t="n">
        <v>11500</v>
      </c>
      <c r="H152" s="9" t="n">
        <v>11500</v>
      </c>
      <c r="I152" s="10" t="inlineStr">
        <is>
          <t>ไทยนคร</t>
        </is>
      </c>
      <c r="J152" s="161" t="n">
        <v>23565</v>
      </c>
      <c r="K152" s="8" t="inlineStr">
        <is>
          <t>IV6407/0408</t>
        </is>
      </c>
    </row>
    <row r="153">
      <c r="B153" s="6" t="inlineStr">
        <is>
          <t>ทินเนอร์แห้งช้า 2K D500 9/399 (A8)</t>
        </is>
      </c>
      <c r="C153" s="8" t="inlineStr">
        <is>
          <t>1ถัง</t>
        </is>
      </c>
      <c r="D153" s="9" t="n">
        <v>10000</v>
      </c>
      <c r="H153" s="9" t="n">
        <v>10000</v>
      </c>
      <c r="I153" s="10" t="inlineStr">
        <is>
          <t>ทรัพย์สิน</t>
        </is>
      </c>
      <c r="J153" s="161" t="n">
        <v>23642</v>
      </c>
      <c r="K153" s="8" t="inlineStr">
        <is>
          <t>IV6409286</t>
        </is>
      </c>
    </row>
    <row r="154">
      <c r="B154" s="6" t="inlineStr">
        <is>
          <t>ทินเนอร์แห้งช้า 2K D500 9/399 (A8)</t>
        </is>
      </c>
      <c r="C154" s="8" t="inlineStr">
        <is>
          <t>1ถัง</t>
        </is>
      </c>
      <c r="D154" s="9" t="n">
        <v>10000</v>
      </c>
      <c r="H154" s="9" t="n">
        <v>10000</v>
      </c>
      <c r="I154" s="10" t="inlineStr">
        <is>
          <t>ทรัพย์สิน</t>
        </is>
      </c>
      <c r="J154" s="161" t="n">
        <v>23676</v>
      </c>
      <c r="K154" s="8" t="inlineStr">
        <is>
          <t>IV6410365</t>
        </is>
      </c>
    </row>
    <row r="155">
      <c r="B155" s="6" t="inlineStr">
        <is>
          <t>ทินเนอร์แห้งช้า 2K D500 9/399 (A8)</t>
        </is>
      </c>
      <c r="C155" s="8" t="inlineStr">
        <is>
          <t>1ถัง</t>
        </is>
      </c>
      <c r="D155" s="9" t="n">
        <v>10000</v>
      </c>
      <c r="H155" s="9" t="n">
        <v>10000</v>
      </c>
      <c r="I155" s="10" t="inlineStr">
        <is>
          <t>ทรัพย์สิน</t>
        </is>
      </c>
      <c r="J155" s="161" t="n">
        <v>23704</v>
      </c>
      <c r="K155" s="8" t="inlineStr">
        <is>
          <t>IV6411321</t>
        </is>
      </c>
    </row>
    <row r="156">
      <c r="B156" s="6" t="inlineStr">
        <is>
          <t>ทินเนอร์แห้งช้า 2K D500 LEZZON 150 kg.</t>
        </is>
      </c>
      <c r="C156" s="8" t="inlineStr">
        <is>
          <t>1ถัง</t>
        </is>
      </c>
      <c r="D156" s="9" t="n">
        <v>12600</v>
      </c>
      <c r="H156" s="9" t="n">
        <v>12600</v>
      </c>
      <c r="I156" s="10" t="inlineStr">
        <is>
          <t>ไทยนคร</t>
        </is>
      </c>
      <c r="J156" s="161" t="n">
        <v>23789</v>
      </c>
      <c r="K156" s="8" t="inlineStr">
        <is>
          <t>INV22020634</t>
        </is>
      </c>
    </row>
    <row r="157">
      <c r="B157" s="6" t="inlineStr">
        <is>
          <t>ทินเนอร์แห้งช้า 2K D500 LEZZON 150 kg.</t>
        </is>
      </c>
      <c r="C157" s="8" t="inlineStr">
        <is>
          <t>1ถัง</t>
        </is>
      </c>
      <c r="D157" s="9" t="n">
        <v>12600</v>
      </c>
      <c r="H157" s="9" t="n">
        <v>12600</v>
      </c>
      <c r="I157" s="10" t="inlineStr">
        <is>
          <t>ไทยนคร</t>
        </is>
      </c>
      <c r="J157" s="161" t="n">
        <v>23826</v>
      </c>
      <c r="K157" s="8" t="inlineStr">
        <is>
          <t>INV22031033</t>
        </is>
      </c>
    </row>
    <row r="158" customFormat="1" s="30">
      <c r="A158" s="68" t="n"/>
      <c r="B158" s="30" t="inlineStr">
        <is>
          <t xml:space="preserve"> ** เมื่อ 22/9/64 เช็คราคา ร้าน ไทยนคร ปรับราคาขึ้นเป็น ราคาถังละ 12,750 บาท</t>
        </is>
      </c>
      <c r="C158" s="29" t="n"/>
      <c r="D158" s="31" t="n"/>
      <c r="E158" s="31" t="n"/>
      <c r="F158" s="29" t="n"/>
      <c r="G158" s="32" t="n"/>
      <c r="H158" s="31" t="n"/>
      <c r="I158" s="32" t="n"/>
      <c r="J158" s="165" t="n"/>
      <c r="K158" s="29" t="n"/>
      <c r="L158" s="29" t="n"/>
    </row>
    <row r="159" customFormat="1" s="30">
      <c r="A159" s="68" t="n"/>
      <c r="B159" s="30" t="inlineStr">
        <is>
          <t xml:space="preserve"> ** เมื่อ 22/9/64 เช็คราคา ร้าน ช.ทรัพย์สิน ราคาถังละ 10,000 บาท</t>
        </is>
      </c>
      <c r="C159" s="29" t="n"/>
      <c r="D159" s="31" t="n"/>
      <c r="E159" s="31" t="n"/>
      <c r="F159" s="29" t="n"/>
      <c r="G159" s="32" t="n"/>
      <c r="H159" s="31" t="n"/>
      <c r="I159" s="32" t="n"/>
      <c r="J159" s="165" t="n"/>
      <c r="K159" s="29" t="n"/>
      <c r="L159" s="29" t="n"/>
    </row>
    <row r="160" customFormat="1" s="30">
      <c r="A160" s="68" t="n"/>
      <c r="B160" s="30" t="inlineStr">
        <is>
          <t xml:space="preserve"> ** เมื่อ 16/2/65 พี่หนุ่มขอให้สั่งทินเนอร์จากร้านเดิมมาใช้ เพราะขอที่สั่งจากทรัพย์สิน คุณภาพไม่ดี เจ๊คิดราคาพิเศษให้ ราคาถังละ 12,600 บาท</t>
        </is>
      </c>
      <c r="C160" s="29" t="n"/>
      <c r="D160" s="31" t="n"/>
      <c r="E160" s="31" t="n"/>
      <c r="F160" s="29" t="n"/>
      <c r="G160" s="32" t="n"/>
      <c r="H160" s="31" t="n"/>
      <c r="I160" s="32" t="n"/>
      <c r="J160" s="165" t="n"/>
      <c r="K160" s="29" t="n"/>
      <c r="L160" s="29" t="n"/>
    </row>
    <row r="161">
      <c r="B161" s="6" t="inlineStr">
        <is>
          <t>ทินเนอร์แห้งช้า 2K D500 LEZZON 150 kg.</t>
        </is>
      </c>
      <c r="C161" s="8" t="inlineStr">
        <is>
          <t>1ถัง</t>
        </is>
      </c>
      <c r="D161" s="9" t="n">
        <v>12750</v>
      </c>
      <c r="H161" s="9" t="n">
        <v>12750</v>
      </c>
      <c r="I161" s="10" t="inlineStr">
        <is>
          <t>ไทยนคร</t>
        </is>
      </c>
      <c r="J161" s="161" t="n">
        <v>23865</v>
      </c>
      <c r="K161" s="8" t="inlineStr">
        <is>
          <t>INV22050028</t>
        </is>
      </c>
    </row>
    <row r="162">
      <c r="B162" s="6" t="inlineStr">
        <is>
          <t>ทินเนอร์แห้งช้า 2K D500 LEZZON 150 kg.</t>
        </is>
      </c>
      <c r="C162" s="8" t="inlineStr">
        <is>
          <t>1ถัง</t>
        </is>
      </c>
      <c r="D162" s="9" t="n">
        <v>12750</v>
      </c>
      <c r="H162" s="9" t="n">
        <v>12750</v>
      </c>
      <c r="I162" s="10" t="inlineStr">
        <is>
          <t>ไทยนคร</t>
        </is>
      </c>
      <c r="J162" s="161" t="n">
        <v>23906</v>
      </c>
      <c r="K162" s="8" t="inlineStr">
        <is>
          <t>INV22060461</t>
        </is>
      </c>
    </row>
    <row r="163">
      <c r="B163" s="6" t="inlineStr">
        <is>
          <t>ทินเนอร์แห้งช้า 2K D500 LEZZON 150 kg.</t>
        </is>
      </c>
      <c r="C163" s="8" t="inlineStr">
        <is>
          <t>1ถัง</t>
        </is>
      </c>
      <c r="D163" s="9" t="n">
        <v>12750</v>
      </c>
      <c r="H163" s="9" t="n">
        <v>12750</v>
      </c>
      <c r="I163" s="10" t="inlineStr">
        <is>
          <t>ไทยนคร</t>
        </is>
      </c>
      <c r="J163" s="161" t="n">
        <v>23916</v>
      </c>
      <c r="K163" s="8" t="inlineStr">
        <is>
          <t>INV22060914</t>
        </is>
      </c>
    </row>
    <row r="164">
      <c r="B164" s="6" t="inlineStr">
        <is>
          <t>ทินเนอร์แห้งช้า 2K D500 LEZZON 150 kg.</t>
        </is>
      </c>
      <c r="C164" s="8" t="inlineStr">
        <is>
          <t>1ถัง</t>
        </is>
      </c>
      <c r="D164" s="9" t="n">
        <v>12750</v>
      </c>
      <c r="H164" s="9" t="n">
        <v>12750</v>
      </c>
      <c r="I164" s="10" t="inlineStr">
        <is>
          <t>ไทยนคร</t>
        </is>
      </c>
      <c r="J164" s="161" t="n">
        <v>23974</v>
      </c>
      <c r="K164" s="8" t="inlineStr">
        <is>
          <t>INV22080756</t>
        </is>
      </c>
    </row>
    <row r="165">
      <c r="B165" s="6" t="inlineStr">
        <is>
          <t>ทินเนอร์แห้งช้า 2K D500 LEZZON 150 kg.</t>
        </is>
      </c>
      <c r="C165" s="8" t="inlineStr">
        <is>
          <t>1ถัง</t>
        </is>
      </c>
      <c r="D165" s="9" t="n">
        <v>12750</v>
      </c>
      <c r="H165" s="9" t="n">
        <v>12750</v>
      </c>
      <c r="I165" s="10" t="inlineStr">
        <is>
          <t>ไทยนคร</t>
        </is>
      </c>
      <c r="J165" s="161" t="n">
        <v>24035</v>
      </c>
      <c r="K165" s="8" t="inlineStr">
        <is>
          <t>INV22100716</t>
        </is>
      </c>
    </row>
    <row r="166">
      <c r="B166" s="6" t="inlineStr">
        <is>
          <t>ทินเนอร์แห้งช้า 2K D500 LEZZON 150 kg.</t>
        </is>
      </c>
      <c r="C166" s="8" t="inlineStr">
        <is>
          <t>1ถัง</t>
        </is>
      </c>
      <c r="D166" s="9" t="n">
        <v>12750</v>
      </c>
      <c r="H166" s="9" t="n">
        <v>12750</v>
      </c>
      <c r="I166" s="10" t="inlineStr">
        <is>
          <t>ไทยนคร</t>
        </is>
      </c>
      <c r="J166" s="161" t="n">
        <v>24098</v>
      </c>
      <c r="K166" s="8" t="inlineStr">
        <is>
          <t>INV22120804</t>
        </is>
      </c>
    </row>
    <row r="167">
      <c r="B167" s="6" t="inlineStr">
        <is>
          <t>ทินเนอร์แห้งช้า 2K D500 LEZZON 150 kg.</t>
        </is>
      </c>
      <c r="C167" s="8" t="inlineStr">
        <is>
          <t>1ถัง</t>
        </is>
      </c>
      <c r="D167" s="9" t="n">
        <v>12750</v>
      </c>
      <c r="H167" s="9" t="n">
        <v>12750</v>
      </c>
      <c r="I167" s="10" t="inlineStr">
        <is>
          <t>ไทยนคร</t>
        </is>
      </c>
      <c r="J167" s="161" t="n">
        <v>24141</v>
      </c>
      <c r="K167" s="8" t="inlineStr">
        <is>
          <t>INV23020087</t>
        </is>
      </c>
    </row>
    <row r="168">
      <c r="B168" s="6" t="inlineStr">
        <is>
          <t>ทินเนอร์แห้งช้า 2K D500 LEZZON 150 kg.</t>
        </is>
      </c>
      <c r="C168" s="8" t="inlineStr">
        <is>
          <t>1ถัง</t>
        </is>
      </c>
      <c r="D168" s="9" t="n">
        <v>12750</v>
      </c>
      <c r="H168" s="9" t="n">
        <v>12750</v>
      </c>
      <c r="I168" s="10" t="inlineStr">
        <is>
          <t>ไทยนคร</t>
        </is>
      </c>
      <c r="J168" s="161" t="n">
        <v>24183</v>
      </c>
      <c r="K168" s="8" t="inlineStr">
        <is>
          <t>INV23030628</t>
        </is>
      </c>
    </row>
    <row r="169">
      <c r="B169" s="6" t="inlineStr">
        <is>
          <t>ทินเนอร์แห้งช้า 2K D500 LEZZON 150 kg.</t>
        </is>
      </c>
      <c r="C169" s="8" t="inlineStr">
        <is>
          <t>1ถัง</t>
        </is>
      </c>
      <c r="D169" s="9" t="n">
        <v>12750</v>
      </c>
      <c r="H169" s="9" t="n">
        <v>12750</v>
      </c>
      <c r="I169" s="10" t="inlineStr">
        <is>
          <t>ไทยนคร</t>
        </is>
      </c>
      <c r="J169" s="161" t="n">
        <v>24231</v>
      </c>
      <c r="K169" s="8" t="inlineStr">
        <is>
          <t>INV23050155</t>
        </is>
      </c>
    </row>
    <row r="170">
      <c r="B170" s="6" t="inlineStr">
        <is>
          <t>ทินเนอร์แห้งช้า 2K D500 LEZZON 150 kg.</t>
        </is>
      </c>
      <c r="C170" s="8" t="inlineStr">
        <is>
          <t>1ถัง</t>
        </is>
      </c>
      <c r="D170" s="9" t="n">
        <v>12750</v>
      </c>
      <c r="H170" s="9" t="n">
        <v>12750</v>
      </c>
      <c r="I170" s="10" t="inlineStr">
        <is>
          <t>ไทยนคร</t>
        </is>
      </c>
      <c r="J170" s="161" t="n">
        <v>24270</v>
      </c>
      <c r="K170" s="8" t="inlineStr">
        <is>
          <t>INV23060429</t>
        </is>
      </c>
    </row>
    <row r="171">
      <c r="B171" s="6" t="inlineStr">
        <is>
          <t>ทินเนอร์แห้งช้า 2K D500 LEZZON 150 kg.</t>
        </is>
      </c>
      <c r="C171" s="8" t="inlineStr">
        <is>
          <t>1ถัง</t>
        </is>
      </c>
      <c r="D171" s="9" t="n">
        <v>12750</v>
      </c>
      <c r="H171" s="9" t="n">
        <v>12750</v>
      </c>
      <c r="I171" s="10" t="inlineStr">
        <is>
          <t>ไทยนคร</t>
        </is>
      </c>
      <c r="J171" s="161" t="n">
        <v>24298</v>
      </c>
      <c r="K171" s="8" t="inlineStr">
        <is>
          <t>INV23070398</t>
        </is>
      </c>
    </row>
    <row r="172">
      <c r="B172" s="6" t="inlineStr">
        <is>
          <t>ทินเนอร์แห้งช้า 2K D500 LEZZON 150 kg.</t>
        </is>
      </c>
      <c r="C172" s="8" t="inlineStr">
        <is>
          <t>1ถัง</t>
        </is>
      </c>
      <c r="D172" s="9" t="n">
        <v>12750</v>
      </c>
      <c r="H172" s="9" t="n">
        <v>12750</v>
      </c>
      <c r="I172" s="10" t="inlineStr">
        <is>
          <t>ไทยนคร</t>
        </is>
      </c>
      <c r="J172" s="161" t="n">
        <v>24334</v>
      </c>
      <c r="K172" s="8" t="inlineStr">
        <is>
          <t>INV23080494</t>
        </is>
      </c>
    </row>
    <row r="173">
      <c r="B173" s="6" t="inlineStr">
        <is>
          <t>ทินเนอร์แห้งช้า 2K D500 LEZZON 150 kg.</t>
        </is>
      </c>
      <c r="C173" s="8" t="inlineStr">
        <is>
          <t>1ถัง</t>
        </is>
      </c>
      <c r="D173" s="9" t="n">
        <v>12750</v>
      </c>
      <c r="H173" s="9" t="n">
        <v>12750</v>
      </c>
      <c r="I173" s="10" t="inlineStr">
        <is>
          <t>ไทยนคร</t>
        </is>
      </c>
      <c r="J173" s="161" t="n">
        <v>24361</v>
      </c>
      <c r="K173" s="8" t="inlineStr">
        <is>
          <t>INV23090410</t>
        </is>
      </c>
    </row>
    <row r="174">
      <c r="B174" s="6" t="inlineStr">
        <is>
          <t>ทินเนอร์แห้งช้า 2K D500 LEZZON 150 kg.</t>
        </is>
      </c>
      <c r="C174" s="8" t="inlineStr">
        <is>
          <t>1ถัง</t>
        </is>
      </c>
      <c r="D174" s="9" t="n">
        <v>12750</v>
      </c>
      <c r="H174" s="9" t="n">
        <v>12750</v>
      </c>
      <c r="I174" s="10" t="inlineStr">
        <is>
          <t>ไทยนคร</t>
        </is>
      </c>
      <c r="J174" s="161" t="n">
        <v>24422</v>
      </c>
      <c r="K174" s="8" t="inlineStr">
        <is>
          <t>INV23110457</t>
        </is>
      </c>
    </row>
    <row r="175">
      <c r="B175" s="6" t="inlineStr">
        <is>
          <t>ทินเนอร์แห้งช้า 2K D500 LEZZON 150 kg.</t>
        </is>
      </c>
      <c r="C175" s="8" t="inlineStr">
        <is>
          <t>1ถัง</t>
        </is>
      </c>
      <c r="D175" s="9" t="n">
        <v>12750</v>
      </c>
      <c r="H175" s="9" t="n">
        <v>12750</v>
      </c>
      <c r="I175" s="10" t="inlineStr">
        <is>
          <t>ไทยนคร</t>
        </is>
      </c>
      <c r="J175" s="161" t="n">
        <v>24463</v>
      </c>
      <c r="K175" s="8" t="inlineStr">
        <is>
          <t>INV23120895</t>
        </is>
      </c>
    </row>
    <row r="176">
      <c r="B176" s="6" t="inlineStr">
        <is>
          <t>ทินเนอร์แห้งช้า 2K D500 LEZZON 150 kg.</t>
        </is>
      </c>
      <c r="C176" s="8" t="inlineStr">
        <is>
          <t>1ถัง</t>
        </is>
      </c>
      <c r="D176" s="9" t="n">
        <v>12500</v>
      </c>
      <c r="H176" s="9" t="n">
        <v>12500</v>
      </c>
      <c r="I176" s="10" t="inlineStr">
        <is>
          <t>ไทยนคร</t>
        </is>
      </c>
      <c r="J176" s="161" t="n">
        <v>24519</v>
      </c>
      <c r="K176" s="8" t="inlineStr">
        <is>
          <t>INV24020637</t>
        </is>
      </c>
    </row>
    <row r="177">
      <c r="B177" s="6" t="inlineStr">
        <is>
          <t>ทินเนอร์แห้งช้า 2K D500 LEZZON 150 kg.</t>
        </is>
      </c>
      <c r="C177" s="8" t="inlineStr">
        <is>
          <t>1ถัง</t>
        </is>
      </c>
      <c r="D177" s="9" t="n">
        <v>12500</v>
      </c>
      <c r="H177" s="9" t="n">
        <v>12500</v>
      </c>
      <c r="I177" s="10" t="inlineStr">
        <is>
          <t>ไทยนคร</t>
        </is>
      </c>
      <c r="J177" s="161" t="n">
        <v>24551</v>
      </c>
      <c r="K177" s="8" t="inlineStr">
        <is>
          <t>INV24030847</t>
        </is>
      </c>
    </row>
    <row r="178">
      <c r="B178" s="6" t="inlineStr">
        <is>
          <t>ทินเนอร์แห้งช้า 2K D500 LEZZON 150 kg.</t>
        </is>
      </c>
      <c r="C178" s="8" t="inlineStr">
        <is>
          <t>1ถัง</t>
        </is>
      </c>
      <c r="D178" s="9" t="n">
        <v>12500</v>
      </c>
      <c r="H178" s="9" t="n">
        <v>12500</v>
      </c>
      <c r="I178" s="10" t="inlineStr">
        <is>
          <t>ไทยนคร</t>
        </is>
      </c>
      <c r="J178" s="161" t="n">
        <v>24585</v>
      </c>
      <c r="K178" s="8" t="inlineStr">
        <is>
          <t>INV24040704</t>
        </is>
      </c>
    </row>
    <row r="179">
      <c r="B179" s="6" t="inlineStr">
        <is>
          <t>ทินเนอร์แห้งช้า 2K D500 LEZZON 150 kg.</t>
        </is>
      </c>
      <c r="C179" s="8" t="inlineStr">
        <is>
          <t>1ถัง</t>
        </is>
      </c>
      <c r="D179" s="9" t="n">
        <v>12500</v>
      </c>
      <c r="H179" s="9" t="n">
        <v>12500</v>
      </c>
      <c r="I179" s="10" t="inlineStr">
        <is>
          <t>ไทยนคร</t>
        </is>
      </c>
      <c r="J179" s="161" t="n">
        <v>24640</v>
      </c>
      <c r="K179" s="8" t="inlineStr">
        <is>
          <t>INV24060638</t>
        </is>
      </c>
    </row>
    <row r="180">
      <c r="B180" s="6" t="inlineStr">
        <is>
          <t>ทินเนอร์แห้งช้า 2K D500 LEZZON 150 kg.</t>
        </is>
      </c>
      <c r="C180" s="8" t="inlineStr">
        <is>
          <t>1ถัง</t>
        </is>
      </c>
      <c r="D180" s="9" t="n">
        <v>12500</v>
      </c>
      <c r="H180" s="9" t="n">
        <v>12500</v>
      </c>
      <c r="I180" s="10" t="inlineStr">
        <is>
          <t>ไทยนคร</t>
        </is>
      </c>
      <c r="J180" s="161" t="n">
        <v>24668</v>
      </c>
      <c r="K180" s="8" t="inlineStr">
        <is>
          <t>INV24070640</t>
        </is>
      </c>
    </row>
    <row r="181">
      <c r="B181" s="6" t="inlineStr">
        <is>
          <t>ทินเนอร์แห้งช้า 2K D500 LEZZON 150 kg.</t>
        </is>
      </c>
      <c r="C181" s="8" t="inlineStr">
        <is>
          <t>1ถัง</t>
        </is>
      </c>
      <c r="D181" s="9" t="n">
        <v>12500</v>
      </c>
      <c r="H181" s="9" t="n">
        <v>12500</v>
      </c>
      <c r="I181" s="10" t="inlineStr">
        <is>
          <t>ไทยนคร</t>
        </is>
      </c>
      <c r="J181" s="161" t="n">
        <v>24703</v>
      </c>
      <c r="K181" s="8" t="inlineStr">
        <is>
          <t>INV24080732</t>
        </is>
      </c>
    </row>
    <row r="182">
      <c r="B182" s="6" t="inlineStr">
        <is>
          <t>ทินเนอร์แห้งช้า 2K D500 LEZZON 150 kg.</t>
        </is>
      </c>
      <c r="C182" s="8" t="n">
        <v>2</v>
      </c>
      <c r="D182" s="9" t="n">
        <v>12500</v>
      </c>
      <c r="H182" s="9">
        <f>SUM(D182*C182)</f>
        <v/>
      </c>
      <c r="I182" s="10" t="inlineStr">
        <is>
          <t>ไทยนคร</t>
        </is>
      </c>
      <c r="J182" s="161" t="n">
        <v>24738</v>
      </c>
      <c r="K182" s="8" t="inlineStr">
        <is>
          <t>INV24090928</t>
        </is>
      </c>
    </row>
    <row r="183">
      <c r="B183" s="6" t="inlineStr">
        <is>
          <t>ทินเนอร์แห้งช้า 2K D500 LEZZON 150 kg. (165ลิตร)</t>
        </is>
      </c>
      <c r="C183" s="8" t="n">
        <v>1</v>
      </c>
      <c r="D183" s="9" t="n">
        <v>12750</v>
      </c>
      <c r="H183" s="9">
        <f>SUM(D183*C183)</f>
        <v/>
      </c>
      <c r="I183" s="10" t="inlineStr">
        <is>
          <t>ไทยนคร</t>
        </is>
      </c>
      <c r="J183" s="161" t="n">
        <v>24798</v>
      </c>
      <c r="K183" s="8" t="inlineStr">
        <is>
          <t>INV24110947</t>
        </is>
      </c>
    </row>
    <row r="184">
      <c r="B184" s="6" t="inlineStr">
        <is>
          <t>ทินเนอร์แห้งช้า 2K D500 LEZZON 150 kg. (165ลิตร)</t>
        </is>
      </c>
      <c r="C184" s="8" t="n">
        <v>1</v>
      </c>
      <c r="D184" s="9" t="n">
        <v>12750</v>
      </c>
      <c r="H184" s="9">
        <f>SUM(D184*C184)</f>
        <v/>
      </c>
      <c r="I184" s="10" t="inlineStr">
        <is>
          <t>ไทยนคร</t>
        </is>
      </c>
      <c r="J184" s="161" t="n">
        <v>24846</v>
      </c>
      <c r="K184" s="8" t="inlineStr">
        <is>
          <t>INV25010305</t>
        </is>
      </c>
    </row>
    <row r="185">
      <c r="B185" s="6" t="inlineStr">
        <is>
          <t>ทินเนอร์แห้งช้า 2K D500 LEZZON 150 kg. (165ลิตร)</t>
        </is>
      </c>
      <c r="C185" s="8" t="n">
        <v>1</v>
      </c>
      <c r="D185" s="9" t="n">
        <v>13642.5</v>
      </c>
      <c r="H185" s="9">
        <f>SUM(D185*C185)</f>
        <v/>
      </c>
      <c r="I185" s="10" t="inlineStr">
        <is>
          <t>ไทยนคร</t>
        </is>
      </c>
      <c r="J185" s="161" t="n">
        <v>24888</v>
      </c>
      <c r="K185" s="8" t="inlineStr">
        <is>
          <t>INV25020938</t>
        </is>
      </c>
      <c r="L185" s="8" t="inlineStr">
        <is>
          <t>ราคารวม VAT แล้ว</t>
        </is>
      </c>
    </row>
    <row r="186">
      <c r="B186" s="6" t="inlineStr">
        <is>
          <t>ทินเนอร์แห้งช้า 2K D500 LEZZON 150 kg. (165ลิตร)</t>
        </is>
      </c>
      <c r="C186" s="8" t="n">
        <v>1</v>
      </c>
      <c r="D186" s="9" t="n">
        <v>12750</v>
      </c>
      <c r="G186" s="10" t="inlineStr">
        <is>
          <t>ราคารวม VAT =</t>
        </is>
      </c>
      <c r="H186" s="9">
        <f>SUM(D186*C186*O186/N186)</f>
        <v/>
      </c>
      <c r="I186" s="10" t="inlineStr">
        <is>
          <t>ไทยนคร</t>
        </is>
      </c>
      <c r="J186" s="161" t="n">
        <v>24956</v>
      </c>
      <c r="K186" s="8" t="inlineStr">
        <is>
          <t>INV25040979</t>
        </is>
      </c>
      <c r="L186" s="8" t="inlineStr">
        <is>
          <t>ราคารวม VAT แล้ว</t>
        </is>
      </c>
      <c r="N186" s="6" t="n">
        <v>100</v>
      </c>
      <c r="O186" s="6" t="n">
        <v>107</v>
      </c>
    </row>
    <row r="187">
      <c r="B187" s="6" t="inlineStr">
        <is>
          <t>ทินเนอร์แห้งช้า 2K AV (D500) 160 kg. (NETไม่รวมถัง)</t>
        </is>
      </c>
      <c r="C187" s="8" t="n">
        <v>1</v>
      </c>
      <c r="D187" s="9" t="n">
        <v>10500</v>
      </c>
      <c r="G187" s="10" t="inlineStr">
        <is>
          <t>ราคารวม VAT =</t>
        </is>
      </c>
      <c r="H187" s="9">
        <f>SUM(D187*C187*O187/N187)</f>
        <v/>
      </c>
      <c r="I187" s="10" t="inlineStr">
        <is>
          <t>บจก. วีที คัลเลอร์ โปร</t>
        </is>
      </c>
      <c r="J187" s="161" t="n">
        <v>24993</v>
      </c>
      <c r="K187" s="8" t="inlineStr">
        <is>
          <t>IV6806026</t>
        </is>
      </c>
      <c r="L187" s="8" t="inlineStr">
        <is>
          <t>ราคารวม VAT แล้ว</t>
        </is>
      </c>
      <c r="N187" s="6" t="n">
        <v>100</v>
      </c>
      <c r="O187" s="6" t="n">
        <v>107</v>
      </c>
    </row>
    <row r="188">
      <c r="B188" s="6" t="inlineStr">
        <is>
          <t>ทินเนอร์แห้งช้า 2K AV (D500) 160 kg. (NETไม่รวมถัง)</t>
        </is>
      </c>
      <c r="C188" s="8" t="n">
        <v>1</v>
      </c>
      <c r="D188" s="9" t="n">
        <v>10500</v>
      </c>
      <c r="E188" s="9">
        <f>SUM(D188*C188)</f>
        <v/>
      </c>
      <c r="F188" s="8" t="n">
        <v>0.07000000000000001</v>
      </c>
      <c r="G188" s="10" t="inlineStr">
        <is>
          <t>รวม VAT =</t>
        </is>
      </c>
      <c r="H188" s="9">
        <f>SUM(E188+N188)</f>
        <v/>
      </c>
      <c r="I188" s="10" t="inlineStr">
        <is>
          <t>บจก. วีที คัลเลอร์ โปร</t>
        </is>
      </c>
      <c r="J188" s="161" t="n">
        <v>25021</v>
      </c>
      <c r="K188" s="8" t="inlineStr">
        <is>
          <t>IV6807034</t>
        </is>
      </c>
      <c r="N188" s="6">
        <f>SUM(E188*F188)</f>
        <v/>
      </c>
    </row>
    <row r="189">
      <c r="B189" s="6" t="inlineStr">
        <is>
          <t>ทินเนอร์แห้งช้า 2K AV (D500) 160 kg. (NETไม่รวมถัง)</t>
        </is>
      </c>
      <c r="C189" s="8" t="n">
        <v>1</v>
      </c>
      <c r="D189" s="9" t="n">
        <v>10500</v>
      </c>
      <c r="E189" s="9">
        <f>SUM(D189*C189)</f>
        <v/>
      </c>
      <c r="F189" s="8" t="n">
        <v>0.07000000000000001</v>
      </c>
      <c r="G189" s="10" t="inlineStr">
        <is>
          <t>รวม VAT =</t>
        </is>
      </c>
      <c r="H189" s="9">
        <f>SUM(E189+N189)</f>
        <v/>
      </c>
      <c r="I189" s="10" t="inlineStr">
        <is>
          <t>บจก. วีที คัลเลอร์ โปร</t>
        </is>
      </c>
      <c r="J189" s="161" t="n">
        <v>25050</v>
      </c>
      <c r="K189" s="8" t="inlineStr">
        <is>
          <t>IV6807220</t>
        </is>
      </c>
      <c r="N189" s="6">
        <f>SUM(E189*F189)</f>
        <v/>
      </c>
    </row>
    <row r="190">
      <c r="B190" s="6" t="inlineStr">
        <is>
          <t>ทินเนอร์แห้งช้า 2K AV (D500) 160 kg. (NETไม่รวมถัง)</t>
        </is>
      </c>
      <c r="C190" s="8" t="n">
        <v>2</v>
      </c>
      <c r="D190" s="9" t="n">
        <v>10500</v>
      </c>
      <c r="E190" s="9">
        <f>SUM(D190*C190)</f>
        <v/>
      </c>
      <c r="F190" s="8" t="n">
        <v>0.07000000000000001</v>
      </c>
      <c r="G190" s="10" t="inlineStr">
        <is>
          <t>รวม VAT =</t>
        </is>
      </c>
      <c r="H190" s="9">
        <f>SUM(E190+N190)</f>
        <v/>
      </c>
      <c r="I190" s="10" t="inlineStr">
        <is>
          <t>บจก. วีที คัลเลอร์ โปร</t>
        </is>
      </c>
      <c r="J190" s="161" t="n">
        <v>25106</v>
      </c>
      <c r="K190" s="8" t="inlineStr">
        <is>
          <t>IV6809181</t>
        </is>
      </c>
      <c r="N190" s="6">
        <f>SUM(E190*F190)</f>
        <v/>
      </c>
    </row>
    <row r="191">
      <c r="B191" s="6" t="inlineStr">
        <is>
          <t>ทินเนอร์แห้งช้า 2K AV (D500) 160 kg. (NETไม่รวมถัง)</t>
        </is>
      </c>
      <c r="C191" s="8" t="n">
        <v>1</v>
      </c>
      <c r="D191" s="9" t="n">
        <v>10500</v>
      </c>
      <c r="E191" s="9">
        <f>SUM(D191*C191)</f>
        <v/>
      </c>
      <c r="F191" s="8" t="n">
        <v>0.07000000000000001</v>
      </c>
      <c r="G191" s="10" t="inlineStr">
        <is>
          <t>รวม VAT =</t>
        </is>
      </c>
      <c r="H191" s="9">
        <f>SUM(E191+N191)</f>
        <v/>
      </c>
      <c r="I191" s="10" t="inlineStr">
        <is>
          <t>บจก. วีที คัลเลอร์ โปร</t>
        </is>
      </c>
      <c r="J191" s="161" t="n">
        <v>25149</v>
      </c>
      <c r="K191" s="8" t="inlineStr">
        <is>
          <t>IV6811058</t>
        </is>
      </c>
      <c r="N191" s="6">
        <f>SUM(E191*F191)</f>
        <v/>
      </c>
    </row>
    <row r="193" customFormat="1" s="42">
      <c r="A193" s="45" t="n"/>
      <c r="B193" s="42" t="inlineStr">
        <is>
          <t xml:space="preserve"> ** เมื่อ 22/2/69 วาทีแจ้งราคา ทินเนอร์ LEZZON D600 = 410 บาท/ต่อแกลลอน</t>
        </is>
      </c>
      <c r="C193" s="45" t="n"/>
      <c r="D193" s="16" t="n"/>
      <c r="E193" s="16" t="n"/>
      <c r="F193" s="45" t="n"/>
      <c r="G193" s="50" t="n"/>
      <c r="H193" s="16" t="n"/>
      <c r="I193" s="50" t="n"/>
      <c r="J193" s="166" t="n"/>
      <c r="K193" s="45" t="n"/>
      <c r="L193" s="45" t="n"/>
    </row>
    <row r="195">
      <c r="A195" s="68" t="inlineStr">
        <is>
          <t>สั่งเพราะแบบถัง ของขาด</t>
        </is>
      </c>
      <c r="B195" s="6" t="inlineStr">
        <is>
          <t>ทินเนอร์แห้งช้า 2K D500 LEZZON แบบปี๊บ 12 kg.</t>
        </is>
      </c>
      <c r="C195" s="8" t="inlineStr">
        <is>
          <t>10ปี๊บ</t>
        </is>
      </c>
      <c r="D195" s="9" t="n">
        <v>1200</v>
      </c>
      <c r="H195" s="9" t="n">
        <v>12000</v>
      </c>
      <c r="I195" s="10" t="inlineStr">
        <is>
          <t>ไทยนคร</t>
        </is>
      </c>
      <c r="J195" s="161" t="n">
        <v>24061</v>
      </c>
      <c r="K195" s="8" t="inlineStr">
        <is>
          <t>INV22110536</t>
        </is>
      </c>
    </row>
    <row r="196">
      <c r="A196" s="68" t="n"/>
    </row>
    <row r="198">
      <c r="B198" s="6" t="inlineStr">
        <is>
          <t>ทินเนอร์แห้งช้า SIKKENS SLOW (5L.)</t>
        </is>
      </c>
      <c r="C198" s="8" t="inlineStr">
        <is>
          <t>1กล.</t>
        </is>
      </c>
      <c r="D198" s="9" t="n">
        <v>1240</v>
      </c>
      <c r="H198" s="9" t="n">
        <v>1240</v>
      </c>
      <c r="I198" s="10" t="inlineStr">
        <is>
          <t>ทรัพย์สิน</t>
        </is>
      </c>
      <c r="J198" s="161" t="n">
        <v>23648</v>
      </c>
      <c r="K198" s="8" t="inlineStr">
        <is>
          <t>IV6409065</t>
        </is>
      </c>
    </row>
    <row r="200">
      <c r="A200" s="67" t="inlineStr">
        <is>
          <t>1ลัง = 6กล.</t>
        </is>
      </c>
      <c r="B200" s="6" t="inlineStr">
        <is>
          <t>ทินเนอร์ 2K BRM 3860S ขนาด 3.5 ลิตร</t>
        </is>
      </c>
      <c r="C200" s="8" t="inlineStr">
        <is>
          <t>12กล.</t>
        </is>
      </c>
      <c r="D200" s="9" t="n">
        <v>520</v>
      </c>
      <c r="H200" s="9" t="n">
        <v>6240</v>
      </c>
      <c r="I200" s="10" t="inlineStr">
        <is>
          <t>บจก. วีที คัลเลอร์ โปร</t>
        </is>
      </c>
      <c r="J200" s="161" t="n">
        <v>23956</v>
      </c>
      <c r="K200" s="8" t="inlineStr">
        <is>
          <t>IV116-65</t>
        </is>
      </c>
      <c r="L200" s="8" t="inlineStr">
        <is>
          <t>ราคาที่ลง ยังไม่รวมภาษี</t>
        </is>
      </c>
    </row>
    <row r="201">
      <c r="B201" s="6" t="inlineStr">
        <is>
          <t>ทินเนอร์ 2K BRM 3860S ขนาด 3.5 ลิตร</t>
        </is>
      </c>
      <c r="C201" s="8" t="inlineStr">
        <is>
          <t>6กล.</t>
        </is>
      </c>
      <c r="D201" s="9" t="n">
        <v>520</v>
      </c>
      <c r="H201" s="9" t="n">
        <v>3120</v>
      </c>
      <c r="I201" s="10" t="inlineStr">
        <is>
          <t>บจก. วีที คัลเลอร์ โปร</t>
        </is>
      </c>
      <c r="J201" s="161" t="n">
        <v>23992</v>
      </c>
      <c r="K201" s="8" t="inlineStr">
        <is>
          <t>IV167-65</t>
        </is>
      </c>
      <c r="L201" s="8" t="inlineStr">
        <is>
          <t>ราคาที่ลง ยังไม่รวมภาษี</t>
        </is>
      </c>
    </row>
    <row r="202">
      <c r="B202" s="6" t="inlineStr">
        <is>
          <t>ทินเนอร์ 2K BRM 3860S ขนาด 3.5 ลิตร</t>
        </is>
      </c>
      <c r="C202" s="8" t="inlineStr">
        <is>
          <t>12กล.</t>
        </is>
      </c>
      <c r="D202" s="9" t="n">
        <v>520</v>
      </c>
      <c r="H202" s="9" t="n">
        <v>6240</v>
      </c>
      <c r="I202" s="10" t="inlineStr">
        <is>
          <t>บจก. วีที คัลเลอร์ โปร</t>
        </is>
      </c>
      <c r="J202" s="161" t="n">
        <v>24005</v>
      </c>
      <c r="K202" s="8" t="inlineStr">
        <is>
          <t>IV183-65</t>
        </is>
      </c>
      <c r="L202" s="8" t="inlineStr">
        <is>
          <t>ราคาที่ลง ยังไม่รวมภาษี</t>
        </is>
      </c>
    </row>
    <row r="203">
      <c r="B203" s="6" t="inlineStr">
        <is>
          <t>ทินเนอร์ 2K BRM 3860S ขนาด 3.5 ลิตร</t>
        </is>
      </c>
      <c r="C203" s="8" t="inlineStr">
        <is>
          <t>18กล.</t>
        </is>
      </c>
      <c r="D203" s="9" t="n">
        <v>520</v>
      </c>
      <c r="H203" s="9" t="n">
        <v>9360</v>
      </c>
      <c r="I203" s="10" t="inlineStr">
        <is>
          <t>บจก. วีที คัลเลอร์ โปร</t>
        </is>
      </c>
      <c r="J203" s="161" t="n">
        <v>24040</v>
      </c>
      <c r="K203" s="8" t="inlineStr">
        <is>
          <t>IV227-65</t>
        </is>
      </c>
      <c r="L203" s="8" t="inlineStr">
        <is>
          <t>ราคาที่ลง ยังไม่รวมภาษี</t>
        </is>
      </c>
    </row>
    <row r="204">
      <c r="B204" s="6" t="inlineStr">
        <is>
          <t>ทินเนอร์ 2K BRM 3860S ขนาด 3.5 ลิตร</t>
        </is>
      </c>
      <c r="C204" s="8" t="inlineStr">
        <is>
          <t>12กล.</t>
        </is>
      </c>
      <c r="D204" s="9" t="n">
        <v>520</v>
      </c>
      <c r="H204" s="9" t="n">
        <v>6240</v>
      </c>
      <c r="I204" s="10" t="inlineStr">
        <is>
          <t>บจก. วีที คัลเลอร์ โปร</t>
        </is>
      </c>
      <c r="J204" s="161" t="n">
        <v>24069</v>
      </c>
      <c r="K204" s="8" t="inlineStr">
        <is>
          <t>IV275-65</t>
        </is>
      </c>
      <c r="L204" s="8" t="inlineStr">
        <is>
          <t>ราคาที่ลง ยังไม่รวมภาษี</t>
        </is>
      </c>
    </row>
    <row r="205">
      <c r="B205" s="6" t="inlineStr">
        <is>
          <t>ทินเนอร์ 2K BRM 3860S ขนาด 3.5 ลิตร</t>
        </is>
      </c>
      <c r="C205" s="8" t="inlineStr">
        <is>
          <t>12กล.</t>
        </is>
      </c>
      <c r="D205" s="9" t="n">
        <v>520</v>
      </c>
      <c r="H205" s="9" t="n">
        <v>6240</v>
      </c>
      <c r="I205" s="10" t="inlineStr">
        <is>
          <t>บจก. วีที คัลเลอร์ โปร</t>
        </is>
      </c>
      <c r="J205" s="161" t="n">
        <v>24095</v>
      </c>
      <c r="K205" s="8" t="inlineStr">
        <is>
          <t>IV318-65</t>
        </is>
      </c>
      <c r="L205" s="8" t="inlineStr">
        <is>
          <t>ราคาที่ลง ยังไม่รวมภาษี</t>
        </is>
      </c>
    </row>
    <row r="206">
      <c r="B206" s="6" t="inlineStr">
        <is>
          <t>ทินเนอร์ 2K BRM 3860S ขนาด 3.5 ลิตร</t>
        </is>
      </c>
      <c r="C206" s="8" t="inlineStr">
        <is>
          <t>12กล.</t>
        </is>
      </c>
      <c r="D206" s="9" t="n">
        <v>520</v>
      </c>
      <c r="H206" s="9" t="n">
        <v>6240</v>
      </c>
      <c r="I206" s="10" t="inlineStr">
        <is>
          <t>บจก. วีที คัลเลอร์ โปร</t>
        </is>
      </c>
      <c r="J206" s="161" t="n">
        <v>24127</v>
      </c>
      <c r="K206" s="8" t="inlineStr">
        <is>
          <t>IV042-66</t>
        </is>
      </c>
      <c r="L206" s="8" t="inlineStr">
        <is>
          <t>ราคาที่ลง ยังไม่รวมภาษี</t>
        </is>
      </c>
    </row>
    <row r="207">
      <c r="B207" s="6" t="inlineStr">
        <is>
          <t>ทินเนอร์ 2K BRM 3860S ขนาด 3.5 ลิตร</t>
        </is>
      </c>
      <c r="C207" s="8" t="inlineStr">
        <is>
          <t>12กล.</t>
        </is>
      </c>
      <c r="D207" s="9" t="n">
        <v>520</v>
      </c>
      <c r="H207" s="9" t="n">
        <v>6240</v>
      </c>
      <c r="I207" s="10" t="inlineStr">
        <is>
          <t>บจก. วีที คัลเลอร์ โปร</t>
        </is>
      </c>
      <c r="J207" s="161" t="n">
        <v>24160</v>
      </c>
      <c r="K207" s="8" t="inlineStr">
        <is>
          <t>IV114-66</t>
        </is>
      </c>
      <c r="L207" s="8" t="inlineStr">
        <is>
          <t>ราคาที่ลง ยังไม่รวมภาษี</t>
        </is>
      </c>
    </row>
    <row r="208">
      <c r="B208" s="6" t="inlineStr">
        <is>
          <t>ทินเนอร์ 2K BRM 3860S ขนาด 3.5 ลิตร</t>
        </is>
      </c>
      <c r="C208" s="8" t="inlineStr">
        <is>
          <t>12กล.</t>
        </is>
      </c>
      <c r="D208" s="9" t="n">
        <v>520</v>
      </c>
      <c r="H208" s="9" t="n">
        <v>6240</v>
      </c>
      <c r="I208" s="10" t="inlineStr">
        <is>
          <t>บจก. วีที คัลเลอร์ โปร</t>
        </is>
      </c>
      <c r="J208" s="161" t="n">
        <v>24221</v>
      </c>
      <c r="K208" s="8" t="inlineStr">
        <is>
          <t>IV226-66</t>
        </is>
      </c>
      <c r="L208" s="8" t="inlineStr">
        <is>
          <t>ราคาที่ลง ยังไม่รวมภาษี</t>
        </is>
      </c>
    </row>
    <row r="209">
      <c r="B209" s="6" t="inlineStr">
        <is>
          <t>ทินเนอร์ 2K BRM 3860S ขนาด 3.5 ลิตร</t>
        </is>
      </c>
      <c r="C209" s="8" t="inlineStr">
        <is>
          <t>18กล.</t>
        </is>
      </c>
      <c r="D209" s="9" t="n">
        <v>520</v>
      </c>
      <c r="H209" s="9" t="n">
        <v>9360</v>
      </c>
      <c r="I209" s="10" t="inlineStr">
        <is>
          <t>บจก. วีที คัลเลอร์ โปร</t>
        </is>
      </c>
      <c r="J209" s="161" t="n">
        <v>24282</v>
      </c>
      <c r="K209" s="8" t="inlineStr">
        <is>
          <t>IV354-66</t>
        </is>
      </c>
      <c r="L209" s="8" t="inlineStr">
        <is>
          <t>ราคาที่ลง ยังไม่รวมภาษี</t>
        </is>
      </c>
    </row>
    <row r="210">
      <c r="B210" s="6" t="inlineStr">
        <is>
          <t>ทินเนอร์ 2K BRM 3860S ขนาด 3.5 ลิตร</t>
        </is>
      </c>
      <c r="C210" s="8" t="inlineStr">
        <is>
          <t>18กล.</t>
        </is>
      </c>
      <c r="D210" s="9" t="n">
        <v>520</v>
      </c>
      <c r="H210" s="9" t="n">
        <v>9360</v>
      </c>
      <c r="I210" s="10" t="inlineStr">
        <is>
          <t>บจก. วีที คัลเลอร์ โปร</t>
        </is>
      </c>
      <c r="J210" s="161" t="n">
        <v>24315</v>
      </c>
      <c r="K210" s="8" t="inlineStr">
        <is>
          <t>IV425-66</t>
        </is>
      </c>
      <c r="L210" s="8" t="inlineStr">
        <is>
          <t>ราคาที่ลง ยังไม่รวมภาษี</t>
        </is>
      </c>
    </row>
    <row r="211">
      <c r="B211" s="6" t="inlineStr">
        <is>
          <t>ทินเนอร์ 2K BRM 3860S ขนาด 3.5 ลิตร</t>
        </is>
      </c>
      <c r="C211" s="8" t="n">
        <v>12</v>
      </c>
      <c r="D211" s="9" t="n">
        <v>520</v>
      </c>
      <c r="H211" s="9">
        <f>SUM(D211*C211)</f>
        <v/>
      </c>
      <c r="I211" s="10" t="inlineStr">
        <is>
          <t>บจก. วีที คัลเลอร์ โปร</t>
        </is>
      </c>
      <c r="J211" s="161" t="n">
        <v>24340</v>
      </c>
      <c r="K211" s="8" t="inlineStr">
        <is>
          <t>IV470-66</t>
        </is>
      </c>
      <c r="L211" s="8" t="inlineStr">
        <is>
          <t>ราคาที่ลง ยังไม่รวมภาษี</t>
        </is>
      </c>
    </row>
    <row r="212">
      <c r="B212" s="6" t="inlineStr">
        <is>
          <t>ทินเนอร์ 2K BRM 3860S ขนาด 3.5 ลิตร</t>
        </is>
      </c>
      <c r="C212" s="8" t="n">
        <v>12</v>
      </c>
      <c r="D212" s="9" t="n">
        <v>520</v>
      </c>
      <c r="H212" s="9">
        <f>SUM(D212*C212)</f>
        <v/>
      </c>
      <c r="I212" s="10" t="inlineStr">
        <is>
          <t>บจก. วีที คัลเลอร์ โปร</t>
        </is>
      </c>
      <c r="J212" s="161" t="n">
        <v>24372</v>
      </c>
      <c r="K212" s="8" t="inlineStr">
        <is>
          <t>IV542-66</t>
        </is>
      </c>
      <c r="L212" s="8" t="inlineStr">
        <is>
          <t>ราคาที่ลง ยังไม่รวมภาษี</t>
        </is>
      </c>
    </row>
    <row r="213">
      <c r="B213" s="6" t="inlineStr">
        <is>
          <t>ทินเนอร์ 2K BRM 3860S ขนาด 3.5 ลิตร</t>
        </is>
      </c>
      <c r="C213" s="8" t="n">
        <v>18</v>
      </c>
      <c r="D213" s="9" t="n">
        <v>520</v>
      </c>
      <c r="H213" s="9">
        <f>SUM(D213*C213)</f>
        <v/>
      </c>
      <c r="I213" s="10" t="inlineStr">
        <is>
          <t>บจก. วีที คัลเลอร์ โปร</t>
        </is>
      </c>
      <c r="J213" s="161" t="n">
        <v>24404</v>
      </c>
      <c r="K213" s="8" t="inlineStr">
        <is>
          <t>IV620-66</t>
        </is>
      </c>
      <c r="L213" s="8" t="inlineStr">
        <is>
          <t>ราคาที่ลง ยังไม่รวมภาษี</t>
        </is>
      </c>
    </row>
    <row r="214">
      <c r="B214" s="6" t="inlineStr">
        <is>
          <t>ทินเนอร์ 2K BRM 3860S ขนาด 3.5 ลิตร</t>
        </is>
      </c>
      <c r="C214" s="8" t="n">
        <v>12</v>
      </c>
      <c r="D214" s="9" t="n">
        <v>520</v>
      </c>
      <c r="H214" s="9">
        <f>SUM(D214*C214)</f>
        <v/>
      </c>
      <c r="I214" s="10" t="inlineStr">
        <is>
          <t>บจก. วีที คัลเลอร์ โปร</t>
        </is>
      </c>
      <c r="J214" s="161" t="n">
        <v>24462</v>
      </c>
      <c r="K214" s="8" t="inlineStr">
        <is>
          <t>IV764-66</t>
        </is>
      </c>
      <c r="L214" s="8" t="inlineStr">
        <is>
          <t>ราคาที่ลง ยังไม่รวมภาษี</t>
        </is>
      </c>
    </row>
    <row r="215">
      <c r="B215" s="6" t="inlineStr">
        <is>
          <t>ทินเนอร์ 2K BRM 3860S ขนาด 3.5 ลิตร</t>
        </is>
      </c>
      <c r="C215" s="8" t="n">
        <v>12</v>
      </c>
      <c r="D215" s="9" t="n">
        <v>520</v>
      </c>
      <c r="H215" s="9">
        <f>SUM(D215*C215)</f>
        <v/>
      </c>
      <c r="I215" s="10" t="inlineStr">
        <is>
          <t>บจก. วีที คัลเลอร์ โปร</t>
        </is>
      </c>
      <c r="J215" s="161" t="n">
        <v>24496</v>
      </c>
      <c r="K215" s="8" t="inlineStr">
        <is>
          <t>IV6701080</t>
        </is>
      </c>
      <c r="L215" s="8" t="inlineStr">
        <is>
          <t>ราคาที่ลง ยังไม่รวมภาษี</t>
        </is>
      </c>
    </row>
    <row r="216">
      <c r="B216" s="6" t="inlineStr">
        <is>
          <t>ทินเนอร์ 2K BRM 3860S ขนาด 3.5 ลิตร</t>
        </is>
      </c>
      <c r="C216" s="8" t="n">
        <v>12</v>
      </c>
      <c r="D216" s="9" t="n">
        <v>520</v>
      </c>
      <c r="H216" s="9">
        <f>SUM(D216*C216)</f>
        <v/>
      </c>
      <c r="I216" s="10" t="inlineStr">
        <is>
          <t>บจก. วีที คัลเลอร์ โปร</t>
        </is>
      </c>
      <c r="J216" s="161" t="n">
        <v>24529</v>
      </c>
      <c r="K216" s="8" t="inlineStr">
        <is>
          <t>IV6702104</t>
        </is>
      </c>
      <c r="L216" s="8" t="inlineStr">
        <is>
          <t>ราคาที่ลง ยังไม่รวมภาษี</t>
        </is>
      </c>
    </row>
    <row r="217">
      <c r="B217" s="6" t="inlineStr">
        <is>
          <t>ทินเนอร์ 2K BRM 3860S ขนาด 3.5 ลิตร</t>
        </is>
      </c>
      <c r="C217" s="8" t="n">
        <v>12</v>
      </c>
      <c r="D217" s="9" t="n">
        <v>520</v>
      </c>
      <c r="H217" s="9">
        <f>SUM(D217*C217)</f>
        <v/>
      </c>
      <c r="I217" s="10" t="inlineStr">
        <is>
          <t>บจก. วีที คัลเลอร์ โปร</t>
        </is>
      </c>
      <c r="J217" s="161" t="n">
        <v>24584</v>
      </c>
      <c r="K217" s="8" t="inlineStr">
        <is>
          <t>IV6704071</t>
        </is>
      </c>
      <c r="L217" s="8" t="inlineStr">
        <is>
          <t>ราคาที่ลง ยังไม่รวมภาษี</t>
        </is>
      </c>
    </row>
    <row r="218">
      <c r="B218" s="6" t="inlineStr">
        <is>
          <t>ทินเนอร์ 2K BRM 3860S ขนาด 3.5 ลิตร</t>
        </is>
      </c>
      <c r="C218" s="8" t="n">
        <v>18</v>
      </c>
      <c r="D218" s="9" t="n">
        <v>520</v>
      </c>
      <c r="H218" s="9">
        <f>SUM(D218*C218)</f>
        <v/>
      </c>
      <c r="I218" s="10" t="inlineStr">
        <is>
          <t>บจก. วีที คัลเลอร์ โปร</t>
        </is>
      </c>
      <c r="J218" s="161" t="n">
        <v>24613</v>
      </c>
      <c r="K218" s="8" t="inlineStr">
        <is>
          <t>IV6705105</t>
        </is>
      </c>
      <c r="L218" s="8" t="inlineStr">
        <is>
          <t>ราคาที่ลง ยังไม่รวมภาษี</t>
        </is>
      </c>
    </row>
    <row r="219">
      <c r="B219" s="6" t="inlineStr">
        <is>
          <t>ทินเนอร์ 2K BRM 3860S ขนาด 3.5 ลิตร</t>
        </is>
      </c>
      <c r="C219" s="8" t="n">
        <v>18</v>
      </c>
      <c r="D219" s="9" t="n">
        <v>520</v>
      </c>
      <c r="H219" s="9">
        <f>SUM(D219*C219)</f>
        <v/>
      </c>
      <c r="I219" s="10" t="inlineStr">
        <is>
          <t>บจก. วีที คัลเลอร์ โปร</t>
        </is>
      </c>
      <c r="J219" s="161" t="n">
        <v>24550</v>
      </c>
      <c r="K219" s="8" t="inlineStr">
        <is>
          <t>IV6703087</t>
        </is>
      </c>
      <c r="L219" s="8" t="inlineStr">
        <is>
          <t>ราคาที่ลง ยังไม่รวมภาษี</t>
        </is>
      </c>
    </row>
    <row r="220">
      <c r="B220" s="6" t="inlineStr">
        <is>
          <t>ทินเนอร์ 2K BRM 3860S ขนาด 3.5 ลิตร</t>
        </is>
      </c>
      <c r="C220" s="8" t="n">
        <v>18</v>
      </c>
      <c r="D220" s="9" t="n">
        <v>520</v>
      </c>
      <c r="H220" s="9">
        <f>SUM(D220*C220)</f>
        <v/>
      </c>
      <c r="I220" s="10" t="inlineStr">
        <is>
          <t>บจก. วีที คัลเลอร์ โปร</t>
        </is>
      </c>
      <c r="J220" s="161" t="n">
        <v>24644</v>
      </c>
      <c r="K220" s="8" t="inlineStr">
        <is>
          <t>IV6706124</t>
        </is>
      </c>
      <c r="L220" s="8" t="inlineStr">
        <is>
          <t>ราคาที่ลง ยังไม่รวมภาษี</t>
        </is>
      </c>
    </row>
    <row r="221">
      <c r="B221" s="6" t="inlineStr">
        <is>
          <t>ทินเนอร์ 2K BRM 3860S ขนาด 3.5 ลิตร</t>
        </is>
      </c>
      <c r="C221" s="8" t="n">
        <v>18</v>
      </c>
      <c r="D221" s="9" t="n">
        <v>520</v>
      </c>
      <c r="H221" s="9">
        <f>SUM(D221*C221)</f>
        <v/>
      </c>
      <c r="I221" s="10" t="inlineStr">
        <is>
          <t>บจก. วีที คัลเลอร์ โปร</t>
        </is>
      </c>
      <c r="J221" s="161" t="n">
        <v>24680</v>
      </c>
      <c r="K221" s="8" t="inlineStr">
        <is>
          <t>IV6707131</t>
        </is>
      </c>
      <c r="L221" s="8" t="inlineStr">
        <is>
          <t>ราคาที่ลง ยังไม่รวมภาษี</t>
        </is>
      </c>
    </row>
    <row r="222">
      <c r="B222" s="6" t="inlineStr">
        <is>
          <t>ทินเนอร์ 2K BRM 3860S ขนาด 3.5 ลิตร</t>
        </is>
      </c>
      <c r="C222" s="8" t="n">
        <v>18</v>
      </c>
      <c r="D222" s="9" t="n">
        <v>520</v>
      </c>
      <c r="H222" s="9">
        <f>SUM(D222*C222)</f>
        <v/>
      </c>
      <c r="I222" s="10" t="inlineStr">
        <is>
          <t>บจก. วีที คัลเลอร์ โปร</t>
        </is>
      </c>
      <c r="J222" s="161" t="n">
        <v>24707</v>
      </c>
      <c r="K222" s="8" t="inlineStr">
        <is>
          <t>IV6708117</t>
        </is>
      </c>
      <c r="L222" s="8" t="inlineStr">
        <is>
          <t>ราคาที่ลง ยังไม่รวมภาษี</t>
        </is>
      </c>
    </row>
    <row r="223">
      <c r="B223" s="6" t="inlineStr">
        <is>
          <t>ทินเนอร์ 2K BRM 3860S ขนาด 3.5 ลิตร</t>
        </is>
      </c>
      <c r="C223" s="8" t="n">
        <v>18</v>
      </c>
      <c r="D223" s="9" t="n">
        <v>520</v>
      </c>
      <c r="H223" s="9">
        <f>SUM(D223*C223)</f>
        <v/>
      </c>
      <c r="I223" s="10" t="inlineStr">
        <is>
          <t>บจก. วีที คัลเลอร์ โปร</t>
        </is>
      </c>
      <c r="J223" s="161" t="n">
        <v>24739</v>
      </c>
      <c r="K223" s="8" t="inlineStr">
        <is>
          <t>IV6709123</t>
        </is>
      </c>
      <c r="L223" s="8" t="inlineStr">
        <is>
          <t>ราคาที่ลง ยังไม่รวมภาษี</t>
        </is>
      </c>
    </row>
    <row r="224">
      <c r="B224" s="6" t="inlineStr">
        <is>
          <t>ทินเนอร์ 2K BRM 3860S ขนาด 3.5 ลิตร</t>
        </is>
      </c>
      <c r="C224" s="8" t="n">
        <v>6</v>
      </c>
      <c r="D224" s="9" t="n">
        <v>520</v>
      </c>
      <c r="H224" s="9">
        <f>SUM(D224*C224)</f>
        <v/>
      </c>
      <c r="I224" s="10" t="inlineStr">
        <is>
          <t>บจก. วีที คัลเลอร์ โปร</t>
        </is>
      </c>
      <c r="J224" s="161" t="n">
        <v>24795</v>
      </c>
      <c r="K224" s="8" t="inlineStr">
        <is>
          <t>IV6711104</t>
        </is>
      </c>
      <c r="L224" s="8" t="inlineStr">
        <is>
          <t>ราคาที่ลง ยังไม่รวมภาษี</t>
        </is>
      </c>
    </row>
    <row r="225">
      <c r="B225" s="6" t="inlineStr">
        <is>
          <t>ทินเนอร์ 2K BRM 3860S ขนาด 3.5 ลิตร</t>
        </is>
      </c>
      <c r="C225" s="8" t="n">
        <v>12</v>
      </c>
      <c r="D225" s="9" t="n">
        <v>520</v>
      </c>
      <c r="H225" s="9">
        <f>SUM(D225*C225)</f>
        <v/>
      </c>
      <c r="I225" s="10" t="inlineStr">
        <is>
          <t>บจก. วีที คัลเลอร์ โปร</t>
        </is>
      </c>
      <c r="J225" s="161" t="n">
        <v>24824</v>
      </c>
      <c r="K225" s="8" t="inlineStr">
        <is>
          <t>IV6712085</t>
        </is>
      </c>
      <c r="L225" s="8" t="inlineStr">
        <is>
          <t>ราคาที่ลง ยังไม่รวมภาษี</t>
        </is>
      </c>
    </row>
    <row r="226">
      <c r="B226" s="6" t="inlineStr">
        <is>
          <t>ทินเนอร์ 2K BRM 3860S ขนาด 3.5 ลิตร</t>
        </is>
      </c>
      <c r="C226" s="8" t="n">
        <v>12</v>
      </c>
      <c r="D226" s="9" t="n">
        <v>556.4</v>
      </c>
      <c r="H226" s="9">
        <f>SUM(D226*C226)</f>
        <v/>
      </c>
      <c r="I226" s="10" t="inlineStr">
        <is>
          <t>บจก. วีที คัลเลอร์ โปร</t>
        </is>
      </c>
      <c r="J226" s="161" t="n">
        <v>24892</v>
      </c>
      <c r="K226" s="8" t="inlineStr">
        <is>
          <t>IV6802145</t>
        </is>
      </c>
      <c r="L226" s="8" t="inlineStr">
        <is>
          <t>ราคารวม VAT แล้ว</t>
        </is>
      </c>
    </row>
    <row r="227">
      <c r="B227" s="6" t="inlineStr">
        <is>
          <t>ทินเนอร์ 2K BRM 3860S ขนาด 3.5 ลิตร</t>
        </is>
      </c>
      <c r="C227" s="8" t="n">
        <v>12</v>
      </c>
      <c r="D227" s="9" t="n">
        <v>556.4</v>
      </c>
      <c r="H227" s="9">
        <f>SUM(D227*C227)</f>
        <v/>
      </c>
      <c r="I227" s="10" t="inlineStr">
        <is>
          <t>บจก. วีที คัลเลอร์ โปร</t>
        </is>
      </c>
      <c r="J227" s="161" t="n">
        <v>24923</v>
      </c>
      <c r="K227" s="8" t="inlineStr">
        <is>
          <t>IV6803172</t>
        </is>
      </c>
      <c r="L227" s="8" t="inlineStr">
        <is>
          <t>ราคารวม VAT แล้ว</t>
        </is>
      </c>
    </row>
    <row r="228">
      <c r="B228" s="6" t="inlineStr">
        <is>
          <t>ทินเนอร์ 2K BRM 3860S ขนาด 3.5 ลิตร</t>
        </is>
      </c>
      <c r="C228" s="8" t="n">
        <v>6</v>
      </c>
      <c r="D228" s="9" t="n">
        <v>520</v>
      </c>
      <c r="E228" s="9">
        <f>SUM(D228*C228)</f>
        <v/>
      </c>
      <c r="F228" s="8" t="n">
        <v>0.07000000000000001</v>
      </c>
      <c r="G228" s="10" t="inlineStr">
        <is>
          <t>ยอดรวม VAT =</t>
        </is>
      </c>
      <c r="H228" s="9">
        <f>SUM(E228+N228)</f>
        <v/>
      </c>
      <c r="I228" s="10" t="inlineStr">
        <is>
          <t>บจก. วีที คัลเลอร์ โปร</t>
        </is>
      </c>
      <c r="J228" s="161" t="n">
        <v>25040</v>
      </c>
      <c r="K228" s="8" t="inlineStr">
        <is>
          <t>IV6807163</t>
        </is>
      </c>
      <c r="N228" s="6">
        <f>SUM(E228*F228)</f>
        <v/>
      </c>
    </row>
    <row r="229">
      <c r="B229" s="6" t="inlineStr">
        <is>
          <t>ทินเนอร์ 2K BRM 3860S ขนาด 3.5 ลิตร</t>
        </is>
      </c>
      <c r="C229" s="8" t="n">
        <v>6</v>
      </c>
      <c r="D229" s="9" t="n">
        <v>520</v>
      </c>
      <c r="E229" s="9">
        <f>SUM(D229*C229)</f>
        <v/>
      </c>
      <c r="F229" s="8" t="n">
        <v>0.07000000000000001</v>
      </c>
      <c r="G229" s="10" t="inlineStr">
        <is>
          <t>ยอดรวม VAT =</t>
        </is>
      </c>
      <c r="H229" s="9">
        <f>SUM(E229+N229)</f>
        <v/>
      </c>
      <c r="I229" s="10" t="inlineStr">
        <is>
          <t>บจก. วีที คัลเลอร์ โปร</t>
        </is>
      </c>
      <c r="J229" s="161" t="n">
        <v>25042</v>
      </c>
      <c r="K229" s="8" t="inlineStr">
        <is>
          <t>IV6807180</t>
        </is>
      </c>
      <c r="N229" s="6">
        <f>SUM(E229*F229)</f>
        <v/>
      </c>
    </row>
    <row r="230">
      <c r="B230" s="6" t="inlineStr">
        <is>
          <t>ทินเนอร์ 2K BRM 3860S ขนาด 3.5 ลิตร</t>
        </is>
      </c>
      <c r="C230" s="8" t="n">
        <v>12</v>
      </c>
      <c r="D230" s="9" t="n">
        <v>520</v>
      </c>
      <c r="E230" s="9">
        <f>SUM(D230*C230)</f>
        <v/>
      </c>
      <c r="F230" s="8" t="n">
        <v>0.07000000000000001</v>
      </c>
      <c r="G230" s="10" t="inlineStr">
        <is>
          <t>ยอดรวม VAT =</t>
        </is>
      </c>
      <c r="H230" s="9">
        <f>SUM(E230+N230)</f>
        <v/>
      </c>
      <c r="I230" s="10" t="inlineStr">
        <is>
          <t>บจก. วีที คัลเลอร์ โปร</t>
        </is>
      </c>
      <c r="J230" s="161" t="n">
        <v>25069</v>
      </c>
      <c r="K230" s="8" t="inlineStr">
        <is>
          <t>IV6808112</t>
        </is>
      </c>
      <c r="N230" s="6">
        <f>SUM(E230*F230)</f>
        <v/>
      </c>
    </row>
    <row r="231">
      <c r="B231" s="6" t="inlineStr">
        <is>
          <t>ทินเนอร์ 2K BRM 3860S ขนาด 3.5 ลิตร</t>
        </is>
      </c>
      <c r="C231" s="8" t="n">
        <v>18</v>
      </c>
      <c r="D231" s="9" t="n">
        <v>520</v>
      </c>
      <c r="E231" s="9">
        <f>SUM(D231*C231)</f>
        <v/>
      </c>
      <c r="F231" s="8" t="n">
        <v>0.07000000000000001</v>
      </c>
      <c r="G231" s="10" t="inlineStr">
        <is>
          <t>ยอดรวม VAT =</t>
        </is>
      </c>
      <c r="H231" s="9">
        <f>SUM(E231+N231)</f>
        <v/>
      </c>
      <c r="I231" s="10" t="inlineStr">
        <is>
          <t>บจก. วีที คัลเลอร์ โปร</t>
        </is>
      </c>
      <c r="J231" s="161" t="n">
        <v>25189</v>
      </c>
      <c r="K231" s="8" t="inlineStr">
        <is>
          <t>IV6812124</t>
        </is>
      </c>
      <c r="N231" s="6">
        <f>SUM(E231*F231)</f>
        <v/>
      </c>
    </row>
    <row r="233">
      <c r="A233" s="66" t="inlineStr">
        <is>
          <t>แลคเกอร์</t>
        </is>
      </c>
      <c r="B233" s="6" t="inlineStr">
        <is>
          <t>แลคเกอร์ prince 4:1</t>
        </is>
      </c>
      <c r="C233" s="8" t="inlineStr">
        <is>
          <t>60 กล.</t>
        </is>
      </c>
      <c r="D233" s="9" t="n">
        <v>560</v>
      </c>
      <c r="H233" s="9" t="n">
        <v>33600</v>
      </c>
      <c r="I233" s="10" t="inlineStr">
        <is>
          <t>PB Paint</t>
        </is>
      </c>
      <c r="J233" s="161" t="n">
        <v>22433</v>
      </c>
    </row>
    <row r="234">
      <c r="B234" s="6" t="inlineStr">
        <is>
          <t>แลคเกอร์ prince 4:1</t>
        </is>
      </c>
      <c r="C234" s="8" t="inlineStr">
        <is>
          <t>60 กล.</t>
        </is>
      </c>
      <c r="D234" s="9" t="n">
        <v>560</v>
      </c>
      <c r="H234" s="9" t="n">
        <v>33600</v>
      </c>
      <c r="I234" s="10" t="inlineStr">
        <is>
          <t>PB Paint</t>
        </is>
      </c>
      <c r="J234" s="161" t="n">
        <v>22803</v>
      </c>
      <c r="L234" s="8" t="inlineStr">
        <is>
          <t>ราคาที่ลง ยังไม่รวมภาษี</t>
        </is>
      </c>
    </row>
    <row r="235">
      <c r="B235" s="6" t="inlineStr">
        <is>
          <t>แลคเกอร์ prince 4:1</t>
        </is>
      </c>
      <c r="C235" s="8" t="inlineStr">
        <is>
          <t>60 กล.</t>
        </is>
      </c>
      <c r="D235" s="9" t="n">
        <v>560</v>
      </c>
      <c r="H235" s="9" t="n">
        <v>33600</v>
      </c>
      <c r="I235" s="10" t="inlineStr">
        <is>
          <t>PB Paint</t>
        </is>
      </c>
      <c r="J235" s="161" t="n">
        <v>22866</v>
      </c>
      <c r="L235" s="8" t="inlineStr">
        <is>
          <t>ราคาที่ลง ยังไม่รวมภาษี</t>
        </is>
      </c>
    </row>
    <row r="236">
      <c r="B236" s="6" t="inlineStr">
        <is>
          <t>แลคเกอร์ prince 4:1</t>
        </is>
      </c>
      <c r="C236" s="8" t="inlineStr">
        <is>
          <t>30 กล.</t>
        </is>
      </c>
      <c r="D236" s="9" t="n">
        <v>560</v>
      </c>
      <c r="H236" s="9" t="n">
        <v>16800</v>
      </c>
      <c r="I236" s="10" t="inlineStr">
        <is>
          <t>PB Paint</t>
        </is>
      </c>
      <c r="J236" s="161" t="n">
        <v>22998</v>
      </c>
      <c r="L236" s="8" t="inlineStr">
        <is>
          <t>ราคาที่ลง ยังไม่รวมภาษี</t>
        </is>
      </c>
    </row>
    <row r="237">
      <c r="B237" s="6" t="inlineStr">
        <is>
          <t>แลคเกอร์ prince 4:1</t>
        </is>
      </c>
      <c r="C237" s="8" t="inlineStr">
        <is>
          <t>20 กล.</t>
        </is>
      </c>
      <c r="D237" s="9" t="n">
        <v>560</v>
      </c>
      <c r="H237" s="9" t="n">
        <v>11200</v>
      </c>
      <c r="I237" s="10" t="inlineStr">
        <is>
          <t>PB Paint</t>
        </is>
      </c>
      <c r="J237" s="161" t="n">
        <v>23095</v>
      </c>
      <c r="L237" s="8" t="inlineStr">
        <is>
          <t>ราคาที่ลง ยังไม่รวมภาษี</t>
        </is>
      </c>
    </row>
    <row r="238">
      <c r="B238" s="6" t="inlineStr">
        <is>
          <t>แลคเกอร์ prince 4:1</t>
        </is>
      </c>
      <c r="C238" s="8" t="inlineStr">
        <is>
          <t>30 กล.</t>
        </is>
      </c>
      <c r="D238" s="9" t="n">
        <v>560</v>
      </c>
      <c r="H238" s="9" t="n">
        <v>16800</v>
      </c>
      <c r="I238" s="10" t="inlineStr">
        <is>
          <t>PB Paint</t>
        </is>
      </c>
      <c r="J238" s="161" t="n">
        <v>23121</v>
      </c>
      <c r="L238" s="8" t="inlineStr">
        <is>
          <t>ราคาที่ลง ยังไม่รวมภาษี</t>
        </is>
      </c>
    </row>
    <row r="239">
      <c r="B239" s="6" t="inlineStr">
        <is>
          <t>แลคเกอร์ prince 4:1</t>
        </is>
      </c>
      <c r="C239" s="8" t="inlineStr">
        <is>
          <t>24 กล.</t>
        </is>
      </c>
      <c r="D239" s="9" t="n">
        <v>560</v>
      </c>
      <c r="H239" s="9" t="n">
        <v>13440</v>
      </c>
      <c r="I239" s="10" t="inlineStr">
        <is>
          <t>PB Paint</t>
        </is>
      </c>
      <c r="J239" s="161" t="n">
        <v>23164</v>
      </c>
      <c r="L239" s="8" t="inlineStr">
        <is>
          <t>ราคาที่ลง ยังไม่รวมภาษี</t>
        </is>
      </c>
    </row>
    <row r="240">
      <c r="B240" s="6" t="inlineStr">
        <is>
          <t>แลคเกอร์ prince 4:1</t>
        </is>
      </c>
      <c r="C240" s="8" t="inlineStr">
        <is>
          <t>24 กล.</t>
        </is>
      </c>
      <c r="D240" s="9" t="n">
        <v>560</v>
      </c>
      <c r="H240" s="9" t="n">
        <v>13440</v>
      </c>
      <c r="I240" s="10" t="inlineStr">
        <is>
          <t>PB Paint</t>
        </is>
      </c>
      <c r="J240" s="161" t="n">
        <v>23243</v>
      </c>
      <c r="L240" s="8" t="inlineStr">
        <is>
          <t>ราคาที่ลง ยังไม่รวมภาษี</t>
        </is>
      </c>
    </row>
    <row r="241">
      <c r="B241" s="6" t="inlineStr">
        <is>
          <t>แลคเกอร์ prince 4:1</t>
        </is>
      </c>
      <c r="C241" s="8" t="inlineStr">
        <is>
          <t>24 กล.</t>
        </is>
      </c>
      <c r="D241" s="9" t="n">
        <v>560</v>
      </c>
      <c r="H241" s="9" t="n">
        <v>13440</v>
      </c>
      <c r="I241" s="10" t="inlineStr">
        <is>
          <t>PB Paint</t>
        </is>
      </c>
      <c r="J241" s="161" t="n">
        <v>23354</v>
      </c>
      <c r="L241" s="8" t="inlineStr">
        <is>
          <t>ราคาที่ลง ยังไม่รวมภาษี</t>
        </is>
      </c>
    </row>
    <row r="242">
      <c r="B242" s="6" t="inlineStr">
        <is>
          <t>แลคเกอร์ prince 4:1</t>
        </is>
      </c>
      <c r="C242" s="8" t="inlineStr">
        <is>
          <t>30 กล.</t>
        </is>
      </c>
      <c r="D242" s="9" t="n">
        <v>560</v>
      </c>
      <c r="H242" s="9" t="n">
        <v>16800</v>
      </c>
      <c r="I242" s="10" t="inlineStr">
        <is>
          <t>PB Paint</t>
        </is>
      </c>
      <c r="J242" s="161" t="n">
        <v>23472</v>
      </c>
      <c r="L242" s="8" t="inlineStr">
        <is>
          <t>ราคาที่ลง ยังไม่รวมภาษี</t>
        </is>
      </c>
    </row>
    <row r="244">
      <c r="B244" s="6" t="inlineStr">
        <is>
          <t>ฮาร์ดเดนเนอร์ แลคเกอร์ prince 4:1</t>
        </is>
      </c>
      <c r="C244" s="8" t="inlineStr">
        <is>
          <t>60 กล.</t>
        </is>
      </c>
      <c r="D244" s="9" t="n">
        <v>400</v>
      </c>
      <c r="H244" s="9" t="n">
        <v>24000</v>
      </c>
      <c r="I244" s="10" t="inlineStr">
        <is>
          <t>PB Paint</t>
        </is>
      </c>
      <c r="J244" s="161" t="n">
        <v>22433</v>
      </c>
    </row>
    <row r="245">
      <c r="B245" s="6" t="inlineStr">
        <is>
          <t>ฮาร์ดเดนเนอร์ แลคเกอร์ prince 4:1 FH</t>
        </is>
      </c>
      <c r="C245" s="8" t="inlineStr">
        <is>
          <t>75 กป.</t>
        </is>
      </c>
      <c r="D245" s="9" t="n">
        <v>400</v>
      </c>
      <c r="H245" s="9" t="n">
        <v>30000</v>
      </c>
      <c r="I245" s="10" t="inlineStr">
        <is>
          <t>PB Paint</t>
        </is>
      </c>
      <c r="J245" s="161" t="n">
        <v>22803</v>
      </c>
      <c r="L245" s="8" t="inlineStr">
        <is>
          <t>ราคาที่ลง ยังไม่รวมภาษี</t>
        </is>
      </c>
    </row>
    <row r="246">
      <c r="B246" s="6" t="inlineStr">
        <is>
          <t>ฮาร์ดเดนเนอร์ แลคเกอร์ prince 4:1 FH</t>
        </is>
      </c>
      <c r="C246" s="8" t="inlineStr">
        <is>
          <t>62 กป.</t>
        </is>
      </c>
      <c r="D246" s="9" t="n">
        <v>400</v>
      </c>
      <c r="H246" s="9" t="n">
        <v>24800</v>
      </c>
      <c r="I246" s="10" t="inlineStr">
        <is>
          <t>PB Paint</t>
        </is>
      </c>
      <c r="J246" s="161" t="n">
        <v>22866</v>
      </c>
      <c r="L246" s="8" t="inlineStr">
        <is>
          <t>ราคาที่ลง ยังไม่รวมภาษี</t>
        </is>
      </c>
    </row>
    <row r="247">
      <c r="B247" s="6" t="inlineStr">
        <is>
          <t>ฮาร์ดเดนเนอร์ แลคเกอร์ prince 4:1 FH</t>
        </is>
      </c>
      <c r="C247" s="8" t="inlineStr">
        <is>
          <t>30 กป.</t>
        </is>
      </c>
      <c r="D247" s="9" t="n">
        <v>400</v>
      </c>
      <c r="H247" s="9" t="n">
        <v>12000</v>
      </c>
      <c r="I247" s="10" t="inlineStr">
        <is>
          <t>PB Paint</t>
        </is>
      </c>
      <c r="J247" s="161" t="n">
        <v>22998</v>
      </c>
      <c r="L247" s="8" t="inlineStr">
        <is>
          <t>ราคาที่ลง ยังไม่รวมภาษี</t>
        </is>
      </c>
    </row>
    <row r="248">
      <c r="B248" s="6" t="inlineStr">
        <is>
          <t>ฮาร์ดเดนเนอร์ แลคเกอร์ prince 4:1 FH</t>
        </is>
      </c>
      <c r="C248" s="8" t="inlineStr">
        <is>
          <t>27 กป.</t>
        </is>
      </c>
      <c r="D248" s="9" t="n">
        <v>400</v>
      </c>
      <c r="H248" s="9" t="n">
        <v>10800</v>
      </c>
      <c r="I248" s="10" t="inlineStr">
        <is>
          <t>PB Paint</t>
        </is>
      </c>
      <c r="J248" s="161" t="n">
        <v>23095</v>
      </c>
      <c r="L248" s="8" t="inlineStr">
        <is>
          <t>ราคาที่ลง ยังไม่รวมภาษี</t>
        </is>
      </c>
    </row>
    <row r="249">
      <c r="B249" s="6" t="inlineStr">
        <is>
          <t>ฮาร์ดเดนเนอร์ แลคเกอร์ prince 4:1 FH</t>
        </is>
      </c>
      <c r="C249" s="8" t="inlineStr">
        <is>
          <t>30 กป.</t>
        </is>
      </c>
      <c r="D249" s="9" t="n">
        <v>400</v>
      </c>
      <c r="H249" s="9" t="n">
        <v>12000</v>
      </c>
      <c r="I249" s="10" t="inlineStr">
        <is>
          <t>PB Paint</t>
        </is>
      </c>
      <c r="J249" s="161" t="n">
        <v>23121</v>
      </c>
      <c r="L249" s="8" t="inlineStr">
        <is>
          <t>ราคาที่ลง ยังไม่รวมภาษี</t>
        </is>
      </c>
    </row>
    <row r="250">
      <c r="B250" s="6" t="inlineStr">
        <is>
          <t>ฮาร์ดเดนเนอร์ แลคเกอร์ prince 4:1 FH</t>
        </is>
      </c>
      <c r="C250" s="8" t="inlineStr">
        <is>
          <t>24 กป.</t>
        </is>
      </c>
      <c r="D250" s="9" t="n">
        <v>400</v>
      </c>
      <c r="H250" s="9" t="n">
        <v>9600</v>
      </c>
      <c r="I250" s="10" t="inlineStr">
        <is>
          <t>PB Paint</t>
        </is>
      </c>
      <c r="J250" s="161" t="n">
        <v>23164</v>
      </c>
      <c r="L250" s="8" t="inlineStr">
        <is>
          <t>ราคาที่ลง ยังไม่รวมภาษี</t>
        </is>
      </c>
    </row>
    <row r="251">
      <c r="B251" s="6" t="inlineStr">
        <is>
          <t>ฮาร์ดเดนเนอร์ แลคเกอร์ prince 4:1 FH</t>
        </is>
      </c>
      <c r="C251" s="8" t="inlineStr">
        <is>
          <t>24 กป.</t>
        </is>
      </c>
      <c r="D251" s="9" t="n">
        <v>400</v>
      </c>
      <c r="H251" s="9" t="n">
        <v>9600</v>
      </c>
      <c r="I251" s="10" t="inlineStr">
        <is>
          <t>PB Paint</t>
        </is>
      </c>
      <c r="J251" s="161" t="n">
        <v>23243</v>
      </c>
      <c r="L251" s="8" t="inlineStr">
        <is>
          <t>ราคาที่ลง ยังไม่รวมภาษี</t>
        </is>
      </c>
    </row>
    <row r="252">
      <c r="B252" s="6" t="inlineStr">
        <is>
          <t>ฮาร์ดเดนเนอร์ แลคเกอร์ prince 4:1 FH</t>
        </is>
      </c>
      <c r="C252" s="8" t="inlineStr">
        <is>
          <t>29 กป.</t>
        </is>
      </c>
      <c r="D252" s="9" t="n">
        <v>400</v>
      </c>
      <c r="H252" s="9" t="n">
        <v>11600</v>
      </c>
      <c r="I252" s="10" t="inlineStr">
        <is>
          <t>PB Paint</t>
        </is>
      </c>
      <c r="J252" s="161" t="n">
        <v>23354</v>
      </c>
      <c r="L252" s="8" t="inlineStr">
        <is>
          <t>ราคาที่ลง ยังไม่รวมภาษี</t>
        </is>
      </c>
    </row>
    <row r="253">
      <c r="B253" s="6" t="inlineStr">
        <is>
          <t>ฮาร์ดเดนเนอร์ แลคเกอร์ prince 4:1 FH</t>
        </is>
      </c>
      <c r="C253" s="8" t="inlineStr">
        <is>
          <t>30 กป.</t>
        </is>
      </c>
      <c r="D253" s="9" t="n">
        <v>400</v>
      </c>
      <c r="H253" s="9" t="n">
        <v>12000</v>
      </c>
      <c r="I253" s="10" t="inlineStr">
        <is>
          <t>PB Paint</t>
        </is>
      </c>
      <c r="J253" s="161" t="n">
        <v>23472</v>
      </c>
      <c r="L253" s="8" t="inlineStr">
        <is>
          <t>ราคาที่ลง ยังไม่รวมภาษี</t>
        </is>
      </c>
    </row>
    <row r="255">
      <c r="B255" s="6" t="inlineStr">
        <is>
          <t>แลคเกอร์ Ryder OEM (E) 4:1</t>
        </is>
      </c>
      <c r="C255" s="8" t="inlineStr">
        <is>
          <t>60กล.</t>
        </is>
      </c>
      <c r="D255" s="9" t="n">
        <v>600</v>
      </c>
      <c r="H255" s="9" t="n">
        <v>36000</v>
      </c>
      <c r="I255" s="10" t="inlineStr">
        <is>
          <t>ทรัพย์สินไทย</t>
        </is>
      </c>
      <c r="J255" s="161" t="n">
        <v>22429</v>
      </c>
      <c r="L255" s="8" t="inlineStr">
        <is>
          <t>ราคาที่ลง ยังไม่รวมภาษี</t>
        </is>
      </c>
    </row>
    <row r="256">
      <c r="B256" s="6" t="inlineStr">
        <is>
          <t>แลคเกอร์ Ryder OEM (E) 4:1</t>
        </is>
      </c>
      <c r="C256" s="8" t="inlineStr">
        <is>
          <t>48กล.</t>
        </is>
      </c>
      <c r="D256" s="9" t="n">
        <v>650</v>
      </c>
      <c r="H256" s="9" t="n">
        <v>31200</v>
      </c>
      <c r="I256" s="10" t="inlineStr">
        <is>
          <t>ทรัพย์สินไทย</t>
        </is>
      </c>
      <c r="J256" s="161" t="n">
        <v>22821</v>
      </c>
      <c r="L256" s="8" t="inlineStr">
        <is>
          <t>ราคาที่ลง ยังไม่รวมภาษี</t>
        </is>
      </c>
    </row>
    <row r="257">
      <c r="B257" s="6" t="inlineStr">
        <is>
          <t>แลคเกอร์ Ryder OEM (E) 4:1</t>
        </is>
      </c>
      <c r="C257" s="8" t="inlineStr">
        <is>
          <t>12กล.</t>
        </is>
      </c>
      <c r="D257" s="9" t="n">
        <v>650</v>
      </c>
      <c r="H257" s="9" t="n">
        <v>7800</v>
      </c>
      <c r="I257" s="10" t="inlineStr">
        <is>
          <t>ทรัพย์สินไทย</t>
        </is>
      </c>
      <c r="J257" s="161" t="n">
        <v>22824</v>
      </c>
      <c r="L257" s="8" t="inlineStr">
        <is>
          <t>ราคาที่ลง ยังไม่รวมภาษี</t>
        </is>
      </c>
    </row>
    <row r="258">
      <c r="B258" s="6" t="inlineStr">
        <is>
          <t>แลคเกอร์ Ryder OEM (E) 4:1</t>
        </is>
      </c>
      <c r="C258" s="8" t="inlineStr">
        <is>
          <t>50กล.</t>
        </is>
      </c>
      <c r="D258" s="9" t="n">
        <v>650</v>
      </c>
      <c r="H258" s="9" t="n">
        <v>32500</v>
      </c>
      <c r="I258" s="10" t="inlineStr">
        <is>
          <t>ทรัพย์สินไทย</t>
        </is>
      </c>
      <c r="J258" s="161" t="n">
        <v>22851</v>
      </c>
      <c r="L258" s="8" t="inlineStr">
        <is>
          <t>ราคาที่ลง ยังไม่รวมภาษี</t>
        </is>
      </c>
    </row>
    <row r="259">
      <c r="B259" s="6" t="inlineStr">
        <is>
          <t>แลคเกอร์ Ryder OEM (E) 4:1</t>
        </is>
      </c>
      <c r="C259" s="8" t="inlineStr">
        <is>
          <t>8กล.</t>
        </is>
      </c>
      <c r="D259" s="9" t="n">
        <v>650</v>
      </c>
      <c r="H259" s="9" t="n">
        <v>5200</v>
      </c>
      <c r="I259" s="10" t="inlineStr">
        <is>
          <t>ทรัพย์สินไทย</t>
        </is>
      </c>
      <c r="J259" s="161" t="n">
        <v>22852</v>
      </c>
      <c r="L259" s="8" t="inlineStr">
        <is>
          <t>ราคาที่ลง ยังไม่รวมภาษี</t>
        </is>
      </c>
    </row>
    <row r="260">
      <c r="B260" s="6" t="inlineStr">
        <is>
          <t>แลคเกอร์ Ryder OEM (E) 4:1</t>
        </is>
      </c>
      <c r="C260" s="8" t="inlineStr">
        <is>
          <t>40กล.</t>
        </is>
      </c>
      <c r="D260" s="9" t="n">
        <v>650</v>
      </c>
      <c r="H260" s="9" t="n">
        <v>26000</v>
      </c>
      <c r="I260" s="10" t="inlineStr">
        <is>
          <t>ทรัพย์สินไทย</t>
        </is>
      </c>
      <c r="J260" s="161" t="n">
        <v>22884</v>
      </c>
      <c r="L260" s="8" t="inlineStr">
        <is>
          <t>ราคาที่ลง ยังไม่รวมภาษี</t>
        </is>
      </c>
    </row>
    <row r="262">
      <c r="B262" s="6" t="inlineStr">
        <is>
          <t>ฮาร์ด แลคเกอร์ Ryder OEM (E) 4:1</t>
        </is>
      </c>
      <c r="C262" s="8" t="inlineStr">
        <is>
          <t>60กล.</t>
        </is>
      </c>
      <c r="D262" s="9" t="n">
        <v>600</v>
      </c>
      <c r="H262" s="9" t="n">
        <v>36000</v>
      </c>
      <c r="I262" s="10" t="inlineStr">
        <is>
          <t>ทรัพย์สินไทย</t>
        </is>
      </c>
      <c r="J262" s="161" t="n">
        <v>22429</v>
      </c>
      <c r="L262" s="8" t="inlineStr">
        <is>
          <t>ราคาที่ลง ยังไม่รวมภาษี</t>
        </is>
      </c>
    </row>
    <row r="263">
      <c r="B263" s="6" t="inlineStr">
        <is>
          <t>ฮาร์ด แลคเกอร์ Ryder OEM (E) 4:1</t>
        </is>
      </c>
      <c r="C263" s="8" t="inlineStr">
        <is>
          <t>48กล.</t>
        </is>
      </c>
      <c r="D263" s="9" t="n">
        <v>550</v>
      </c>
      <c r="H263" s="9" t="n">
        <v>26400</v>
      </c>
      <c r="I263" s="10" t="inlineStr">
        <is>
          <t>ทรัพย์สินไทย</t>
        </is>
      </c>
      <c r="J263" s="161" t="n">
        <v>22821</v>
      </c>
      <c r="L263" s="8" t="inlineStr">
        <is>
          <t>ราคาที่ลง ยังไม่รวมภาษี</t>
        </is>
      </c>
    </row>
    <row r="264">
      <c r="B264" s="6" t="inlineStr">
        <is>
          <t>ฮาร์ด แลคเกอร์ Ryder OEM (E) 4:1</t>
        </is>
      </c>
      <c r="C264" s="8" t="inlineStr">
        <is>
          <t>12กล.</t>
        </is>
      </c>
      <c r="D264" s="9" t="n">
        <v>550</v>
      </c>
      <c r="H264" s="9" t="n">
        <v>6600</v>
      </c>
      <c r="I264" s="10" t="inlineStr">
        <is>
          <t>ทรัพย์สินไทย</t>
        </is>
      </c>
      <c r="J264" s="161" t="n">
        <v>22824</v>
      </c>
      <c r="L264" s="8" t="inlineStr">
        <is>
          <t>ราคาที่ลง ยังไม่รวมภาษี</t>
        </is>
      </c>
    </row>
    <row r="265">
      <c r="B265" s="6" t="inlineStr">
        <is>
          <t>ฮาร์ด แลคเกอร์ Ryder OEM (E) 4:1</t>
        </is>
      </c>
      <c r="C265" s="8" t="inlineStr">
        <is>
          <t>50กล.</t>
        </is>
      </c>
      <c r="D265" s="9" t="n">
        <v>550</v>
      </c>
      <c r="H265" s="9" t="n">
        <v>27500</v>
      </c>
      <c r="I265" s="10" t="inlineStr">
        <is>
          <t>ทรัพย์สินไทย</t>
        </is>
      </c>
      <c r="J265" s="161" t="n">
        <v>22851</v>
      </c>
      <c r="L265" s="8" t="inlineStr">
        <is>
          <t>ราคาที่ลง ยังไม่รวมภาษี</t>
        </is>
      </c>
    </row>
    <row r="266">
      <c r="B266" s="6" t="inlineStr">
        <is>
          <t>ฮาร์ด แลคเกอร์ Ryder OEM (E) 4:1</t>
        </is>
      </c>
      <c r="C266" s="8" t="inlineStr">
        <is>
          <t>8กล.</t>
        </is>
      </c>
      <c r="D266" s="9" t="n">
        <v>550</v>
      </c>
      <c r="H266" s="9" t="n">
        <v>4400</v>
      </c>
      <c r="I266" s="10" t="inlineStr">
        <is>
          <t>ทรัพย์สินไทย</t>
        </is>
      </c>
      <c r="J266" s="161" t="n">
        <v>22852</v>
      </c>
      <c r="L266" s="8" t="inlineStr">
        <is>
          <t>ราคาที่ลง ยังไม่รวมภาษี</t>
        </is>
      </c>
    </row>
    <row r="267">
      <c r="B267" s="6" t="inlineStr">
        <is>
          <t>ฮาร์ด แลคเกอร์ Ryder OEM (E) 4:1</t>
        </is>
      </c>
      <c r="C267" s="8" t="inlineStr">
        <is>
          <t>40กล.</t>
        </is>
      </c>
      <c r="D267" s="9" t="n">
        <v>550</v>
      </c>
      <c r="H267" s="9" t="n">
        <v>22000</v>
      </c>
      <c r="I267" s="10" t="inlineStr">
        <is>
          <t>ทรัพย์สินไทย</t>
        </is>
      </c>
      <c r="J267" s="161" t="n">
        <v>22884</v>
      </c>
      <c r="L267" s="8" t="inlineStr">
        <is>
          <t>ราคาที่ลง ยังไม่รวมภาษี</t>
        </is>
      </c>
    </row>
    <row r="269">
      <c r="B269" s="6" t="inlineStr">
        <is>
          <t>แลคเกอร์ Matrix MSV-99 (4L.)  2:1</t>
        </is>
      </c>
      <c r="C269" s="8" t="inlineStr">
        <is>
          <t>30 กล.</t>
        </is>
      </c>
      <c r="D269" s="9" t="n">
        <v>1000</v>
      </c>
      <c r="H269" s="9" t="n">
        <v>30000</v>
      </c>
      <c r="I269" s="10" t="inlineStr">
        <is>
          <t>ทรัพย์สินไทย</t>
        </is>
      </c>
      <c r="J269" s="161" t="n">
        <v>22851</v>
      </c>
      <c r="L269" s="8" t="inlineStr">
        <is>
          <t>ราคาที่ลง ยังไม่รวมภาษี</t>
        </is>
      </c>
    </row>
    <row r="270">
      <c r="B270" s="6" t="inlineStr">
        <is>
          <t>แลคเกอร์ Matrix MSV-99 (4L.)  2:1</t>
        </is>
      </c>
      <c r="C270" s="8" t="inlineStr">
        <is>
          <t>40 กล.</t>
        </is>
      </c>
      <c r="D270" s="9" t="n">
        <v>1000</v>
      </c>
      <c r="H270" s="9" t="n">
        <v>40000</v>
      </c>
      <c r="I270" s="10" t="inlineStr">
        <is>
          <t>ทรัพย์สินไทย</t>
        </is>
      </c>
      <c r="J270" s="161" t="n">
        <v>22913</v>
      </c>
      <c r="L270" s="8" t="inlineStr">
        <is>
          <t>ราคาที่ลง ยังไม่รวมภาษี</t>
        </is>
      </c>
    </row>
    <row r="271">
      <c r="B271" s="6" t="inlineStr">
        <is>
          <t>แลคเกอร์ Matrix MSV-99 (4L.)  2:1</t>
        </is>
      </c>
      <c r="C271" s="8" t="inlineStr">
        <is>
          <t>40 กล.</t>
        </is>
      </c>
      <c r="D271" s="9" t="n">
        <v>1000</v>
      </c>
      <c r="H271" s="9" t="n">
        <v>40000</v>
      </c>
      <c r="I271" s="10" t="inlineStr">
        <is>
          <t>ทรัพย์สินไทย</t>
        </is>
      </c>
      <c r="J271" s="161" t="n">
        <v>23062</v>
      </c>
      <c r="L271" s="8" t="inlineStr">
        <is>
          <t>ราคาที่ลง ยังไม่รวมภาษี</t>
        </is>
      </c>
    </row>
    <row r="272">
      <c r="B272" s="6" t="inlineStr">
        <is>
          <t>แลคเกอร์ Matrix MSV-99 (4L.)  2:1</t>
        </is>
      </c>
      <c r="C272" s="8" t="inlineStr">
        <is>
          <t>40 กล.</t>
        </is>
      </c>
      <c r="D272" s="9" t="n">
        <v>1000</v>
      </c>
      <c r="H272" s="9" t="n">
        <v>40000</v>
      </c>
      <c r="I272" s="10" t="inlineStr">
        <is>
          <t>ทรัพย์สินไทย</t>
        </is>
      </c>
      <c r="J272" s="161" t="n">
        <v>23094</v>
      </c>
      <c r="L272" s="8" t="inlineStr">
        <is>
          <t>ราคาที่ลง ยังไม่รวมภาษี</t>
        </is>
      </c>
    </row>
    <row r="273">
      <c r="B273" s="6" t="inlineStr">
        <is>
          <t>แลคเกอร์ Matrix MSV-99 (4L.)  2:1</t>
        </is>
      </c>
      <c r="C273" s="8" t="inlineStr">
        <is>
          <t>40 กล.</t>
        </is>
      </c>
      <c r="D273" s="9" t="n">
        <v>1000</v>
      </c>
      <c r="H273" s="9" t="n">
        <v>40000</v>
      </c>
      <c r="I273" s="10" t="inlineStr">
        <is>
          <t>ทรัพย์สินไทย</t>
        </is>
      </c>
      <c r="J273" s="161" t="n">
        <v>23187</v>
      </c>
      <c r="L273" s="8" t="inlineStr">
        <is>
          <t>ราคาที่ลง ยังไม่รวมภาษี</t>
        </is>
      </c>
    </row>
    <row r="275">
      <c r="B275" s="6" t="inlineStr">
        <is>
          <t>ฮาร์ด แลคเกอร์ Matrix MAV-90 (1L.)  2:1</t>
        </is>
      </c>
      <c r="C275" s="8" t="inlineStr">
        <is>
          <t>60 กป.</t>
        </is>
      </c>
      <c r="D275" s="9" t="n">
        <v>500</v>
      </c>
      <c r="H275" s="9" t="n">
        <v>30000</v>
      </c>
      <c r="I275" s="10" t="inlineStr">
        <is>
          <t>ทรัพย์สินไทย</t>
        </is>
      </c>
      <c r="J275" s="161" t="n">
        <v>22851</v>
      </c>
      <c r="L275" s="8" t="inlineStr">
        <is>
          <t>ราคาที่ลง ยังไม่รวมภาษี</t>
        </is>
      </c>
    </row>
    <row r="276">
      <c r="B276" s="6" t="inlineStr">
        <is>
          <t>ฮาร์ด แลคเกอร์ Matrix MAV-90 (1L.)  2:1</t>
        </is>
      </c>
      <c r="C276" s="8" t="inlineStr">
        <is>
          <t>80 กป.</t>
        </is>
      </c>
      <c r="D276" s="9" t="n">
        <v>500</v>
      </c>
      <c r="H276" s="9" t="n">
        <v>40000</v>
      </c>
      <c r="I276" s="10" t="inlineStr">
        <is>
          <t>ทรัพย์สินไทย</t>
        </is>
      </c>
      <c r="J276" s="161" t="n">
        <v>22913</v>
      </c>
      <c r="L276" s="8" t="inlineStr">
        <is>
          <t>ราคาที่ลง ยังไม่รวมภาษี</t>
        </is>
      </c>
    </row>
    <row r="277">
      <c r="B277" s="6" t="inlineStr">
        <is>
          <t>ฮาร์ด แลคเกอร์ Matrix MAV-90 (1L.)  2:1</t>
        </is>
      </c>
      <c r="C277" s="8" t="inlineStr">
        <is>
          <t>80 กป.</t>
        </is>
      </c>
      <c r="D277" s="9" t="n">
        <v>500</v>
      </c>
      <c r="H277" s="9" t="n">
        <v>40000</v>
      </c>
      <c r="I277" s="10" t="inlineStr">
        <is>
          <t>ทรัพย์สินไทย</t>
        </is>
      </c>
      <c r="J277" s="161" t="n">
        <v>23062</v>
      </c>
      <c r="L277" s="8" t="inlineStr">
        <is>
          <t>ราคาที่ลง ยังไม่รวมภาษี</t>
        </is>
      </c>
    </row>
    <row r="278">
      <c r="B278" s="6" t="inlineStr">
        <is>
          <t>ฮาร์ด แลคเกอร์ Matrix MAV-90 (1L.)  2:1</t>
        </is>
      </c>
      <c r="C278" s="8" t="inlineStr">
        <is>
          <t>80 กป.</t>
        </is>
      </c>
      <c r="D278" s="9" t="n">
        <v>500</v>
      </c>
      <c r="H278" s="9" t="n">
        <v>40000</v>
      </c>
      <c r="I278" s="10" t="inlineStr">
        <is>
          <t>ทรัพย์สินไทย</t>
        </is>
      </c>
      <c r="J278" s="161" t="n">
        <v>23094</v>
      </c>
      <c r="L278" s="8" t="inlineStr">
        <is>
          <t>ราคาที่ลง ยังไม่รวมภาษี</t>
        </is>
      </c>
    </row>
    <row r="279">
      <c r="B279" s="6" t="inlineStr">
        <is>
          <t>ฮาร์ด แลคเกอร์ Matrix MAV-90 (1L.)  2:1</t>
        </is>
      </c>
      <c r="C279" s="8" t="inlineStr">
        <is>
          <t>80 กป.</t>
        </is>
      </c>
      <c r="D279" s="9" t="n">
        <v>500</v>
      </c>
      <c r="H279" s="9" t="n">
        <v>40000</v>
      </c>
      <c r="I279" s="10" t="inlineStr">
        <is>
          <t>ทรัพย์สินไทย</t>
        </is>
      </c>
      <c r="J279" s="161" t="n">
        <v>23187</v>
      </c>
      <c r="L279" s="8" t="inlineStr">
        <is>
          <t>ราคาที่ลง ยังไม่รวมภาษี</t>
        </is>
      </c>
    </row>
    <row r="280">
      <c r="B280" s="6" t="inlineStr">
        <is>
          <t>ฮาร์ด แลคเกอร์ Matrix MAV-90 (1L.)  2:1</t>
        </is>
      </c>
      <c r="C280" s="8" t="inlineStr">
        <is>
          <t>20 กป.</t>
        </is>
      </c>
      <c r="D280" s="9" t="n">
        <v>500</v>
      </c>
      <c r="H280" s="9" t="n">
        <v>10000</v>
      </c>
      <c r="I280" s="10" t="inlineStr">
        <is>
          <t>ทรัพย์สินไทย</t>
        </is>
      </c>
      <c r="J280" s="161" t="n">
        <v>23247</v>
      </c>
      <c r="L280" s="8" t="inlineStr">
        <is>
          <t>ราคาที่ลง ยังไม่รวมภาษี</t>
        </is>
      </c>
    </row>
    <row r="281">
      <c r="B281" s="6" t="inlineStr">
        <is>
          <t>ฮาร์ด แลคเกอร์ Matrix MAV-90 (1L.)  2:1</t>
        </is>
      </c>
      <c r="C281" s="8" t="inlineStr">
        <is>
          <t>3 กป.</t>
        </is>
      </c>
      <c r="D281" s="9" t="n">
        <v>500</v>
      </c>
      <c r="H281" s="9" t="n">
        <v>1500</v>
      </c>
      <c r="I281" s="10" t="inlineStr">
        <is>
          <t>ทรัพย์สินไทย</t>
        </is>
      </c>
      <c r="J281" s="161" t="n">
        <v>23340</v>
      </c>
      <c r="L281" s="8" t="inlineStr">
        <is>
          <t>ราคาที่ลง ยังไม่รวมภาษี</t>
        </is>
      </c>
    </row>
    <row r="283">
      <c r="B283" s="6" t="inlineStr">
        <is>
          <t>แลคเกอร์ Matrix MSV-25(NEW) (4L.)  2:1</t>
        </is>
      </c>
      <c r="C283" s="8" t="inlineStr">
        <is>
          <t>40 กล.</t>
        </is>
      </c>
      <c r="D283" s="9" t="n">
        <v>1000</v>
      </c>
      <c r="H283" s="9" t="n">
        <v>40000</v>
      </c>
      <c r="I283" s="10" t="inlineStr">
        <is>
          <t>ทรัพย์สินไทย</t>
        </is>
      </c>
      <c r="J283" s="161" t="n">
        <v>23247</v>
      </c>
      <c r="L283" s="8" t="inlineStr">
        <is>
          <t>ราคาที่ลง ยังไม่รวมภาษี</t>
        </is>
      </c>
    </row>
    <row r="284">
      <c r="B284" s="6" t="inlineStr">
        <is>
          <t>แลคเกอร์ Matrix MSV-25(NEW) (4L.)  2:1</t>
        </is>
      </c>
      <c r="C284" s="8" t="inlineStr">
        <is>
          <t>24 กล.</t>
        </is>
      </c>
      <c r="D284" s="9" t="n">
        <v>1000</v>
      </c>
      <c r="H284" s="9" t="n">
        <v>24000</v>
      </c>
      <c r="I284" s="10" t="inlineStr">
        <is>
          <t>ทรัพย์สินไทย</t>
        </is>
      </c>
      <c r="J284" s="161" t="n">
        <v>23305</v>
      </c>
      <c r="L284" s="8" t="inlineStr">
        <is>
          <t>ราคาที่ลง ยังไม่รวมภาษี</t>
        </is>
      </c>
    </row>
    <row r="285">
      <c r="B285" s="6" t="inlineStr">
        <is>
          <t>แลคเกอร์ Matrix MSV-25(NEW) (4L.)  2:1</t>
        </is>
      </c>
      <c r="C285" s="8" t="inlineStr">
        <is>
          <t>40 กล.</t>
        </is>
      </c>
      <c r="D285" s="9" t="n">
        <v>1000</v>
      </c>
      <c r="H285" s="9" t="n">
        <v>40000</v>
      </c>
      <c r="I285" s="10" t="inlineStr">
        <is>
          <t>ทรัพย์สินไทย</t>
        </is>
      </c>
      <c r="J285" s="161" t="n">
        <v>23337</v>
      </c>
      <c r="L285" s="8" t="inlineStr">
        <is>
          <t>ราคาที่ลง ยังไม่รวมภาษี</t>
        </is>
      </c>
    </row>
    <row r="286">
      <c r="B286" s="6" t="inlineStr">
        <is>
          <t>แลคเกอร์ Matrix MSV-25(NEW) (4L.)  2:1</t>
        </is>
      </c>
      <c r="C286" s="8" t="inlineStr">
        <is>
          <t>30 กล.</t>
        </is>
      </c>
      <c r="D286" s="9" t="n">
        <v>1000</v>
      </c>
      <c r="H286" s="9" t="n">
        <v>30000</v>
      </c>
      <c r="I286" s="10" t="inlineStr">
        <is>
          <t>ทรัพย์สินไทย</t>
        </is>
      </c>
      <c r="J286" s="161" t="n">
        <v>23340</v>
      </c>
      <c r="L286" s="8" t="inlineStr">
        <is>
          <t>ราคาที่ลง ยังไม่รวมภาษี</t>
        </is>
      </c>
    </row>
    <row r="287">
      <c r="B287" s="6" t="inlineStr">
        <is>
          <t>แลคเกอร์ Matrix MSV-25(NEW) (4L.)  2:1</t>
        </is>
      </c>
      <c r="C287" s="8" t="inlineStr">
        <is>
          <t>60 กล.</t>
        </is>
      </c>
      <c r="D287" s="9" t="n">
        <v>1000</v>
      </c>
      <c r="H287" s="9" t="n">
        <v>60000</v>
      </c>
      <c r="I287" s="10" t="inlineStr">
        <is>
          <t>ทรัพย์สินไทย</t>
        </is>
      </c>
      <c r="J287" s="161" t="n">
        <v>23366</v>
      </c>
      <c r="L287" s="8" t="inlineStr">
        <is>
          <t>ราคาที่ลง ยังไม่รวมภาษี</t>
        </is>
      </c>
    </row>
    <row r="288">
      <c r="B288" s="6" t="inlineStr">
        <is>
          <t>แลคเกอร์ Matrix MSV-25(NEW) (4L.)  2:1</t>
        </is>
      </c>
      <c r="C288" s="8" t="inlineStr">
        <is>
          <t>40 กล.</t>
        </is>
      </c>
      <c r="D288" s="9" t="n">
        <v>1000</v>
      </c>
      <c r="H288" s="9" t="n">
        <v>40000</v>
      </c>
      <c r="I288" s="10" t="inlineStr">
        <is>
          <t>ทรัพย์สินไทย</t>
        </is>
      </c>
      <c r="J288" s="161" t="n">
        <v>23430</v>
      </c>
      <c r="L288" s="8" t="inlineStr">
        <is>
          <t>ราคาที่ลง ยังไม่รวมภาษี</t>
        </is>
      </c>
    </row>
    <row r="289">
      <c r="B289" s="6" t="inlineStr">
        <is>
          <t>แลคเกอร์ Matrix MSV-25(NEW) (4L.)  2:1</t>
        </is>
      </c>
      <c r="C289" s="8" t="inlineStr">
        <is>
          <t>40 กล.</t>
        </is>
      </c>
      <c r="D289" s="9" t="n">
        <v>1000</v>
      </c>
      <c r="H289" s="9" t="n">
        <v>40000</v>
      </c>
      <c r="I289" s="10" t="inlineStr">
        <is>
          <t>ทรัพย์สินไทย</t>
        </is>
      </c>
      <c r="J289" s="161" t="n">
        <v>23460</v>
      </c>
      <c r="L289" s="8" t="inlineStr">
        <is>
          <t>ราคาที่ลง ยังไม่รวมภาษี</t>
        </is>
      </c>
    </row>
    <row r="290">
      <c r="B290" s="6" t="inlineStr">
        <is>
          <t>แลคเกอร์ Matrix MSV-25(NEW) (4L.)  2:1</t>
        </is>
      </c>
      <c r="C290" s="8" t="inlineStr">
        <is>
          <t>30 กล.</t>
        </is>
      </c>
      <c r="D290" s="9" t="n">
        <v>1000</v>
      </c>
      <c r="H290" s="9" t="n">
        <v>30000</v>
      </c>
      <c r="I290" s="10" t="inlineStr">
        <is>
          <t>ทรัพย์สินไทย</t>
        </is>
      </c>
      <c r="J290" s="161" t="n">
        <v>23546</v>
      </c>
      <c r="L290" s="8" t="inlineStr">
        <is>
          <t>ราคาที่ลง ยังไม่รวมภาษี</t>
        </is>
      </c>
    </row>
    <row r="291">
      <c r="B291" s="6" t="inlineStr">
        <is>
          <t>แลคเกอร์ Matrix MSV-25(NEW) (4L.)  2:1</t>
        </is>
      </c>
      <c r="C291" s="8" t="inlineStr">
        <is>
          <t>42 กล.</t>
        </is>
      </c>
      <c r="D291" s="9" t="n">
        <v>1000</v>
      </c>
      <c r="H291" s="9" t="n">
        <v>42000</v>
      </c>
      <c r="I291" s="10" t="inlineStr">
        <is>
          <t>ทรัพย์สินไทย</t>
        </is>
      </c>
      <c r="J291" s="161" t="n">
        <v>23676</v>
      </c>
      <c r="K291" s="8" t="inlineStr">
        <is>
          <t>IV6410365</t>
        </is>
      </c>
      <c r="L291" s="8" t="inlineStr">
        <is>
          <t>ราคาที่ลง ยังไม่รวมภาษี</t>
        </is>
      </c>
    </row>
    <row r="292">
      <c r="B292" s="6" t="inlineStr">
        <is>
          <t>แลคเกอร์ Matrix MSV-25(NEW) (4L.)  2:1</t>
        </is>
      </c>
      <c r="C292" s="8" t="inlineStr">
        <is>
          <t>80 กล.</t>
        </is>
      </c>
      <c r="D292" s="9" t="n">
        <v>1000</v>
      </c>
      <c r="H292" s="9" t="n">
        <v>80000</v>
      </c>
      <c r="I292" s="10" t="inlineStr">
        <is>
          <t>ทรัพย์สินไทย</t>
        </is>
      </c>
      <c r="J292" s="161" t="n">
        <v>23704</v>
      </c>
      <c r="K292" s="8" t="inlineStr">
        <is>
          <t>IV6411357</t>
        </is>
      </c>
      <c r="L292" s="8" t="inlineStr">
        <is>
          <t>ราคาที่ลง ยังไม่รวมภาษี</t>
        </is>
      </c>
    </row>
    <row r="293">
      <c r="B293" s="6" t="inlineStr">
        <is>
          <t>แลคเกอร์ Matrix MSV-25(NEW) (4L.)  2:1</t>
        </is>
      </c>
      <c r="C293" s="8" t="inlineStr">
        <is>
          <t>80 กล.</t>
        </is>
      </c>
      <c r="D293" s="9" t="n">
        <v>1000</v>
      </c>
      <c r="H293" s="9" t="n">
        <v>80000</v>
      </c>
      <c r="I293" s="10" t="inlineStr">
        <is>
          <t>ทรัพย์สินไทย</t>
        </is>
      </c>
      <c r="J293" s="161" t="n">
        <v>23733</v>
      </c>
      <c r="K293" s="8" t="inlineStr">
        <is>
          <t>IV6412301</t>
        </is>
      </c>
      <c r="L293" s="8" t="inlineStr">
        <is>
          <t>ราคาที่ลง ยังไม่รวมภาษี</t>
        </is>
      </c>
    </row>
    <row r="295">
      <c r="B295" s="6" t="inlineStr">
        <is>
          <t>ฮาร์ด แลคเกอร์ Matrix MH-15(NEW) (1L.) 2</t>
        </is>
      </c>
      <c r="C295" s="8" t="inlineStr">
        <is>
          <t>80 กป.</t>
        </is>
      </c>
      <c r="D295" s="9" t="n">
        <v>500</v>
      </c>
      <c r="H295" s="9" t="n">
        <v>40000</v>
      </c>
      <c r="I295" s="10" t="inlineStr">
        <is>
          <t>ทรัพย์สินไทย</t>
        </is>
      </c>
      <c r="J295" s="161" t="n">
        <v>23247</v>
      </c>
      <c r="L295" s="8" t="inlineStr">
        <is>
          <t>ราคาที่ลง ยังไม่รวมภาษี</t>
        </is>
      </c>
    </row>
    <row r="296">
      <c r="B296" s="6" t="inlineStr">
        <is>
          <t>ฮาร์ด แลคเกอร์ Matrix MH-15(NEW) (1L.) 2</t>
        </is>
      </c>
      <c r="C296" s="8" t="inlineStr">
        <is>
          <t>48 กป.</t>
        </is>
      </c>
      <c r="D296" s="9" t="n">
        <v>500</v>
      </c>
      <c r="H296" s="9" t="n">
        <v>24000</v>
      </c>
      <c r="I296" s="10" t="inlineStr">
        <is>
          <t>ทรัพย์สินไทย</t>
        </is>
      </c>
      <c r="J296" s="161" t="n">
        <v>23305</v>
      </c>
      <c r="L296" s="8" t="inlineStr">
        <is>
          <t>ราคาที่ลง ยังไม่รวมภาษี</t>
        </is>
      </c>
    </row>
    <row r="297">
      <c r="B297" s="6" t="inlineStr">
        <is>
          <t>ฮาร์ด แลคเกอร์ Matrix MH-15(NEW) (1L.) 2</t>
        </is>
      </c>
      <c r="C297" s="8" t="inlineStr">
        <is>
          <t>80 กป.</t>
        </is>
      </c>
      <c r="D297" s="9" t="n">
        <v>500</v>
      </c>
      <c r="H297" s="9" t="n">
        <v>40000</v>
      </c>
      <c r="I297" s="10" t="inlineStr">
        <is>
          <t>ทรัพย์สินไทย</t>
        </is>
      </c>
      <c r="J297" s="161" t="n">
        <v>23337</v>
      </c>
      <c r="L297" s="8" t="inlineStr">
        <is>
          <t>ราคาที่ลง ยังไม่รวมภาษี</t>
        </is>
      </c>
    </row>
    <row r="298">
      <c r="B298" s="6" t="inlineStr">
        <is>
          <t>ฮาร์ด แลคเกอร์ Matrix MH-15(NEW) (1L.) 2</t>
        </is>
      </c>
      <c r="C298" s="8" t="inlineStr">
        <is>
          <t>60 กป.</t>
        </is>
      </c>
      <c r="D298" s="9" t="n">
        <v>500</v>
      </c>
      <c r="H298" s="9" t="n">
        <v>30000</v>
      </c>
      <c r="I298" s="10" t="inlineStr">
        <is>
          <t>ทรัพย์สินไทย</t>
        </is>
      </c>
      <c r="J298" s="161" t="n">
        <v>23340</v>
      </c>
      <c r="L298" s="8" t="inlineStr">
        <is>
          <t>ราคาที่ลง ยังไม่รวมภาษี</t>
        </is>
      </c>
    </row>
    <row r="299">
      <c r="B299" s="6" t="inlineStr">
        <is>
          <t>ฮาร์ด แลคเกอร์ Matrix MH-15(NEW) (1L.) 2</t>
        </is>
      </c>
      <c r="C299" s="8" t="inlineStr">
        <is>
          <t>120 กป.</t>
        </is>
      </c>
      <c r="D299" s="9" t="n">
        <v>500</v>
      </c>
      <c r="H299" s="9" t="n">
        <v>60000</v>
      </c>
      <c r="I299" s="10" t="inlineStr">
        <is>
          <t>ทรัพย์สินไทย</t>
        </is>
      </c>
      <c r="J299" s="161" t="n">
        <v>23366</v>
      </c>
      <c r="L299" s="8" t="inlineStr">
        <is>
          <t>ราคาที่ลง ยังไม่รวมภาษี</t>
        </is>
      </c>
    </row>
    <row r="300">
      <c r="B300" s="6" t="inlineStr">
        <is>
          <t>ฮาร์ด แลคเกอร์ Matrix MH-15(NEW) (1L.) 2</t>
        </is>
      </c>
      <c r="C300" s="8" t="inlineStr">
        <is>
          <t>80 กป.</t>
        </is>
      </c>
      <c r="D300" s="9" t="n">
        <v>500</v>
      </c>
      <c r="H300" s="9" t="n">
        <v>40000</v>
      </c>
      <c r="I300" s="10" t="inlineStr">
        <is>
          <t>ทรัพย์สินไทย</t>
        </is>
      </c>
      <c r="J300" s="161" t="n">
        <v>23430</v>
      </c>
      <c r="L300" s="8" t="inlineStr">
        <is>
          <t>ราคาที่ลง ยังไม่รวมภาษี</t>
        </is>
      </c>
    </row>
    <row r="301">
      <c r="B301" s="6" t="inlineStr">
        <is>
          <t>ฮาร์ด แลคเกอร์ Matrix MH-15(NEW) (1L.) 2</t>
        </is>
      </c>
      <c r="C301" s="8" t="inlineStr">
        <is>
          <t>80 กป.</t>
        </is>
      </c>
      <c r="D301" s="9" t="n">
        <v>500</v>
      </c>
      <c r="H301" s="9" t="n">
        <v>40000</v>
      </c>
      <c r="I301" s="10" t="inlineStr">
        <is>
          <t>ทรัพย์สินไทย</t>
        </is>
      </c>
      <c r="J301" s="161" t="n">
        <v>23460</v>
      </c>
      <c r="L301" s="8" t="inlineStr">
        <is>
          <t>ราคาที่ลง ยังไม่รวมภาษี</t>
        </is>
      </c>
    </row>
    <row r="302">
      <c r="B302" s="6" t="inlineStr">
        <is>
          <t>ฮาร์ด แลคเกอร์ Matrix MH-15(NEW) (1L.) 2</t>
        </is>
      </c>
      <c r="C302" s="8" t="inlineStr">
        <is>
          <t>60 กป.</t>
        </is>
      </c>
      <c r="D302" s="9" t="n">
        <v>500</v>
      </c>
      <c r="H302" s="9" t="n">
        <v>30000</v>
      </c>
      <c r="I302" s="10" t="inlineStr">
        <is>
          <t>ทรัพย์สินไทย</t>
        </is>
      </c>
      <c r="J302" s="161" t="n">
        <v>23546</v>
      </c>
      <c r="L302" s="8" t="inlineStr">
        <is>
          <t>ราคาที่ลง ยังไม่รวมภาษี</t>
        </is>
      </c>
    </row>
    <row r="303">
      <c r="B303" s="6" t="inlineStr">
        <is>
          <t>ฮาร์ด แลคเกอร์ Matrix MH-15(NEW) (1L.) 2</t>
        </is>
      </c>
      <c r="C303" s="8" t="inlineStr">
        <is>
          <t>84 กป.</t>
        </is>
      </c>
      <c r="D303" s="9" t="n">
        <v>500</v>
      </c>
      <c r="H303" s="9" t="n">
        <v>42000</v>
      </c>
      <c r="I303" s="10" t="inlineStr">
        <is>
          <t>ทรัพย์สินไทย</t>
        </is>
      </c>
      <c r="J303" s="161" t="n">
        <v>23676</v>
      </c>
      <c r="K303" s="8" t="inlineStr">
        <is>
          <t>IV6410365</t>
        </is>
      </c>
      <c r="L303" s="8" t="inlineStr">
        <is>
          <t>ราคาที่ลง ยังไม่รวมภาษี</t>
        </is>
      </c>
    </row>
    <row r="304">
      <c r="B304" s="6" t="inlineStr">
        <is>
          <t>ฮาร์ด แลคเกอร์ Matrix MH-15(NEW) (1L.) 2</t>
        </is>
      </c>
      <c r="C304" s="8" t="inlineStr">
        <is>
          <t>160 กป.</t>
        </is>
      </c>
      <c r="D304" s="9" t="n">
        <v>500</v>
      </c>
      <c r="H304" s="9" t="n">
        <v>80000</v>
      </c>
      <c r="I304" s="10" t="inlineStr">
        <is>
          <t>ทรัพย์สินไทย</t>
        </is>
      </c>
      <c r="J304" s="161" t="n">
        <v>23704</v>
      </c>
      <c r="K304" s="8" t="inlineStr">
        <is>
          <t>IV6411357</t>
        </is>
      </c>
      <c r="L304" s="8" t="inlineStr">
        <is>
          <t>ราคาที่ลง ยังไม่รวมภาษี</t>
        </is>
      </c>
    </row>
    <row r="305">
      <c r="B305" s="6" t="inlineStr">
        <is>
          <t>ฮาร์ด แลคเกอร์ Matrix MH-15(NEW) (1L.) 2</t>
        </is>
      </c>
      <c r="C305" s="8" t="inlineStr">
        <is>
          <t>160 กป.</t>
        </is>
      </c>
      <c r="D305" s="9" t="n">
        <v>500</v>
      </c>
      <c r="H305" s="9" t="n">
        <v>80000</v>
      </c>
      <c r="I305" s="10" t="inlineStr">
        <is>
          <t>ทรัพย์สินไทย</t>
        </is>
      </c>
      <c r="J305" s="161" t="n">
        <v>23733</v>
      </c>
      <c r="K305" s="8" t="inlineStr">
        <is>
          <t>IV6412301</t>
        </is>
      </c>
      <c r="L305" s="8" t="inlineStr">
        <is>
          <t>ราคาที่ลง ยังไม่รวมภาษี</t>
        </is>
      </c>
    </row>
    <row r="307">
      <c r="B307" s="6" t="inlineStr">
        <is>
          <t>แลคเกอร์ Matrix MS-747 (NEW) (4L.)  4:1</t>
        </is>
      </c>
      <c r="C307" s="8" t="inlineStr">
        <is>
          <t>20 กล.</t>
        </is>
      </c>
      <c r="D307" s="9" t="n">
        <v>650</v>
      </c>
      <c r="H307" s="9" t="n">
        <v>13000</v>
      </c>
      <c r="I307" s="10" t="inlineStr">
        <is>
          <t>ทรัพย์สินไทย</t>
        </is>
      </c>
      <c r="J307" s="161" t="n">
        <v>23062</v>
      </c>
      <c r="L307" s="8" t="inlineStr">
        <is>
          <t>ราคาที่ลง ยังไม่รวมภาษี</t>
        </is>
      </c>
    </row>
    <row r="308">
      <c r="B308" s="6" t="inlineStr">
        <is>
          <t>แลคเกอร์ Matrix MS-747 (NEW) (4L.)  4:1</t>
        </is>
      </c>
      <c r="C308" s="8" t="inlineStr">
        <is>
          <t>30 กล.</t>
        </is>
      </c>
      <c r="D308" s="9" t="n">
        <v>650</v>
      </c>
      <c r="H308" s="9" t="n">
        <v>19500</v>
      </c>
      <c r="I308" s="10" t="inlineStr">
        <is>
          <t>ทรัพย์สินไทย</t>
        </is>
      </c>
      <c r="J308" s="161" t="n">
        <v>23094</v>
      </c>
      <c r="L308" s="8" t="inlineStr">
        <is>
          <t>ราคาที่ลง ยังไม่รวมภาษี</t>
        </is>
      </c>
    </row>
    <row r="309">
      <c r="B309" s="6" t="inlineStr">
        <is>
          <t>แลคเกอร์ Matrix MS-747 (NEW) (4L.)  4:1</t>
        </is>
      </c>
      <c r="C309" s="8" t="inlineStr">
        <is>
          <t>24 กล.</t>
        </is>
      </c>
      <c r="D309" s="9" t="n">
        <v>650</v>
      </c>
      <c r="H309" s="9" t="n">
        <v>15600</v>
      </c>
      <c r="I309" s="10" t="inlineStr">
        <is>
          <t>ทรัพย์สินไทย</t>
        </is>
      </c>
      <c r="J309" s="161" t="n">
        <v>23124</v>
      </c>
      <c r="L309" s="8" t="inlineStr">
        <is>
          <t>ราคาที่ลง ยังไม่รวมภาษี</t>
        </is>
      </c>
    </row>
    <row r="310">
      <c r="B310" s="6" t="inlineStr">
        <is>
          <t>แลคเกอร์ Matrix MS-747 (NEW) (4L.)  4:1</t>
        </is>
      </c>
      <c r="C310" s="8" t="inlineStr">
        <is>
          <t>24 กล.</t>
        </is>
      </c>
      <c r="D310" s="9" t="n">
        <v>650</v>
      </c>
      <c r="H310" s="9" t="n">
        <v>15600</v>
      </c>
      <c r="I310" s="10" t="inlineStr">
        <is>
          <t>ทรัพย์สินไทย</t>
        </is>
      </c>
      <c r="J310" s="161" t="n">
        <v>23187</v>
      </c>
      <c r="L310" s="8" t="inlineStr">
        <is>
          <t>ราคาที่ลง ยังไม่รวมภาษี</t>
        </is>
      </c>
    </row>
    <row r="311">
      <c r="B311" s="6" t="inlineStr">
        <is>
          <t>แลคเกอร์ Matrix MS-747 (NEW) (4L.)  4:1</t>
        </is>
      </c>
      <c r="C311" s="8" t="inlineStr">
        <is>
          <t>24 กล.</t>
        </is>
      </c>
      <c r="D311" s="9" t="n">
        <v>650</v>
      </c>
      <c r="H311" s="9" t="n">
        <v>15600</v>
      </c>
      <c r="I311" s="10" t="inlineStr">
        <is>
          <t>ทรัพย์สินไทย</t>
        </is>
      </c>
      <c r="J311" s="161" t="n">
        <v>23216</v>
      </c>
      <c r="L311" s="8" t="inlineStr">
        <is>
          <t>ราคาที่ลง ยังไม่รวมภาษี</t>
        </is>
      </c>
    </row>
    <row r="312">
      <c r="B312" s="6" t="inlineStr">
        <is>
          <t>แลคเกอร์ Matrix MS-747 (NEW) (4L.)  4:1</t>
        </is>
      </c>
      <c r="C312" s="8" t="inlineStr">
        <is>
          <t>24 กล.</t>
        </is>
      </c>
      <c r="D312" s="9" t="n">
        <v>650</v>
      </c>
      <c r="H312" s="9" t="n">
        <v>15600</v>
      </c>
      <c r="I312" s="10" t="inlineStr">
        <is>
          <t>ทรัพย์สินไทย</t>
        </is>
      </c>
      <c r="J312" s="161" t="n">
        <v>23305</v>
      </c>
      <c r="L312" s="8" t="inlineStr">
        <is>
          <t>ราคาที่ลง ยังไม่รวมภาษี</t>
        </is>
      </c>
    </row>
    <row r="313">
      <c r="B313" s="6" t="inlineStr">
        <is>
          <t>แลคเกอร์ Matrix MS-747 (NEW) (4L.)  4:1</t>
        </is>
      </c>
      <c r="C313" s="8" t="inlineStr">
        <is>
          <t>24 กล.</t>
        </is>
      </c>
      <c r="D313" s="9" t="n">
        <v>650</v>
      </c>
      <c r="H313" s="9" t="n">
        <v>15600</v>
      </c>
      <c r="I313" s="10" t="inlineStr">
        <is>
          <t>ทรัพย์สินไทย</t>
        </is>
      </c>
      <c r="J313" s="161" t="n">
        <v>23337</v>
      </c>
      <c r="L313" s="8" t="inlineStr">
        <is>
          <t>ราคาที่ลง ยังไม่รวมภาษี</t>
        </is>
      </c>
    </row>
    <row r="314">
      <c r="B314" s="6" t="inlineStr">
        <is>
          <t>แลคเกอร์ Matrix MS-747 (NEW) (4L.)  4:1</t>
        </is>
      </c>
      <c r="C314" s="8" t="inlineStr">
        <is>
          <t>30 กล.</t>
        </is>
      </c>
      <c r="D314" s="9" t="n">
        <v>650</v>
      </c>
      <c r="H314" s="9" t="n">
        <v>19500</v>
      </c>
      <c r="I314" s="10" t="inlineStr">
        <is>
          <t>ทรัพย์สินไทย</t>
        </is>
      </c>
      <c r="J314" s="161" t="n">
        <v>23340</v>
      </c>
      <c r="L314" s="8" t="inlineStr">
        <is>
          <t>ราคาที่ลง ยังไม่รวมภาษี</t>
        </is>
      </c>
    </row>
    <row r="315">
      <c r="B315" s="6" t="inlineStr">
        <is>
          <t>แลคเกอร์ Matrix MS-747 (NEW) (4L.)  4:1</t>
        </is>
      </c>
      <c r="C315" s="8" t="inlineStr">
        <is>
          <t>30 กล.</t>
        </is>
      </c>
      <c r="D315" s="9" t="n">
        <v>650</v>
      </c>
      <c r="H315" s="9" t="n">
        <v>19500</v>
      </c>
      <c r="I315" s="10" t="inlineStr">
        <is>
          <t>ทรัพย์สินไทย</t>
        </is>
      </c>
      <c r="J315" s="161" t="n">
        <v>23366</v>
      </c>
      <c r="L315" s="8" t="inlineStr">
        <is>
          <t>ราคาที่ลง ยังไม่รวมภาษี</t>
        </is>
      </c>
    </row>
    <row r="316">
      <c r="B316" s="6" t="inlineStr">
        <is>
          <t>แลคเกอร์ Matrix MS-747 (NEW) (4L.)  4:1</t>
        </is>
      </c>
      <c r="C316" s="8" t="inlineStr">
        <is>
          <t>30 กล.</t>
        </is>
      </c>
      <c r="D316" s="9" t="n">
        <v>650</v>
      </c>
      <c r="H316" s="9" t="n">
        <v>19500</v>
      </c>
      <c r="I316" s="10" t="inlineStr">
        <is>
          <t>ทรัพย์สินไทย</t>
        </is>
      </c>
      <c r="J316" s="161" t="n">
        <v>23430</v>
      </c>
      <c r="L316" s="8" t="inlineStr">
        <is>
          <t>ราคาที่ลง ยังไม่รวมภาษี</t>
        </is>
      </c>
    </row>
    <row r="317">
      <c r="B317" s="6" t="inlineStr">
        <is>
          <t>แลคเกอร์ Matrix MS-747 (NEW) (4L.)  4:1</t>
        </is>
      </c>
      <c r="C317" s="8" t="inlineStr">
        <is>
          <t>30 กล.</t>
        </is>
      </c>
      <c r="D317" s="9" t="n">
        <v>650</v>
      </c>
      <c r="H317" s="9" t="n">
        <v>19500</v>
      </c>
      <c r="I317" s="10" t="inlineStr">
        <is>
          <t>ทรัพย์สินไทย</t>
        </is>
      </c>
      <c r="J317" s="161" t="n">
        <v>23546</v>
      </c>
      <c r="L317" s="8" t="inlineStr">
        <is>
          <t>ราคาที่ลง ยังไม่รวมภาษี</t>
        </is>
      </c>
    </row>
    <row r="318">
      <c r="B318" s="6" t="inlineStr">
        <is>
          <t>แลคเกอร์ Matrix MS-747 (NEW) (4L.)  4:1</t>
        </is>
      </c>
      <c r="C318" s="8" t="inlineStr">
        <is>
          <t>10 กล.</t>
        </is>
      </c>
      <c r="D318" s="9" t="n">
        <v>650</v>
      </c>
      <c r="H318" s="9" t="n">
        <v>6500</v>
      </c>
      <c r="I318" s="10" t="inlineStr">
        <is>
          <t>ทรัพย์สินไทย</t>
        </is>
      </c>
      <c r="J318" s="161" t="n">
        <v>23549</v>
      </c>
      <c r="L318" s="8" t="inlineStr">
        <is>
          <t>ราคาที่ลง ยังไม่รวมภาษี</t>
        </is>
      </c>
    </row>
    <row r="319">
      <c r="B319" s="6" t="inlineStr">
        <is>
          <t>แลคเกอร์ Matrix MS-747 (NEW) (4L.)  4:1</t>
        </is>
      </c>
      <c r="C319" s="8" t="inlineStr">
        <is>
          <t>40 กล.</t>
        </is>
      </c>
      <c r="D319" s="9" t="n">
        <v>650</v>
      </c>
      <c r="H319" s="9" t="n">
        <v>26000</v>
      </c>
      <c r="I319" s="10" t="inlineStr">
        <is>
          <t>ทรัพย์สินไทย</t>
        </is>
      </c>
      <c r="J319" s="161" t="n">
        <v>23584</v>
      </c>
      <c r="L319" s="8" t="inlineStr">
        <is>
          <t>ราคาที่ลง ยังไม่รวมภาษี</t>
        </is>
      </c>
    </row>
    <row r="320">
      <c r="B320" s="6" t="inlineStr">
        <is>
          <t>แลคเกอร์ Matrix MS-747 (NEW) (4L.)  4:1</t>
        </is>
      </c>
      <c r="C320" s="8" t="inlineStr">
        <is>
          <t>24 กล.</t>
        </is>
      </c>
      <c r="D320" s="9" t="n">
        <v>650</v>
      </c>
      <c r="H320" s="9" t="n">
        <v>15600</v>
      </c>
      <c r="I320" s="10" t="inlineStr">
        <is>
          <t>ทรัพย์สินไทย</t>
        </is>
      </c>
      <c r="J320" s="161" t="n">
        <v>23642</v>
      </c>
      <c r="K320" s="8" t="inlineStr">
        <is>
          <t>IV6409286</t>
        </is>
      </c>
      <c r="L320" s="8" t="inlineStr">
        <is>
          <t>ราคาที่ลง ยังไม่รวมภาษี</t>
        </is>
      </c>
    </row>
    <row r="321">
      <c r="B321" s="6" t="inlineStr">
        <is>
          <t>แลคเกอร์ Matrix MS-747 (NEW) (4L.)  4:1</t>
        </is>
      </c>
      <c r="C321" s="8" t="inlineStr">
        <is>
          <t>24 กล.</t>
        </is>
      </c>
      <c r="D321" s="9" t="n">
        <v>650</v>
      </c>
      <c r="H321" s="9" t="n">
        <v>15600</v>
      </c>
      <c r="I321" s="10" t="inlineStr">
        <is>
          <t>ทรัพย์สินไทย</t>
        </is>
      </c>
      <c r="J321" s="161" t="n">
        <v>23676</v>
      </c>
      <c r="K321" s="8" t="inlineStr">
        <is>
          <t>IV6410365</t>
        </is>
      </c>
      <c r="L321" s="8" t="inlineStr">
        <is>
          <t>ราคาที่ลง ยังไม่รวมภาษี</t>
        </is>
      </c>
    </row>
    <row r="322">
      <c r="B322" s="6" t="inlineStr">
        <is>
          <t>แลคเกอร์ Matrix MS-747 (NEW) (4L.)  4:1</t>
        </is>
      </c>
      <c r="C322" s="8" t="inlineStr">
        <is>
          <t>40 กล.</t>
        </is>
      </c>
      <c r="D322" s="9" t="n">
        <v>650</v>
      </c>
      <c r="H322" s="9" t="n">
        <v>26000</v>
      </c>
      <c r="I322" s="10" t="inlineStr">
        <is>
          <t>ทรัพย์สินไทย</t>
        </is>
      </c>
      <c r="J322" s="161" t="n">
        <v>23704</v>
      </c>
      <c r="K322" s="8" t="inlineStr">
        <is>
          <t>IV6411357</t>
        </is>
      </c>
      <c r="L322" s="8" t="inlineStr">
        <is>
          <t>ราคาที่ลง ยังไม่รวมภาษี</t>
        </is>
      </c>
    </row>
    <row r="323">
      <c r="B323" s="6" t="inlineStr">
        <is>
          <t>แลคเกอร์ Matrix MS-747 (NEW) (4L.)  4:1</t>
        </is>
      </c>
      <c r="C323" s="8" t="inlineStr">
        <is>
          <t>40 กล.</t>
        </is>
      </c>
      <c r="D323" s="9" t="n">
        <v>650</v>
      </c>
      <c r="H323" s="9" t="n">
        <v>26000</v>
      </c>
      <c r="I323" s="10" t="inlineStr">
        <is>
          <t>ทรัพย์สินไทย</t>
        </is>
      </c>
      <c r="J323" s="161" t="n">
        <v>23733</v>
      </c>
      <c r="K323" s="8" t="inlineStr">
        <is>
          <t>IV6412301</t>
        </is>
      </c>
      <c r="L323" s="8" t="inlineStr">
        <is>
          <t>ราคาที่ลง ยังไม่รวมภาษี</t>
        </is>
      </c>
    </row>
    <row r="324">
      <c r="B324" s="6" t="inlineStr">
        <is>
          <t>แลคเกอร์ Matrix MS-747 (NEW) (4L.)  4:1</t>
        </is>
      </c>
      <c r="C324" s="8" t="inlineStr">
        <is>
          <t>40 กล.</t>
        </is>
      </c>
      <c r="D324" s="9" t="n">
        <v>650</v>
      </c>
      <c r="H324" s="9" t="n">
        <v>26000</v>
      </c>
      <c r="I324" s="10" t="inlineStr">
        <is>
          <t>ทรัพย์สินไทย</t>
        </is>
      </c>
      <c r="J324" s="161" t="n">
        <v>23824</v>
      </c>
      <c r="K324" s="8" t="inlineStr">
        <is>
          <t>IV6503299</t>
        </is>
      </c>
      <c r="L324" s="8" t="inlineStr">
        <is>
          <t>ราคาที่ลง ยังไม่รวมภาษี</t>
        </is>
      </c>
    </row>
    <row r="325">
      <c r="B325" s="6" t="inlineStr">
        <is>
          <t>แลคเกอร์ Matrix MS-747 (NEW) (4L.)  4:1</t>
        </is>
      </c>
      <c r="C325" s="8" t="inlineStr">
        <is>
          <t>30 กล.</t>
        </is>
      </c>
      <c r="D325" s="9" t="n">
        <v>650</v>
      </c>
      <c r="H325" s="9" t="n">
        <v>19500</v>
      </c>
      <c r="I325" s="10" t="inlineStr">
        <is>
          <t>ทรัพย์สินไทย</t>
        </is>
      </c>
      <c r="J325" s="161" t="n">
        <v>23859</v>
      </c>
      <c r="K325" s="8" t="inlineStr">
        <is>
          <t>IV6504237</t>
        </is>
      </c>
      <c r="L325" s="8" t="inlineStr">
        <is>
          <t>ราคาที่ลง ยังไม่รวมภาษี</t>
        </is>
      </c>
    </row>
    <row r="326">
      <c r="B326" s="6" t="inlineStr">
        <is>
          <t>แลคเกอร์ Matrix MS-747 (NEW) (4L.)  4:1</t>
        </is>
      </c>
      <c r="C326" s="8" t="inlineStr">
        <is>
          <t>40 กล.</t>
        </is>
      </c>
      <c r="D326" s="9" t="n">
        <v>650</v>
      </c>
      <c r="H326" s="9" t="n">
        <v>26000</v>
      </c>
      <c r="I326" s="10" t="inlineStr">
        <is>
          <t>ทรัพย์สินไทย</t>
        </is>
      </c>
      <c r="J326" s="161" t="n">
        <v>23887</v>
      </c>
      <c r="K326" s="8" t="inlineStr">
        <is>
          <t>IV6506292</t>
        </is>
      </c>
      <c r="L326" s="8" t="inlineStr">
        <is>
          <t>ราคาที่ลง ยังไม่รวมภาษี</t>
        </is>
      </c>
    </row>
    <row r="327">
      <c r="B327" s="6" t="inlineStr">
        <is>
          <t>แลคเกอร์ Matrix MS-747 (NEW) (4L.)  4:1</t>
        </is>
      </c>
      <c r="C327" s="8" t="inlineStr">
        <is>
          <t>40 กล.</t>
        </is>
      </c>
      <c r="D327" s="9" t="n">
        <v>650</v>
      </c>
      <c r="H327" s="9" t="n">
        <v>26000</v>
      </c>
      <c r="I327" s="10" t="inlineStr">
        <is>
          <t>ทรัพย์สินไทย</t>
        </is>
      </c>
      <c r="J327" s="161" t="n">
        <v>23920</v>
      </c>
      <c r="K327" s="8" t="inlineStr">
        <is>
          <t>IV6506338</t>
        </is>
      </c>
      <c r="L327" s="8" t="inlineStr">
        <is>
          <t>ราคาที่ลง ยังไม่รวมภาษี</t>
        </is>
      </c>
    </row>
    <row r="329">
      <c r="A329" s="80" t="inlineStr">
        <is>
          <t>ใช้กับงานรอบคัน/ครึ่งคัน</t>
        </is>
      </c>
      <c r="B329" s="6" t="inlineStr">
        <is>
          <t>แลคเกอร์ BRM PREMIUM 2:1</t>
        </is>
      </c>
      <c r="C329" s="8" t="inlineStr">
        <is>
          <t>30กล.</t>
        </is>
      </c>
      <c r="D329" s="9" t="n">
        <v>780</v>
      </c>
      <c r="H329" s="9" t="n">
        <v>23400</v>
      </c>
      <c r="I329" s="10" t="inlineStr">
        <is>
          <t>บจก. วีที คัลเลอร์ โปร</t>
        </is>
      </c>
      <c r="J329" s="161" t="n">
        <v>24005</v>
      </c>
      <c r="K329" s="8" t="inlineStr">
        <is>
          <t>IV183-65</t>
        </is>
      </c>
      <c r="L329" s="8" t="inlineStr">
        <is>
          <t>ราคาที่ลง ยังไม่รวมภาษี</t>
        </is>
      </c>
    </row>
    <row r="330">
      <c r="A330" s="67" t="inlineStr">
        <is>
          <t>1ลัง = 6กล.</t>
        </is>
      </c>
      <c r="B330" s="6" t="inlineStr">
        <is>
          <t>แลคเกอร์ BRM PREMIUM 2:1</t>
        </is>
      </c>
      <c r="C330" s="8" t="inlineStr">
        <is>
          <t>24กล.</t>
        </is>
      </c>
      <c r="D330" s="9" t="n">
        <v>780</v>
      </c>
      <c r="H330" s="9" t="n">
        <v>18720</v>
      </c>
      <c r="I330" s="10" t="inlineStr">
        <is>
          <t>บจก. วีที คัลเลอร์ โปร</t>
        </is>
      </c>
      <c r="J330" s="161" t="n">
        <v>24040</v>
      </c>
      <c r="K330" s="8" t="inlineStr">
        <is>
          <t>IV227-65</t>
        </is>
      </c>
      <c r="L330" s="8" t="inlineStr">
        <is>
          <t>ราคาที่ลง ยังไม่รวมภาษี</t>
        </is>
      </c>
    </row>
    <row r="331">
      <c r="B331" s="6" t="inlineStr">
        <is>
          <t>แลคเกอร์ BRM PREMIUM 2:1</t>
        </is>
      </c>
      <c r="C331" s="8" t="inlineStr">
        <is>
          <t>24กล.</t>
        </is>
      </c>
      <c r="D331" s="9" t="n">
        <v>780</v>
      </c>
      <c r="H331" s="9" t="n">
        <v>18720</v>
      </c>
      <c r="I331" s="10" t="inlineStr">
        <is>
          <t>บจก. วีที คัลเลอร์ โปร</t>
        </is>
      </c>
      <c r="J331" s="161" t="n">
        <v>24069</v>
      </c>
      <c r="K331" s="8" t="inlineStr">
        <is>
          <t>IV275-65</t>
        </is>
      </c>
      <c r="L331" s="8" t="inlineStr">
        <is>
          <t>ราคาที่ลง ยังไม่รวมภาษี</t>
        </is>
      </c>
    </row>
    <row r="332">
      <c r="B332" s="6" t="inlineStr">
        <is>
          <t>แลคเกอร์ BRM PREMIUM 2:1</t>
        </is>
      </c>
      <c r="C332" s="8" t="inlineStr">
        <is>
          <t>24กล.</t>
        </is>
      </c>
      <c r="D332" s="9" t="n">
        <v>780</v>
      </c>
      <c r="H332" s="9" t="n">
        <v>18720</v>
      </c>
      <c r="I332" s="10" t="inlineStr">
        <is>
          <t>บจก. วีที คัลเลอร์ โปร</t>
        </is>
      </c>
      <c r="J332" s="161" t="n">
        <v>24095</v>
      </c>
      <c r="K332" s="8" t="inlineStr">
        <is>
          <t>IV318-65</t>
        </is>
      </c>
      <c r="L332" s="8" t="inlineStr">
        <is>
          <t>ราคาที่ลง ยังไม่รวมภาษี</t>
        </is>
      </c>
    </row>
    <row r="333">
      <c r="B333" s="6" t="inlineStr">
        <is>
          <t>แลคเกอร์ BRM PREMIUM 2:1</t>
        </is>
      </c>
      <c r="C333" s="8" t="inlineStr">
        <is>
          <t>30กล.</t>
        </is>
      </c>
      <c r="D333" s="9" t="n">
        <v>780</v>
      </c>
      <c r="H333" s="9" t="n">
        <v>23400</v>
      </c>
      <c r="I333" s="10" t="inlineStr">
        <is>
          <t>บจก. วีที คัลเลอร์ โปร</t>
        </is>
      </c>
      <c r="J333" s="161" t="n">
        <v>24127</v>
      </c>
      <c r="K333" s="8" t="inlineStr">
        <is>
          <t>IV042-66</t>
        </is>
      </c>
      <c r="L333" s="8" t="inlineStr">
        <is>
          <t>ราคาที่ลง ยังไม่รวมภาษี</t>
        </is>
      </c>
    </row>
    <row r="334">
      <c r="B334" s="6" t="inlineStr">
        <is>
          <t>แลคเกอร์ BRM PREMIUM 2:1</t>
        </is>
      </c>
      <c r="C334" s="8" t="inlineStr">
        <is>
          <t>30กล.</t>
        </is>
      </c>
      <c r="D334" s="9" t="n">
        <v>780</v>
      </c>
      <c r="H334" s="9" t="n">
        <v>23400</v>
      </c>
      <c r="I334" s="10" t="inlineStr">
        <is>
          <t>บจก. วีที คัลเลอร์ โปร</t>
        </is>
      </c>
      <c r="J334" s="161" t="n">
        <v>24160</v>
      </c>
      <c r="K334" s="8" t="inlineStr">
        <is>
          <t>IV114-66</t>
        </is>
      </c>
      <c r="L334" s="8" t="inlineStr">
        <is>
          <t>ราคาที่ลง ยังไม่รวมภาษี</t>
        </is>
      </c>
    </row>
    <row r="335">
      <c r="B335" s="6" t="inlineStr">
        <is>
          <t>แลคเกอร์ BRM PREMIUM 2:1</t>
        </is>
      </c>
      <c r="C335" s="8" t="inlineStr">
        <is>
          <t>30กล.</t>
        </is>
      </c>
      <c r="D335" s="9" t="n">
        <v>780</v>
      </c>
      <c r="H335" s="9" t="n">
        <v>23400</v>
      </c>
      <c r="I335" s="10" t="inlineStr">
        <is>
          <t>บจก. วีที คัลเลอร์ โปร</t>
        </is>
      </c>
      <c r="J335" s="161" t="n">
        <v>24221</v>
      </c>
      <c r="K335" s="8" t="inlineStr">
        <is>
          <t>IV226-66</t>
        </is>
      </c>
      <c r="L335" s="8" t="inlineStr">
        <is>
          <t>ราคาที่ลง ยังไม่รวมภาษี</t>
        </is>
      </c>
    </row>
    <row r="336">
      <c r="B336" s="6" t="inlineStr">
        <is>
          <t>แลคเกอร์ BRM PREMIUM 2:1</t>
        </is>
      </c>
      <c r="C336" s="8" t="inlineStr">
        <is>
          <t>30กล.</t>
        </is>
      </c>
      <c r="D336" s="9" t="n">
        <v>780</v>
      </c>
      <c r="H336" s="9" t="n">
        <v>23400</v>
      </c>
      <c r="I336" s="10" t="inlineStr">
        <is>
          <t>บจก. วีที คัลเลอร์ โปร</t>
        </is>
      </c>
      <c r="J336" s="161" t="n">
        <v>24282</v>
      </c>
      <c r="K336" s="8" t="inlineStr">
        <is>
          <t>IV354-66</t>
        </is>
      </c>
      <c r="L336" s="8" t="inlineStr">
        <is>
          <t>ราคาที่ลง ยังไม่รวมภาษี</t>
        </is>
      </c>
    </row>
    <row r="337">
      <c r="B337" s="6" t="inlineStr">
        <is>
          <t>แลคเกอร์ BRM PREMIUM 2:1</t>
        </is>
      </c>
      <c r="C337" s="8" t="inlineStr">
        <is>
          <t>15กล.</t>
        </is>
      </c>
      <c r="D337" s="9" t="n">
        <v>780</v>
      </c>
      <c r="H337" s="9" t="n">
        <v>11700</v>
      </c>
      <c r="I337" s="10" t="inlineStr">
        <is>
          <t>บจก. วีที คัลเลอร์ โปร</t>
        </is>
      </c>
      <c r="J337" s="161" t="n">
        <v>24315</v>
      </c>
      <c r="K337" s="8" t="inlineStr">
        <is>
          <t>IV425-66</t>
        </is>
      </c>
      <c r="L337" s="8" t="inlineStr">
        <is>
          <t>ราคาที่ลง ยังไม่รวมภาษี</t>
        </is>
      </c>
    </row>
    <row r="338">
      <c r="B338" s="6" t="inlineStr">
        <is>
          <t>แลคเกอร์ BRM PREMIUM 2:1</t>
        </is>
      </c>
      <c r="C338" s="8" t="n">
        <v>30</v>
      </c>
      <c r="D338" s="9" t="n">
        <v>780</v>
      </c>
      <c r="H338" s="9">
        <f>SUM(D338*C338)</f>
        <v/>
      </c>
      <c r="I338" s="10" t="inlineStr">
        <is>
          <t>บจก. วีที คัลเลอร์ โปร</t>
        </is>
      </c>
      <c r="J338" s="161" t="n">
        <v>24340</v>
      </c>
      <c r="K338" s="8" t="inlineStr">
        <is>
          <t>IV470-66</t>
        </is>
      </c>
      <c r="L338" s="8" t="inlineStr">
        <is>
          <t>ราคาที่ลง ยังไม่รวมภาษี</t>
        </is>
      </c>
    </row>
    <row r="339">
      <c r="B339" s="6" t="inlineStr">
        <is>
          <t>แลคเกอร์ BRM PREMIUM 2:1</t>
        </is>
      </c>
      <c r="C339" s="8" t="n">
        <v>24</v>
      </c>
      <c r="D339" s="9" t="n">
        <v>780</v>
      </c>
      <c r="H339" s="9">
        <f>SUM(D339*C339)</f>
        <v/>
      </c>
      <c r="I339" s="10" t="inlineStr">
        <is>
          <t>บจก. วีที คัลเลอร์ โปร</t>
        </is>
      </c>
      <c r="J339" s="161" t="n">
        <v>24372</v>
      </c>
      <c r="K339" s="8" t="inlineStr">
        <is>
          <t>IV542-66</t>
        </is>
      </c>
      <c r="L339" s="8" t="inlineStr">
        <is>
          <t>ราคาที่ลง ยังไม่รวมภาษี</t>
        </is>
      </c>
    </row>
    <row r="340">
      <c r="B340" s="6" t="inlineStr">
        <is>
          <t>แลคเกอร์ BRM PREMIUM 2:1</t>
        </is>
      </c>
      <c r="C340" s="8" t="n">
        <v>30</v>
      </c>
      <c r="D340" s="9" t="n">
        <v>780</v>
      </c>
      <c r="H340" s="9">
        <f>SUM(D340*C340)</f>
        <v/>
      </c>
      <c r="I340" s="10" t="inlineStr">
        <is>
          <t>บจก. วีที คัลเลอร์ โปร</t>
        </is>
      </c>
      <c r="J340" s="161" t="n">
        <v>24401</v>
      </c>
      <c r="K340" s="8" t="inlineStr">
        <is>
          <t>IV685-66</t>
        </is>
      </c>
      <c r="L340" s="8" t="inlineStr">
        <is>
          <t>ราคาที่ลง ยังไม่รวมภาษี</t>
        </is>
      </c>
    </row>
    <row r="341">
      <c r="B341" s="6" t="inlineStr">
        <is>
          <t>แลคเกอร์ BRM PREMIUM 2:1</t>
        </is>
      </c>
      <c r="C341" s="8" t="n">
        <v>30</v>
      </c>
      <c r="D341" s="9" t="n">
        <v>780</v>
      </c>
      <c r="H341" s="9">
        <f>SUM(D341*C341)</f>
        <v/>
      </c>
      <c r="I341" s="10" t="inlineStr">
        <is>
          <t>บจก. วีที คัลเลอร์ โปร</t>
        </is>
      </c>
      <c r="J341" s="161" t="n">
        <v>24462</v>
      </c>
      <c r="K341" s="8" t="inlineStr">
        <is>
          <t>IV764-66</t>
        </is>
      </c>
      <c r="L341" s="8" t="inlineStr">
        <is>
          <t>ราคาที่ลง ยังไม่รวมภาษี</t>
        </is>
      </c>
    </row>
    <row r="342">
      <c r="B342" s="6" t="inlineStr">
        <is>
          <t>แลคเกอร์ BRM PREMIUM 2:1</t>
        </is>
      </c>
      <c r="C342" s="8" t="n">
        <v>12</v>
      </c>
      <c r="D342" s="9" t="n">
        <v>780</v>
      </c>
      <c r="H342" s="9">
        <f>SUM(D342*C342)</f>
        <v/>
      </c>
      <c r="I342" s="10" t="inlineStr">
        <is>
          <t>บจก. วีที คัลเลอร์ โปร</t>
        </is>
      </c>
      <c r="J342" s="161" t="n">
        <v>24496</v>
      </c>
      <c r="K342" s="8" t="inlineStr">
        <is>
          <t>IV6701080</t>
        </is>
      </c>
      <c r="L342" s="8" t="inlineStr">
        <is>
          <t>ราคาที่ลง ยังไม่รวมภาษี</t>
        </is>
      </c>
    </row>
    <row r="343">
      <c r="B343" s="6" t="inlineStr">
        <is>
          <t>แลคเกอร์ BRM PREMIUM 2:1</t>
        </is>
      </c>
      <c r="C343" s="8" t="n">
        <v>24</v>
      </c>
      <c r="D343" s="9" t="n">
        <v>780</v>
      </c>
      <c r="H343" s="9">
        <f>SUM(D343*C343)</f>
        <v/>
      </c>
      <c r="I343" s="10" t="inlineStr">
        <is>
          <t>บจก. วีที คัลเลอร์ โปร</t>
        </is>
      </c>
      <c r="J343" s="161" t="n">
        <v>24529</v>
      </c>
      <c r="K343" s="8" t="inlineStr">
        <is>
          <t>IV6702104</t>
        </is>
      </c>
      <c r="L343" s="8" t="inlineStr">
        <is>
          <t>ราคาที่ลง ยังไม่รวมภาษี</t>
        </is>
      </c>
    </row>
    <row r="344">
      <c r="B344" s="6" t="inlineStr">
        <is>
          <t>แลคเกอร์ HYBRID PREMIUM 2:1</t>
        </is>
      </c>
      <c r="C344" s="8" t="n">
        <v>24</v>
      </c>
      <c r="D344" s="9" t="n">
        <v>780</v>
      </c>
      <c r="H344" s="9">
        <f>SUM(D344*C344)</f>
        <v/>
      </c>
      <c r="I344" s="10" t="inlineStr">
        <is>
          <t>บจก. วีที คัลเลอร์ โปร</t>
        </is>
      </c>
      <c r="J344" s="161" t="n">
        <v>24550</v>
      </c>
      <c r="K344" s="8" t="inlineStr">
        <is>
          <t>IV6703087</t>
        </is>
      </c>
      <c r="L344" s="8" t="inlineStr">
        <is>
          <t>ราคาที่ลง ยังไม่รวมภาษี</t>
        </is>
      </c>
    </row>
    <row r="345">
      <c r="B345" s="6" t="inlineStr">
        <is>
          <t>แลคเกอร์ HYBRID PREMIUM 2:1</t>
        </is>
      </c>
      <c r="C345" s="8" t="n">
        <v>36</v>
      </c>
      <c r="D345" s="9" t="n">
        <v>780</v>
      </c>
      <c r="H345" s="9">
        <f>SUM(D345*C345)</f>
        <v/>
      </c>
      <c r="I345" s="10" t="inlineStr">
        <is>
          <t>บจก. วีที คัลเลอร์ โปร</t>
        </is>
      </c>
      <c r="J345" s="161" t="n">
        <v>24584</v>
      </c>
      <c r="K345" s="8" t="inlineStr">
        <is>
          <t>IV6704071</t>
        </is>
      </c>
      <c r="L345" s="8" t="inlineStr">
        <is>
          <t>ราคาที่ลง ยังไม่รวมภาษี</t>
        </is>
      </c>
    </row>
    <row r="346">
      <c r="B346" s="6" t="inlineStr">
        <is>
          <t>แลคเกอร์ HYBRID PREMIUM 2:1</t>
        </is>
      </c>
      <c r="C346" s="8" t="n">
        <v>36</v>
      </c>
      <c r="D346" s="9" t="n">
        <v>780</v>
      </c>
      <c r="H346" s="9">
        <f>SUM(D346*C346)</f>
        <v/>
      </c>
      <c r="I346" s="10" t="inlineStr">
        <is>
          <t>บจก. วีที คัลเลอร์ โปร</t>
        </is>
      </c>
      <c r="J346" s="161" t="n">
        <v>24613</v>
      </c>
      <c r="K346" s="8" t="inlineStr">
        <is>
          <t>IV6705105</t>
        </is>
      </c>
      <c r="L346" s="8" t="inlineStr">
        <is>
          <t>ราคาที่ลง ยังไม่รวมภาษี</t>
        </is>
      </c>
    </row>
    <row r="347">
      <c r="B347" s="6" t="inlineStr">
        <is>
          <t>แลคเกอร์ HYBRID PREMIUM 2:1</t>
        </is>
      </c>
      <c r="C347" s="8" t="n">
        <v>36</v>
      </c>
      <c r="D347" s="9" t="n">
        <v>780</v>
      </c>
      <c r="H347" s="9">
        <f>SUM(D347*C347)</f>
        <v/>
      </c>
      <c r="I347" s="10" t="inlineStr">
        <is>
          <t>บจก. วีที คัลเลอร์ โปร</t>
        </is>
      </c>
      <c r="J347" s="161" t="n">
        <v>24644</v>
      </c>
      <c r="K347" s="8" t="inlineStr">
        <is>
          <t>IV6706124</t>
        </is>
      </c>
      <c r="L347" s="8" t="inlineStr">
        <is>
          <t>ราคาที่ลง ยังไม่รวมภาษี</t>
        </is>
      </c>
    </row>
    <row r="348">
      <c r="B348" s="6" t="inlineStr">
        <is>
          <t>แลคเกอร์ HYBRID PREMIUM 2:1</t>
        </is>
      </c>
      <c r="C348" s="8" t="n">
        <v>36</v>
      </c>
      <c r="D348" s="9" t="n">
        <v>780</v>
      </c>
      <c r="H348" s="9">
        <f>SUM(D348*C348)</f>
        <v/>
      </c>
      <c r="I348" s="10" t="inlineStr">
        <is>
          <t>บจก. วีที คัลเลอร์ โปร</t>
        </is>
      </c>
      <c r="J348" s="161" t="n">
        <v>24676</v>
      </c>
      <c r="K348" s="8" t="inlineStr">
        <is>
          <t>IV6707131</t>
        </is>
      </c>
      <c r="L348" s="8" t="inlineStr">
        <is>
          <t>ราคาที่ลง ยังไม่รวมภาษี</t>
        </is>
      </c>
    </row>
    <row r="349">
      <c r="B349" s="6" t="inlineStr">
        <is>
          <t>แลคเกอร์ HYBRID PREMIUM 2:1</t>
        </is>
      </c>
      <c r="C349" s="8" t="n">
        <v>24</v>
      </c>
      <c r="D349" s="9" t="n">
        <v>780</v>
      </c>
      <c r="H349" s="9">
        <f>SUM(D349*C349)</f>
        <v/>
      </c>
      <c r="I349" s="10" t="inlineStr">
        <is>
          <t>บจก. วีที คัลเลอร์ โปร</t>
        </is>
      </c>
      <c r="J349" s="161" t="n">
        <v>24707</v>
      </c>
      <c r="K349" s="8" t="inlineStr">
        <is>
          <t>IV6708117</t>
        </is>
      </c>
      <c r="L349" s="8" t="inlineStr">
        <is>
          <t>ราคาที่ลง ยังไม่รวมภาษี</t>
        </is>
      </c>
    </row>
    <row r="350">
      <c r="B350" s="6" t="inlineStr">
        <is>
          <t>แลคเกอร์ HYBRID PREMIUM 2:1</t>
        </is>
      </c>
      <c r="C350" s="8" t="n">
        <v>12</v>
      </c>
      <c r="D350" s="9" t="n">
        <v>780</v>
      </c>
      <c r="H350" s="9">
        <f>SUM(D350*C350)</f>
        <v/>
      </c>
      <c r="I350" s="10" t="inlineStr">
        <is>
          <t>บจก. วีที คัลเลอร์ โปร</t>
        </is>
      </c>
      <c r="J350" s="161" t="n">
        <v>24739</v>
      </c>
      <c r="K350" s="8" t="inlineStr">
        <is>
          <t>IV6709123</t>
        </is>
      </c>
      <c r="L350" s="8" t="inlineStr">
        <is>
          <t>ราคาที่ลง ยังไม่รวมภาษี</t>
        </is>
      </c>
    </row>
    <row r="351">
      <c r="B351" s="6" t="inlineStr">
        <is>
          <t>แลคเกอร์ HYBRID PREMIUM 2:1</t>
        </is>
      </c>
      <c r="C351" s="8" t="n">
        <v>24</v>
      </c>
      <c r="D351" s="9" t="n">
        <v>780</v>
      </c>
      <c r="H351" s="9">
        <f>SUM(D351*C351)</f>
        <v/>
      </c>
      <c r="I351" s="10" t="inlineStr">
        <is>
          <t>บจก. วีที คัลเลอร์ โปร</t>
        </is>
      </c>
      <c r="J351" s="161" t="n">
        <v>24766</v>
      </c>
      <c r="K351" s="8" t="inlineStr">
        <is>
          <t>IV6710109</t>
        </is>
      </c>
      <c r="L351" s="8" t="inlineStr">
        <is>
          <t>ราคาที่ลง ยังไม่รวมภาษี</t>
        </is>
      </c>
    </row>
    <row r="352">
      <c r="B352" s="6" t="inlineStr">
        <is>
          <t>แลคเกอร์ HYBRID PREMIUM 2:1</t>
        </is>
      </c>
      <c r="C352" s="8" t="n">
        <v>30</v>
      </c>
      <c r="D352" s="9" t="n">
        <v>780</v>
      </c>
      <c r="H352" s="9">
        <f>SUM(D352*C352)</f>
        <v/>
      </c>
      <c r="I352" s="10" t="inlineStr">
        <is>
          <t>บจก. วีที คัลเลอร์ โปร</t>
        </is>
      </c>
      <c r="J352" s="161" t="n">
        <v>24795</v>
      </c>
      <c r="K352" s="8" t="inlineStr">
        <is>
          <t>IV6711104</t>
        </is>
      </c>
      <c r="L352" s="8" t="inlineStr">
        <is>
          <t>ราคาที่ลง ยังไม่รวมภาษี</t>
        </is>
      </c>
    </row>
    <row r="353">
      <c r="B353" s="6" t="inlineStr">
        <is>
          <t>แลคเกอร์ HYBRID PREMIUM 2:1</t>
        </is>
      </c>
      <c r="C353" s="8" t="n">
        <v>30</v>
      </c>
      <c r="D353" s="9" t="n">
        <v>780</v>
      </c>
      <c r="H353" s="9">
        <f>SUM(D353*C353)</f>
        <v/>
      </c>
      <c r="I353" s="10" t="inlineStr">
        <is>
          <t>บจก. วีที คัลเลอร์ โปร</t>
        </is>
      </c>
      <c r="J353" s="161" t="n">
        <v>24824</v>
      </c>
      <c r="K353" s="8" t="inlineStr">
        <is>
          <t>IV6712085</t>
        </is>
      </c>
      <c r="L353" s="8" t="inlineStr">
        <is>
          <t>ราคาที่ลง ยังไม่รวมภาษี</t>
        </is>
      </c>
    </row>
    <row r="354">
      <c r="B354" s="6" t="inlineStr">
        <is>
          <t>แลคเกอร์ HYBRID PREMIUM 2:1</t>
        </is>
      </c>
      <c r="C354" s="8" t="n">
        <v>30</v>
      </c>
      <c r="D354" s="9" t="n">
        <v>834.6</v>
      </c>
      <c r="H354" s="9">
        <f>SUM(D354*C354)</f>
        <v/>
      </c>
      <c r="I354" s="10" t="inlineStr">
        <is>
          <t>บจก. วีที คัลเลอร์ โปร</t>
        </is>
      </c>
      <c r="J354" s="161" t="n">
        <v>24858</v>
      </c>
      <c r="K354" s="8" t="inlineStr">
        <is>
          <t>IV6801106</t>
        </is>
      </c>
      <c r="L354" s="8" t="inlineStr">
        <is>
          <t>ราคารวม VAT แล้ว</t>
        </is>
      </c>
    </row>
    <row r="355">
      <c r="B355" s="6" t="inlineStr">
        <is>
          <t>แลคเกอร์ HYBRID PREMIUM 2:1</t>
        </is>
      </c>
      <c r="C355" s="8" t="n">
        <v>30</v>
      </c>
      <c r="D355" s="9" t="n">
        <v>834.6</v>
      </c>
      <c r="H355" s="9">
        <f>SUM(D355*C355)</f>
        <v/>
      </c>
      <c r="I355" s="10" t="inlineStr">
        <is>
          <t>บจก. วีที คัลเลอร์ โปร</t>
        </is>
      </c>
      <c r="J355" s="161" t="n">
        <v>24892</v>
      </c>
      <c r="K355" s="8" t="inlineStr">
        <is>
          <t>IV6802145</t>
        </is>
      </c>
      <c r="L355" s="8" t="inlineStr">
        <is>
          <t>ราคารวม VAT แล้ว</t>
        </is>
      </c>
    </row>
    <row r="356">
      <c r="B356" s="6" t="inlineStr">
        <is>
          <t>แลคเกอร์ HYBRID PREMIUM 2:1</t>
        </is>
      </c>
      <c r="C356" s="8" t="n">
        <v>30</v>
      </c>
      <c r="D356" s="9" t="n">
        <v>834.6</v>
      </c>
      <c r="H356" s="9">
        <f>SUM(D356*C356)</f>
        <v/>
      </c>
      <c r="I356" s="10" t="inlineStr">
        <is>
          <t>บจก. วีที คัลเลอร์ โปร</t>
        </is>
      </c>
      <c r="J356" s="161" t="n">
        <v>24923</v>
      </c>
      <c r="K356" s="8" t="inlineStr">
        <is>
          <t>IV6803172</t>
        </is>
      </c>
      <c r="L356" s="8" t="inlineStr">
        <is>
          <t>ราคารวม VAT แล้ว</t>
        </is>
      </c>
    </row>
    <row r="357">
      <c r="B357" s="6" t="inlineStr">
        <is>
          <t>แลคเกอร์ HYBRID PREMIUM 2:1</t>
        </is>
      </c>
      <c r="C357" s="8" t="n">
        <v>30</v>
      </c>
      <c r="D357" s="9" t="n">
        <v>780</v>
      </c>
      <c r="E357" s="9">
        <f>SUM(C357*D357)</f>
        <v/>
      </c>
      <c r="H357" s="9">
        <f>SUM(E357*O357/N357)</f>
        <v/>
      </c>
      <c r="I357" s="10" t="inlineStr">
        <is>
          <t>บจก. วีที คัลเลอร์ โปร</t>
        </is>
      </c>
      <c r="J357" s="161" t="n">
        <v>24952</v>
      </c>
      <c r="K357" s="8" t="inlineStr">
        <is>
          <t>IV6804121</t>
        </is>
      </c>
      <c r="N357" s="6" t="n">
        <v>100</v>
      </c>
      <c r="O357" s="6" t="n">
        <v>107</v>
      </c>
    </row>
    <row r="358">
      <c r="B358" s="6" t="inlineStr">
        <is>
          <t>แลคเกอร์ HYBRID PREMIUM 2:1</t>
        </is>
      </c>
      <c r="C358" s="8" t="n">
        <v>40</v>
      </c>
      <c r="D358" s="9" t="n">
        <v>780</v>
      </c>
      <c r="E358" s="9">
        <f>SUM(C358*D358)</f>
        <v/>
      </c>
      <c r="H358" s="9">
        <f>SUM(E358*O358/N358)</f>
        <v/>
      </c>
      <c r="I358" s="10" t="inlineStr">
        <is>
          <t>บจก. วีที คัลเลอร์ โปร</t>
        </is>
      </c>
      <c r="J358" s="161" t="n">
        <v>24979</v>
      </c>
      <c r="K358" s="8" t="inlineStr">
        <is>
          <t>IV6805147</t>
        </is>
      </c>
      <c r="N358" s="6" t="n">
        <v>100</v>
      </c>
      <c r="O358" s="6" t="n">
        <v>107</v>
      </c>
    </row>
    <row r="359">
      <c r="B359" s="6" t="inlineStr">
        <is>
          <t>แลคเกอร์ HYBRID PREMIUM 2:1</t>
        </is>
      </c>
      <c r="C359" s="8" t="n">
        <v>40</v>
      </c>
      <c r="D359" s="9" t="n">
        <v>660</v>
      </c>
      <c r="E359" s="9">
        <f>SUM(D359*C359)</f>
        <v/>
      </c>
      <c r="F359" s="8" t="n">
        <v>0.07000000000000001</v>
      </c>
      <c r="G359" s="10" t="inlineStr">
        <is>
          <t>รวม VAT =</t>
        </is>
      </c>
      <c r="H359" s="9">
        <f>SUM(E359+N359)</f>
        <v/>
      </c>
      <c r="I359" s="10" t="inlineStr">
        <is>
          <t>บจก. วีที คัลเลอร์ โปร</t>
        </is>
      </c>
      <c r="J359" s="161" t="n">
        <v>25015</v>
      </c>
      <c r="K359" s="8" t="inlineStr">
        <is>
          <t>IV6806175</t>
        </is>
      </c>
      <c r="L359" s="8" t="inlineStr">
        <is>
          <t>ราคาที่ระบุ ยังไม่รวม VAT7%</t>
        </is>
      </c>
      <c r="N359" s="6">
        <f>SUM(E359*F359)</f>
        <v/>
      </c>
    </row>
    <row r="360">
      <c r="B360" s="42" t="inlineStr">
        <is>
          <t xml:space="preserve"> ** นำเสนอ แลคเกอร์ HYBRID PREMIUM 9800 2:1 ที่มาเทสต์แล้วดีกว่า ราคาถูกกว่า คือเหลือชุดละ 1,200 บาท (ใช้ฮาร์ด 2กป.)</t>
        </is>
      </c>
    </row>
    <row r="361">
      <c r="B361" s="6" t="inlineStr">
        <is>
          <t>แลคเกอร์ HYBRID PREMIUM 2:1</t>
        </is>
      </c>
      <c r="C361" s="8" t="n">
        <v>12</v>
      </c>
      <c r="D361" s="9" t="n">
        <v>700</v>
      </c>
      <c r="E361" s="9">
        <f>SUM(D361*C361)</f>
        <v/>
      </c>
      <c r="F361" s="8" t="n">
        <v>0.07000000000000001</v>
      </c>
      <c r="G361" s="10" t="inlineStr">
        <is>
          <t>รวม VAT =</t>
        </is>
      </c>
      <c r="H361" s="9">
        <f>SUM(E361+N361)</f>
        <v/>
      </c>
      <c r="I361" s="10" t="inlineStr">
        <is>
          <t>บจก. วีที คัลเลอร์ โปร</t>
        </is>
      </c>
      <c r="J361" s="161" t="n">
        <v>25042</v>
      </c>
      <c r="K361" s="8" t="inlineStr">
        <is>
          <t>IV6807180</t>
        </is>
      </c>
      <c r="N361" s="6">
        <f>SUM(E361*F361)</f>
        <v/>
      </c>
    </row>
    <row r="362">
      <c r="B362" s="6" t="inlineStr">
        <is>
          <t>แลคเกอร์ HYBRID PREMIUM 2:1</t>
        </is>
      </c>
      <c r="C362" s="8" t="n">
        <v>3</v>
      </c>
      <c r="D362" s="9" t="n">
        <v>700</v>
      </c>
      <c r="E362" s="9">
        <f>SUM(D362*C362)</f>
        <v/>
      </c>
      <c r="F362" s="8" t="n">
        <v>0.07000000000000001</v>
      </c>
      <c r="G362" s="10" t="inlineStr">
        <is>
          <t>รวม VAT =</t>
        </is>
      </c>
      <c r="H362" s="9">
        <f>SUM(E362+N362)</f>
        <v/>
      </c>
      <c r="I362" s="10" t="inlineStr">
        <is>
          <t>บจก. วีที คัลเลอร์ โปร</t>
        </is>
      </c>
      <c r="J362" s="161" t="n">
        <v>25069</v>
      </c>
      <c r="K362" s="8" t="inlineStr">
        <is>
          <t>IV6808112</t>
        </is>
      </c>
      <c r="N362" s="6">
        <f>SUM(E362*F362)</f>
        <v/>
      </c>
    </row>
    <row r="363">
      <c r="B363" s="6" t="inlineStr">
        <is>
          <t>แลคเกอร์ HYBRID 9800 2:1</t>
        </is>
      </c>
      <c r="C363" s="8" t="n">
        <v>30</v>
      </c>
      <c r="D363" s="9" t="n">
        <v>600</v>
      </c>
      <c r="E363" s="9">
        <f>SUM(D363*C363)</f>
        <v/>
      </c>
      <c r="F363" s="8" t="n">
        <v>0.07000000000000001</v>
      </c>
      <c r="G363" s="10" t="inlineStr">
        <is>
          <t>รวม VAT =</t>
        </is>
      </c>
      <c r="H363" s="9">
        <f>SUM(E363+N363)</f>
        <v/>
      </c>
      <c r="I363" s="10" t="inlineStr">
        <is>
          <t>บจก. วีที คัลเลอร์ โปร</t>
        </is>
      </c>
      <c r="J363" s="161" t="n">
        <v>25069</v>
      </c>
      <c r="K363" s="8" t="inlineStr">
        <is>
          <t>IV6808112</t>
        </is>
      </c>
      <c r="N363" s="6">
        <f>SUM(E363*F363)</f>
        <v/>
      </c>
    </row>
    <row r="364">
      <c r="B364" s="6" t="inlineStr">
        <is>
          <t>แลคเกอร์ HYBRID 9800 2:1</t>
        </is>
      </c>
      <c r="C364" s="8" t="n">
        <v>42</v>
      </c>
      <c r="D364" s="9" t="n">
        <v>600</v>
      </c>
      <c r="E364" s="9">
        <f>SUM(D364*C364)</f>
        <v/>
      </c>
      <c r="F364" s="8" t="n">
        <v>0.07000000000000001</v>
      </c>
      <c r="G364" s="10" t="inlineStr">
        <is>
          <t>รวม VAT =</t>
        </is>
      </c>
      <c r="H364" s="9">
        <f>SUM(E364+N364)</f>
        <v/>
      </c>
      <c r="I364" s="10" t="inlineStr">
        <is>
          <t>บจก. วีที คัลเลอร์ โปร</t>
        </is>
      </c>
      <c r="J364" s="161" t="n">
        <v>25098</v>
      </c>
      <c r="K364" s="8" t="inlineStr">
        <is>
          <t>IV6809124</t>
        </is>
      </c>
      <c r="N364" s="6">
        <f>SUM(E364*F364)</f>
        <v/>
      </c>
    </row>
    <row r="365">
      <c r="B365" s="6" t="inlineStr">
        <is>
          <t>แลคเกอร์ HYBRID 9800 2:1</t>
        </is>
      </c>
      <c r="C365" s="8" t="n">
        <v>42</v>
      </c>
      <c r="D365" s="9" t="n">
        <v>600</v>
      </c>
      <c r="E365" s="9">
        <f>SUM(D365*C365)</f>
        <v/>
      </c>
      <c r="F365" s="8" t="n">
        <v>0.07000000000000001</v>
      </c>
      <c r="G365" s="10" t="inlineStr">
        <is>
          <t>ยอดรวม VAT =</t>
        </is>
      </c>
      <c r="H365" s="9">
        <f>SUM(E365+N365)</f>
        <v/>
      </c>
      <c r="I365" s="10" t="inlineStr">
        <is>
          <t>บจก. วีที คัลเลอร์ โปร</t>
        </is>
      </c>
      <c r="J365" s="161" t="n">
        <v>25189</v>
      </c>
      <c r="K365" s="8" t="inlineStr">
        <is>
          <t>IV6812124</t>
        </is>
      </c>
      <c r="N365" s="6">
        <f>SUM(E365*F365)</f>
        <v/>
      </c>
    </row>
    <row r="366" customFormat="1" s="42">
      <c r="A366" s="45" t="n"/>
      <c r="B366" s="42" t="inlineStr">
        <is>
          <t xml:space="preserve"> ** เมื่อ 21/2/69 วาทีนำเสนอ แลคเกอร์ HYBRID 9990 2:1 ราคาพร้อม ฮาร์ดเดนเนอร์ HYBRID 9991 2:1 = 1,100 บาท/ต่อชุด (เดิมราคาชุดละ 1,200 บาท) -- เอาของมาให้ช่างเทสต์แล้ว ช่างแจ้งว่าใช้ดี (ราคาถูกกว่าตัวที่ใช้อยู่)</t>
        </is>
      </c>
      <c r="C366" s="45" t="n"/>
      <c r="D366" s="16" t="n"/>
      <c r="E366" s="16" t="n"/>
      <c r="F366" s="45" t="n"/>
      <c r="G366" s="50" t="n"/>
      <c r="H366" s="16" t="n"/>
      <c r="I366" s="50" t="n"/>
      <c r="J366" s="166" t="n"/>
      <c r="K366" s="45" t="n"/>
      <c r="L366" s="45" t="n"/>
    </row>
    <row r="368">
      <c r="A368" s="80" t="inlineStr">
        <is>
          <t>เวลาผสมใช้ฮาร์ด 2กป.</t>
        </is>
      </c>
      <c r="B368" s="6" t="inlineStr">
        <is>
          <t>ฮาร์ดเดนเนอร์ BRM PREMIUM 2:1</t>
        </is>
      </c>
      <c r="C368" s="8" t="inlineStr">
        <is>
          <t>60กป.</t>
        </is>
      </c>
      <c r="D368" s="9" t="n">
        <v>410</v>
      </c>
      <c r="H368" s="9" t="n">
        <v>24600</v>
      </c>
      <c r="I368" s="10" t="inlineStr">
        <is>
          <t>บจก. วีที คัลเลอร์ โปร</t>
        </is>
      </c>
      <c r="J368" s="161" t="n">
        <v>24005</v>
      </c>
      <c r="K368" s="8" t="inlineStr">
        <is>
          <t>IV183-65</t>
        </is>
      </c>
      <c r="L368" s="8" t="inlineStr">
        <is>
          <t>ราคาที่ลง ยังไม่รวมภาษี</t>
        </is>
      </c>
    </row>
    <row r="369">
      <c r="B369" s="6" t="inlineStr">
        <is>
          <t>ฮาร์ดเดนเนอร์ BRM PREMIUM 2:1</t>
        </is>
      </c>
      <c r="C369" s="8" t="inlineStr">
        <is>
          <t>48กป.</t>
        </is>
      </c>
      <c r="D369" s="9" t="n">
        <v>410</v>
      </c>
      <c r="H369" s="9" t="n">
        <v>19680</v>
      </c>
      <c r="I369" s="10" t="inlineStr">
        <is>
          <t>บจก. วีที คัลเลอร์ โปร</t>
        </is>
      </c>
      <c r="J369" s="161" t="n">
        <v>24040</v>
      </c>
      <c r="K369" s="8" t="inlineStr">
        <is>
          <t>IV227-65</t>
        </is>
      </c>
      <c r="L369" s="8" t="inlineStr">
        <is>
          <t>ราคาที่ลง ยังไม่รวมภาษี</t>
        </is>
      </c>
    </row>
    <row r="370">
      <c r="B370" s="6" t="inlineStr">
        <is>
          <t>ฮาร์ดเดนเนอร์ BRM PREMIUM 2:1</t>
        </is>
      </c>
      <c r="C370" s="8" t="inlineStr">
        <is>
          <t>48กป.</t>
        </is>
      </c>
      <c r="D370" s="9" t="n">
        <v>410</v>
      </c>
      <c r="H370" s="9" t="n">
        <v>19680</v>
      </c>
      <c r="I370" s="10" t="inlineStr">
        <is>
          <t>บจก. วีที คัลเลอร์ โปร</t>
        </is>
      </c>
      <c r="J370" s="161" t="n">
        <v>24069</v>
      </c>
      <c r="K370" s="8" t="inlineStr">
        <is>
          <t>IV275-65</t>
        </is>
      </c>
      <c r="L370" s="8" t="inlineStr">
        <is>
          <t>ราคาที่ลง ยังไม่รวมภาษี</t>
        </is>
      </c>
    </row>
    <row r="371">
      <c r="B371" s="6" t="inlineStr">
        <is>
          <t>ฮาร์ดเดนเนอร์ BRM PREMIUM 2:1</t>
        </is>
      </c>
      <c r="C371" s="8" t="inlineStr">
        <is>
          <t>24กป.</t>
        </is>
      </c>
      <c r="D371" s="9" t="n">
        <v>410</v>
      </c>
      <c r="H371" s="9" t="n">
        <v>9840</v>
      </c>
      <c r="I371" s="10" t="inlineStr">
        <is>
          <t>บจก. วีที คัลเลอร์ โปร</t>
        </is>
      </c>
      <c r="J371" s="161" t="n">
        <v>24095</v>
      </c>
      <c r="K371" s="8" t="inlineStr">
        <is>
          <t>IV318-65</t>
        </is>
      </c>
      <c r="L371" s="8" t="inlineStr">
        <is>
          <t>ราคาที่ลง ยังไม่รวมภาษี</t>
        </is>
      </c>
    </row>
    <row r="372">
      <c r="B372" s="6" t="inlineStr">
        <is>
          <t>ฮาร์ดเดนเนอร์ BRM PREMIUM 2:1</t>
        </is>
      </c>
      <c r="C372" s="8" t="inlineStr">
        <is>
          <t>60กป.</t>
        </is>
      </c>
      <c r="D372" s="9" t="n">
        <v>410</v>
      </c>
      <c r="H372" s="9" t="n">
        <v>24600</v>
      </c>
      <c r="I372" s="10" t="inlineStr">
        <is>
          <t>บจก. วีที คัลเลอร์ โปร</t>
        </is>
      </c>
      <c r="J372" s="161" t="n">
        <v>24127</v>
      </c>
      <c r="K372" s="8" t="inlineStr">
        <is>
          <t>IV042-66</t>
        </is>
      </c>
      <c r="L372" s="8" t="inlineStr">
        <is>
          <t>ราคาที่ลง ยังไม่รวมภาษี</t>
        </is>
      </c>
    </row>
    <row r="373">
      <c r="B373" s="6" t="inlineStr">
        <is>
          <t>ฮาร์ดเดนเนอร์ BRM PREMIUM 2:1</t>
        </is>
      </c>
      <c r="C373" s="8" t="inlineStr">
        <is>
          <t>60กป.</t>
        </is>
      </c>
      <c r="D373" s="9" t="n">
        <v>410</v>
      </c>
      <c r="H373" s="9" t="n">
        <v>24600</v>
      </c>
      <c r="I373" s="10" t="inlineStr">
        <is>
          <t>บจก. วีที คัลเลอร์ โปร</t>
        </is>
      </c>
      <c r="J373" s="161" t="n">
        <v>24160</v>
      </c>
      <c r="K373" s="8" t="inlineStr">
        <is>
          <t>IV114-66</t>
        </is>
      </c>
      <c r="L373" s="8" t="inlineStr">
        <is>
          <t>ราคาที่ลง ยังไม่รวมภาษี</t>
        </is>
      </c>
    </row>
    <row r="374">
      <c r="B374" s="6" t="inlineStr">
        <is>
          <t>ฮาร์ดเดนเนอร์ BRM PREMIUM 2:1</t>
        </is>
      </c>
      <c r="C374" s="8" t="inlineStr">
        <is>
          <t>60กป.</t>
        </is>
      </c>
      <c r="D374" s="9" t="n">
        <v>410</v>
      </c>
      <c r="H374" s="9" t="n">
        <v>24600</v>
      </c>
      <c r="I374" s="10" t="inlineStr">
        <is>
          <t>บจก. วีที คัลเลอร์ โปร</t>
        </is>
      </c>
      <c r="J374" s="161" t="n">
        <v>24221</v>
      </c>
      <c r="K374" s="8" t="inlineStr">
        <is>
          <t>IV226-66</t>
        </is>
      </c>
      <c r="L374" s="8" t="inlineStr">
        <is>
          <t>ราคาที่ลง ยังไม่รวมภาษี</t>
        </is>
      </c>
    </row>
    <row r="375">
      <c r="B375" s="6" t="inlineStr">
        <is>
          <t>ฮาร์ดเดนเนอร์ BRM PREMIUM 2:1</t>
        </is>
      </c>
      <c r="C375" s="8" t="inlineStr">
        <is>
          <t>60กป.</t>
        </is>
      </c>
      <c r="D375" s="9" t="n">
        <v>410</v>
      </c>
      <c r="H375" s="9" t="n">
        <v>24600</v>
      </c>
      <c r="I375" s="10" t="inlineStr">
        <is>
          <t>บจก. วีที คัลเลอร์ โปร</t>
        </is>
      </c>
      <c r="J375" s="161" t="n">
        <v>24282</v>
      </c>
      <c r="K375" s="8" t="inlineStr">
        <is>
          <t>IV354-66</t>
        </is>
      </c>
      <c r="L375" s="8" t="inlineStr">
        <is>
          <t>ราคาที่ลง ยังไม่รวมภาษี</t>
        </is>
      </c>
    </row>
    <row r="376">
      <c r="B376" s="6" t="inlineStr">
        <is>
          <t>ฮาร์ดเดนเนอร์ BRM PREMIUM 2:1</t>
        </is>
      </c>
      <c r="C376" s="8" t="inlineStr">
        <is>
          <t>30กป.</t>
        </is>
      </c>
      <c r="D376" s="9" t="n">
        <v>410</v>
      </c>
      <c r="H376" s="9" t="n">
        <v>12300</v>
      </c>
      <c r="I376" s="10" t="inlineStr">
        <is>
          <t>บจก. วีที คัลเลอร์ โปร</t>
        </is>
      </c>
      <c r="J376" s="161" t="n">
        <v>24315</v>
      </c>
      <c r="K376" s="8" t="inlineStr">
        <is>
          <t>IV425-66</t>
        </is>
      </c>
      <c r="L376" s="8" t="inlineStr">
        <is>
          <t>ราคาที่ลง ยังไม่รวมภาษี</t>
        </is>
      </c>
    </row>
    <row r="377">
      <c r="B377" s="6" t="inlineStr">
        <is>
          <t>ฮาร์ดเดนเนอร์ BRM PREMIUM 2:1</t>
        </is>
      </c>
      <c r="C377" s="8" t="n">
        <v>60</v>
      </c>
      <c r="D377" s="9" t="n">
        <v>410</v>
      </c>
      <c r="H377" s="9">
        <f>SUM(D377*C377)</f>
        <v/>
      </c>
      <c r="I377" s="10" t="inlineStr">
        <is>
          <t>บจก. วีที คัลเลอร์ โปร</t>
        </is>
      </c>
      <c r="J377" s="161" t="n">
        <v>24340</v>
      </c>
      <c r="K377" s="8" t="inlineStr">
        <is>
          <t>IV470-66</t>
        </is>
      </c>
      <c r="L377" s="8" t="inlineStr">
        <is>
          <t>ราคาที่ลง ยังไม่รวมภาษี</t>
        </is>
      </c>
    </row>
    <row r="378">
      <c r="B378" s="6" t="inlineStr">
        <is>
          <t>ฮาร์ดเดนเนอร์ BRM PREMIUM 2:1</t>
        </is>
      </c>
      <c r="C378" s="8" t="n">
        <v>48</v>
      </c>
      <c r="D378" s="9" t="n">
        <v>410</v>
      </c>
      <c r="H378" s="9">
        <f>SUM(D378*C378)</f>
        <v/>
      </c>
      <c r="I378" s="10" t="inlineStr">
        <is>
          <t>บจก. วีที คัลเลอร์ โปร</t>
        </is>
      </c>
      <c r="J378" s="161" t="n">
        <v>24372</v>
      </c>
      <c r="K378" s="8" t="inlineStr">
        <is>
          <t>IV542-66</t>
        </is>
      </c>
      <c r="L378" s="8" t="inlineStr">
        <is>
          <t>ราคาที่ลง ยังไม่รวมภาษี</t>
        </is>
      </c>
    </row>
    <row r="379">
      <c r="B379" s="6" t="inlineStr">
        <is>
          <t>ฮาร์ดเดนเนอร์ BRM PREMIUM 2:1</t>
        </is>
      </c>
      <c r="C379" s="8" t="n">
        <v>60</v>
      </c>
      <c r="D379" s="9" t="n">
        <v>410</v>
      </c>
      <c r="H379" s="9">
        <f>SUM(D379*C379)</f>
        <v/>
      </c>
      <c r="I379" s="10" t="inlineStr">
        <is>
          <t>บจก. วีที คัลเลอร์ โปร</t>
        </is>
      </c>
      <c r="J379" s="161" t="n">
        <v>24401</v>
      </c>
      <c r="K379" s="8" t="inlineStr">
        <is>
          <t>IV685-66</t>
        </is>
      </c>
      <c r="L379" s="8" t="inlineStr">
        <is>
          <t>ราคาที่ลง ยังไม่รวมภาษี</t>
        </is>
      </c>
    </row>
    <row r="380">
      <c r="B380" s="6" t="inlineStr">
        <is>
          <t>ฮาร์ดเดนเนอร์ BRM PREMIUM 2:1</t>
        </is>
      </c>
      <c r="C380" s="8" t="n">
        <v>60</v>
      </c>
      <c r="D380" s="9" t="n">
        <v>410</v>
      </c>
      <c r="H380" s="9">
        <f>SUM(D380*C380)</f>
        <v/>
      </c>
      <c r="I380" s="10" t="inlineStr">
        <is>
          <t>บจก. วีที คัลเลอร์ โปร</t>
        </is>
      </c>
      <c r="J380" s="161" t="n">
        <v>24462</v>
      </c>
      <c r="K380" s="8" t="inlineStr">
        <is>
          <t>IV764-66</t>
        </is>
      </c>
      <c r="L380" s="8" t="inlineStr">
        <is>
          <t>ราคาที่ลง ยังไม่รวมภาษี</t>
        </is>
      </c>
    </row>
    <row r="381">
      <c r="B381" s="6" t="inlineStr">
        <is>
          <t>ฮาร์ดเดนเนอร์ BRM PREMIUM 2:1</t>
        </is>
      </c>
      <c r="C381" s="8" t="n">
        <v>24</v>
      </c>
      <c r="D381" s="9" t="n">
        <v>410</v>
      </c>
      <c r="H381" s="9">
        <f>SUM(D381*C381)</f>
        <v/>
      </c>
      <c r="I381" s="10" t="inlineStr">
        <is>
          <t>บจก. วีที คัลเลอร์ โปร</t>
        </is>
      </c>
      <c r="J381" s="161" t="n">
        <v>24496</v>
      </c>
      <c r="K381" s="8" t="inlineStr">
        <is>
          <t>IV6701080</t>
        </is>
      </c>
      <c r="L381" s="8" t="inlineStr">
        <is>
          <t>ราคาที่ลง ยังไม่รวมภาษี</t>
        </is>
      </c>
    </row>
    <row r="382">
      <c r="B382" s="6" t="inlineStr">
        <is>
          <t>ฮาร์ดเดนเนอร์ BRM PREMIUM 2:1</t>
        </is>
      </c>
      <c r="C382" s="8" t="n">
        <v>48</v>
      </c>
      <c r="D382" s="9" t="n">
        <v>410</v>
      </c>
      <c r="H382" s="9">
        <f>SUM(D382*C382)</f>
        <v/>
      </c>
      <c r="I382" s="10" t="inlineStr">
        <is>
          <t>บจก. วีที คัลเลอร์ โปร</t>
        </is>
      </c>
      <c r="J382" s="161" t="n">
        <v>24529</v>
      </c>
      <c r="K382" s="8" t="inlineStr">
        <is>
          <t>IV6702104</t>
        </is>
      </c>
      <c r="L382" s="8" t="inlineStr">
        <is>
          <t>ราคาที่ลง ยังไม่รวมภาษี</t>
        </is>
      </c>
    </row>
    <row r="383">
      <c r="B383" s="6" t="inlineStr">
        <is>
          <t>ฮาร์ดเดนเนอร์ HYBRID PREMIUM 2:1</t>
        </is>
      </c>
      <c r="C383" s="8" t="n">
        <v>72</v>
      </c>
      <c r="D383" s="9" t="n">
        <v>410</v>
      </c>
      <c r="H383" s="9">
        <f>SUM(D383*C383)</f>
        <v/>
      </c>
      <c r="I383" s="10" t="inlineStr">
        <is>
          <t>บจก. วีที คัลเลอร์ โปร</t>
        </is>
      </c>
      <c r="J383" s="161" t="n">
        <v>24584</v>
      </c>
      <c r="K383" s="8" t="inlineStr">
        <is>
          <t>IV6704071</t>
        </is>
      </c>
      <c r="L383" s="8" t="inlineStr">
        <is>
          <t>ราคาที่ลง ยังไม่รวมภาษี</t>
        </is>
      </c>
    </row>
    <row r="384">
      <c r="B384" s="6" t="inlineStr">
        <is>
          <t>ฮาร์ดเดนเนอร์ HYBRID PREMIUM 2:1</t>
        </is>
      </c>
      <c r="C384" s="8" t="n">
        <v>72</v>
      </c>
      <c r="D384" s="9" t="n">
        <v>410</v>
      </c>
      <c r="H384" s="9">
        <f>SUM(D384*C384)</f>
        <v/>
      </c>
      <c r="I384" s="10" t="inlineStr">
        <is>
          <t>บจก. วีที คัลเลอร์ โปร</t>
        </is>
      </c>
      <c r="J384" s="161" t="n">
        <v>24613</v>
      </c>
      <c r="K384" s="8" t="inlineStr">
        <is>
          <t>IV6705105</t>
        </is>
      </c>
      <c r="L384" s="8" t="inlineStr">
        <is>
          <t>ราคาที่ลง ยังไม่รวมภาษี</t>
        </is>
      </c>
    </row>
    <row r="385">
      <c r="B385" s="6" t="inlineStr">
        <is>
          <t>ฮาร์ดเดนเนอร์ HYBRID PREMIUM 2:1</t>
        </is>
      </c>
      <c r="C385" s="8" t="n">
        <v>48</v>
      </c>
      <c r="D385" s="9" t="n">
        <v>410</v>
      </c>
      <c r="H385" s="9">
        <f>SUM(D385*C385)</f>
        <v/>
      </c>
      <c r="I385" s="10" t="inlineStr">
        <is>
          <t>บจก. วีที คัลเลอร์ โปร</t>
        </is>
      </c>
      <c r="J385" s="161" t="n">
        <v>24550</v>
      </c>
      <c r="K385" s="8" t="inlineStr">
        <is>
          <t>IV6703087</t>
        </is>
      </c>
      <c r="L385" s="8" t="inlineStr">
        <is>
          <t>ราคาที่ลง ยังไม่รวมภาษี</t>
        </is>
      </c>
    </row>
    <row r="386">
      <c r="B386" s="6" t="inlineStr">
        <is>
          <t>ฮาร์ดเดนเนอร์ HYBRID PREMIUM 2:1</t>
        </is>
      </c>
      <c r="C386" s="8" t="n">
        <v>72</v>
      </c>
      <c r="D386" s="9" t="n">
        <v>410</v>
      </c>
      <c r="H386" s="9">
        <f>SUM(D386*C386)</f>
        <v/>
      </c>
      <c r="I386" s="10" t="inlineStr">
        <is>
          <t>บจก. วีที คัลเลอร์ โปร</t>
        </is>
      </c>
      <c r="J386" s="161" t="n">
        <v>24644</v>
      </c>
      <c r="K386" s="8" t="inlineStr">
        <is>
          <t>IV6706124</t>
        </is>
      </c>
      <c r="L386" s="8" t="inlineStr">
        <is>
          <t>ราคาที่ลง ยังไม่รวมภาษี</t>
        </is>
      </c>
    </row>
    <row r="387">
      <c r="B387" s="6" t="inlineStr">
        <is>
          <t>ฮาร์ดเดนเนอร์ HYBRID PREMIUM 2:1</t>
        </is>
      </c>
      <c r="C387" s="8" t="n">
        <v>72</v>
      </c>
      <c r="D387" s="9" t="n">
        <v>410</v>
      </c>
      <c r="H387" s="9">
        <f>SUM(D387*C387)</f>
        <v/>
      </c>
      <c r="I387" s="10" t="inlineStr">
        <is>
          <t>บจก. วีที คัลเลอร์ โปร</t>
        </is>
      </c>
      <c r="J387" s="161" t="n">
        <v>24676</v>
      </c>
      <c r="K387" s="8" t="inlineStr">
        <is>
          <t>IV6707131</t>
        </is>
      </c>
      <c r="L387" s="8" t="inlineStr">
        <is>
          <t>ราคาที่ลง ยังไม่รวมภาษี</t>
        </is>
      </c>
    </row>
    <row r="388">
      <c r="B388" s="6" t="inlineStr">
        <is>
          <t>ฮาร์ดเดนเนอร์ HYBRID PREMIUM 2:1</t>
        </is>
      </c>
      <c r="C388" s="8" t="n">
        <v>48</v>
      </c>
      <c r="D388" s="9" t="n">
        <v>410</v>
      </c>
      <c r="H388" s="9">
        <f>SUM(D388*C388)</f>
        <v/>
      </c>
      <c r="I388" s="10" t="inlineStr">
        <is>
          <t>บจก. วีที คัลเลอร์ โปร</t>
        </is>
      </c>
      <c r="J388" s="161" t="n">
        <v>24707</v>
      </c>
      <c r="K388" s="8" t="inlineStr">
        <is>
          <t>IV6708117</t>
        </is>
      </c>
      <c r="L388" s="8" t="inlineStr">
        <is>
          <t>ราคาที่ลง ยังไม่รวมภาษี</t>
        </is>
      </c>
    </row>
    <row r="389">
      <c r="B389" s="6" t="inlineStr">
        <is>
          <t>ฮาร์ดเดนเนอร์ HYBRID PREMIUM 2:1</t>
        </is>
      </c>
      <c r="C389" s="8" t="n">
        <v>24</v>
      </c>
      <c r="D389" s="9" t="n">
        <v>410</v>
      </c>
      <c r="H389" s="9">
        <f>SUM(D389*C389)</f>
        <v/>
      </c>
      <c r="I389" s="10" t="inlineStr">
        <is>
          <t>บจก. วีที คัลเลอร์ โปร</t>
        </is>
      </c>
      <c r="J389" s="161" t="n">
        <v>24739</v>
      </c>
      <c r="K389" s="8" t="inlineStr">
        <is>
          <t>IV6709123</t>
        </is>
      </c>
      <c r="L389" s="8" t="inlineStr">
        <is>
          <t>ราคาที่ลง ยังไม่รวมภาษี</t>
        </is>
      </c>
    </row>
    <row r="390">
      <c r="B390" s="6" t="inlineStr">
        <is>
          <t>ฮาร์ดเดนเนอร์ HYBRID PREMIUM 2:1</t>
        </is>
      </c>
      <c r="C390" s="8" t="n">
        <v>48</v>
      </c>
      <c r="D390" s="9" t="n">
        <v>410</v>
      </c>
      <c r="H390" s="9">
        <f>SUM(D390*C390)</f>
        <v/>
      </c>
      <c r="I390" s="10" t="inlineStr">
        <is>
          <t>บจก. วีที คัลเลอร์ โปร</t>
        </is>
      </c>
      <c r="J390" s="161" t="n">
        <v>24766</v>
      </c>
      <c r="K390" s="8" t="inlineStr">
        <is>
          <t>IV6710109</t>
        </is>
      </c>
      <c r="L390" s="8" t="inlineStr">
        <is>
          <t>ราคาที่ลง ยังไม่รวมภาษี</t>
        </is>
      </c>
    </row>
    <row r="391">
      <c r="B391" s="6" t="inlineStr">
        <is>
          <t>ฮาร์ดเดนเนอร์ HYBRID PREMIUM 2:1</t>
        </is>
      </c>
      <c r="C391" s="8" t="n">
        <v>60</v>
      </c>
      <c r="D391" s="9" t="n">
        <v>410</v>
      </c>
      <c r="H391" s="9">
        <f>SUM(D391*C391)</f>
        <v/>
      </c>
      <c r="I391" s="10" t="inlineStr">
        <is>
          <t>บจก. วีที คัลเลอร์ โปร</t>
        </is>
      </c>
      <c r="J391" s="161" t="n">
        <v>24795</v>
      </c>
      <c r="K391" s="8" t="inlineStr">
        <is>
          <t>IV6711104</t>
        </is>
      </c>
      <c r="L391" s="8" t="inlineStr">
        <is>
          <t>ราคาที่ลง ยังไม่รวมภาษี</t>
        </is>
      </c>
    </row>
    <row r="392">
      <c r="B392" s="6" t="inlineStr">
        <is>
          <t>ฮาร์ดเดนเนอร์ HYBRID PREMIUM 2:1</t>
        </is>
      </c>
      <c r="C392" s="8" t="n">
        <v>60</v>
      </c>
      <c r="D392" s="9" t="n">
        <v>410</v>
      </c>
      <c r="H392" s="9">
        <f>SUM(D392*C392)</f>
        <v/>
      </c>
      <c r="I392" s="10" t="inlineStr">
        <is>
          <t>บจก. วีที คัลเลอร์ โปร</t>
        </is>
      </c>
      <c r="J392" s="161" t="n">
        <v>24824</v>
      </c>
      <c r="K392" s="8" t="inlineStr">
        <is>
          <t>IV6712085</t>
        </is>
      </c>
      <c r="L392" s="8" t="inlineStr">
        <is>
          <t>ราคาที่ลง ยังไม่รวมภาษี</t>
        </is>
      </c>
    </row>
    <row r="393">
      <c r="B393" s="6" t="inlineStr">
        <is>
          <t>ฮาร์ดเดนเนอร์ HYBRID PREMIUM 2:1</t>
        </is>
      </c>
      <c r="C393" s="8" t="n">
        <v>60</v>
      </c>
      <c r="D393" s="9" t="n">
        <v>438.7</v>
      </c>
      <c r="H393" s="9">
        <f>SUM(D393*C393)</f>
        <v/>
      </c>
      <c r="I393" s="10" t="inlineStr">
        <is>
          <t>บจก. วีที คัลเลอร์ โปร</t>
        </is>
      </c>
      <c r="J393" s="161" t="n">
        <v>24858</v>
      </c>
      <c r="K393" s="8" t="inlineStr">
        <is>
          <t>IV6801106</t>
        </is>
      </c>
      <c r="L393" s="8" t="inlineStr">
        <is>
          <t>ราคารวม VAT แล้ว</t>
        </is>
      </c>
    </row>
    <row r="394">
      <c r="B394" s="6" t="inlineStr">
        <is>
          <t>ฮาร์ดเดนเนอร์ HYBRID PREMIUM 2:1</t>
        </is>
      </c>
      <c r="C394" s="8" t="n">
        <v>60</v>
      </c>
      <c r="D394" s="9" t="n">
        <v>438.7</v>
      </c>
      <c r="H394" s="9">
        <f>SUM(D394*C394)</f>
        <v/>
      </c>
      <c r="I394" s="10" t="inlineStr">
        <is>
          <t>บจก. วีที คัลเลอร์ โปร</t>
        </is>
      </c>
      <c r="J394" s="161" t="n">
        <v>24892</v>
      </c>
      <c r="K394" s="8" t="inlineStr">
        <is>
          <t>IV6802145</t>
        </is>
      </c>
      <c r="L394" s="8" t="inlineStr">
        <is>
          <t>ราคารวม VAT แล้ว</t>
        </is>
      </c>
    </row>
    <row r="395">
      <c r="B395" s="6" t="inlineStr">
        <is>
          <t>ฮาร์ดเดนเนอร์ HYBRID PREMIUM 2:1</t>
        </is>
      </c>
      <c r="C395" s="8" t="n">
        <v>60</v>
      </c>
      <c r="D395" s="9" t="n">
        <v>438.7</v>
      </c>
      <c r="H395" s="9">
        <f>SUM(D395*C395)</f>
        <v/>
      </c>
      <c r="I395" s="10" t="inlineStr">
        <is>
          <t>บจก. วีที คัลเลอร์ โปร</t>
        </is>
      </c>
      <c r="J395" s="161" t="n">
        <v>24923</v>
      </c>
      <c r="K395" s="8" t="inlineStr">
        <is>
          <t>IV6803172</t>
        </is>
      </c>
      <c r="L395" s="8" t="inlineStr">
        <is>
          <t>ราคารวม VAT แล้ว</t>
        </is>
      </c>
    </row>
    <row r="396">
      <c r="B396" s="6" t="inlineStr">
        <is>
          <t>ฮาร์ดเดนเนอร์ HYBRID PREMIUM 2:1</t>
        </is>
      </c>
      <c r="C396" s="8" t="n">
        <v>60</v>
      </c>
      <c r="D396" s="9" t="n">
        <v>410</v>
      </c>
      <c r="E396" s="9">
        <f>SUM(C396*D396)</f>
        <v/>
      </c>
      <c r="H396" s="9">
        <f>SUM(E396*O396/N396)</f>
        <v/>
      </c>
      <c r="I396" s="10" t="inlineStr">
        <is>
          <t>บจก. วีที คัลเลอร์ โปร</t>
        </is>
      </c>
      <c r="J396" s="161" t="n">
        <v>24952</v>
      </c>
      <c r="K396" s="8" t="inlineStr">
        <is>
          <t>IV6804121</t>
        </is>
      </c>
      <c r="N396" s="6" t="n">
        <v>100</v>
      </c>
      <c r="O396" s="6" t="n">
        <v>107</v>
      </c>
    </row>
    <row r="397">
      <c r="B397" s="6" t="inlineStr">
        <is>
          <t>ฮาร์ดเดนเนอร์ HYBRID PREMIUM 2:1</t>
        </is>
      </c>
      <c r="C397" s="8" t="n">
        <v>80</v>
      </c>
      <c r="D397" s="9" t="n">
        <v>410</v>
      </c>
      <c r="E397" s="9">
        <f>SUM(C397*D397)</f>
        <v/>
      </c>
      <c r="H397" s="9">
        <f>SUM(E397*O397/N397)</f>
        <v/>
      </c>
      <c r="I397" s="10" t="inlineStr">
        <is>
          <t>บจก. วีที คัลเลอร์ โปร</t>
        </is>
      </c>
      <c r="J397" s="161" t="n">
        <v>24979</v>
      </c>
      <c r="K397" s="8" t="inlineStr">
        <is>
          <t>IV6805147</t>
        </is>
      </c>
      <c r="N397" s="6" t="n">
        <v>100</v>
      </c>
      <c r="O397" s="6" t="n">
        <v>107</v>
      </c>
    </row>
    <row r="398">
      <c r="B398" s="6" t="inlineStr">
        <is>
          <t>ฮาร์ดเดนเนอร์ HYBRID PREMIUM 2:1</t>
        </is>
      </c>
      <c r="C398" s="8" t="n">
        <v>60</v>
      </c>
      <c r="D398" s="9" t="n">
        <v>410</v>
      </c>
      <c r="E398" s="9">
        <f>SUM(D398*C398)</f>
        <v/>
      </c>
      <c r="F398" s="8" t="n">
        <v>0.07000000000000001</v>
      </c>
      <c r="G398" s="10" t="inlineStr">
        <is>
          <t>รวม VAT =</t>
        </is>
      </c>
      <c r="H398" s="9">
        <f>SUM(E398+N398)</f>
        <v/>
      </c>
      <c r="I398" s="10" t="inlineStr">
        <is>
          <t>บจก. วีที คัลเลอร์ โปร</t>
        </is>
      </c>
      <c r="J398" s="161" t="n">
        <v>25015</v>
      </c>
      <c r="K398" s="8" t="inlineStr">
        <is>
          <t>IV6806175</t>
        </is>
      </c>
      <c r="N398" s="6">
        <f>SUM(E398*F398)</f>
        <v/>
      </c>
    </row>
    <row r="399">
      <c r="B399" s="6" t="inlineStr">
        <is>
          <t>ฮาร์ดเดนเนอร์ HYBRID PREMIUM 2:1</t>
        </is>
      </c>
      <c r="C399" s="8" t="n">
        <v>24</v>
      </c>
      <c r="D399" s="9" t="n">
        <v>400</v>
      </c>
      <c r="E399" s="9">
        <f>SUM(D399*C399)</f>
        <v/>
      </c>
      <c r="F399" s="8" t="n">
        <v>0.07000000000000001</v>
      </c>
      <c r="G399" s="10" t="inlineStr">
        <is>
          <t>รวม VAT =</t>
        </is>
      </c>
      <c r="H399" s="9">
        <f>SUM(E399+N399)</f>
        <v/>
      </c>
      <c r="I399" s="10" t="inlineStr">
        <is>
          <t>บจก. วีที คัลเลอร์ โปร</t>
        </is>
      </c>
      <c r="J399" s="161" t="n">
        <v>25042</v>
      </c>
      <c r="K399" s="8" t="inlineStr">
        <is>
          <t>IV6807180</t>
        </is>
      </c>
      <c r="N399" s="6">
        <f>SUM(E399*F399)</f>
        <v/>
      </c>
    </row>
    <row r="400">
      <c r="B400" s="6" t="inlineStr">
        <is>
          <t>ฮาร์ดเดนเนอร์ HYBRID 9801 2:1</t>
        </is>
      </c>
      <c r="C400" s="8" t="n">
        <v>60</v>
      </c>
      <c r="D400" s="9" t="n">
        <v>300</v>
      </c>
      <c r="E400" s="9">
        <f>SUM(D400*C400)</f>
        <v/>
      </c>
      <c r="F400" s="8" t="n">
        <v>0.07000000000000001</v>
      </c>
      <c r="G400" s="10" t="inlineStr">
        <is>
          <t>รวม VAT =</t>
        </is>
      </c>
      <c r="H400" s="9">
        <f>SUM(E400+N400)</f>
        <v/>
      </c>
      <c r="I400" s="10" t="inlineStr">
        <is>
          <t>บจก. วีที คัลเลอร์ โปร</t>
        </is>
      </c>
      <c r="J400" s="161" t="n">
        <v>25069</v>
      </c>
      <c r="K400" s="8" t="inlineStr">
        <is>
          <t>IV6808112</t>
        </is>
      </c>
      <c r="N400" s="6">
        <f>SUM(E400*F400)</f>
        <v/>
      </c>
    </row>
    <row r="401">
      <c r="B401" s="6" t="inlineStr">
        <is>
          <t>ฮาร์ดเดนเนอร์ HYBRID 9801 2:1</t>
        </is>
      </c>
      <c r="C401" s="8" t="n">
        <v>84</v>
      </c>
      <c r="D401" s="9" t="n">
        <v>300</v>
      </c>
      <c r="E401" s="9">
        <f>SUM(D401*C401)</f>
        <v/>
      </c>
      <c r="F401" s="8" t="n">
        <v>0.07000000000000001</v>
      </c>
      <c r="G401" s="10" t="inlineStr">
        <is>
          <t>รวม VAT =</t>
        </is>
      </c>
      <c r="H401" s="9">
        <f>SUM(E401+N401)</f>
        <v/>
      </c>
      <c r="I401" s="10" t="inlineStr">
        <is>
          <t>บจก. วีที คัลเลอร์ โปร</t>
        </is>
      </c>
      <c r="J401" s="161" t="n">
        <v>25098</v>
      </c>
      <c r="K401" s="8" t="inlineStr">
        <is>
          <t>IV6809124</t>
        </is>
      </c>
      <c r="N401" s="6">
        <f>SUM(E401*F401)</f>
        <v/>
      </c>
    </row>
    <row r="402">
      <c r="B402" s="6" t="inlineStr">
        <is>
          <t>ฮาร์ดเดนเนอร์ HYBRID 9801 2:1</t>
        </is>
      </c>
      <c r="C402" s="8" t="n">
        <v>84</v>
      </c>
      <c r="D402" s="9" t="n">
        <v>300</v>
      </c>
      <c r="E402" s="9">
        <f>SUM(D402*C402)</f>
        <v/>
      </c>
      <c r="F402" s="8" t="n">
        <v>0.07000000000000001</v>
      </c>
      <c r="G402" s="10" t="inlineStr">
        <is>
          <t>ยอดรวม VAT =</t>
        </is>
      </c>
      <c r="H402" s="9">
        <f>SUM(E402+N402)</f>
        <v/>
      </c>
      <c r="I402" s="10" t="inlineStr">
        <is>
          <t>บจก. วีที คัลเลอร์ โปร</t>
        </is>
      </c>
      <c r="J402" s="161" t="n">
        <v>25189</v>
      </c>
      <c r="K402" s="8" t="inlineStr">
        <is>
          <t>IV6812124</t>
        </is>
      </c>
      <c r="N402" s="6">
        <f>SUM(E402*F402)</f>
        <v/>
      </c>
    </row>
    <row r="404">
      <c r="A404" s="80" t="inlineStr">
        <is>
          <t>ใช้กับงานซ่อมแผล</t>
        </is>
      </c>
      <c r="B404" s="6" t="inlineStr">
        <is>
          <t>แลคเกอร์ BRM PREMIUM 4:1</t>
        </is>
      </c>
      <c r="C404" s="8" t="inlineStr">
        <is>
          <t>40กล.</t>
        </is>
      </c>
      <c r="D404" s="9" t="n">
        <v>660</v>
      </c>
      <c r="H404" s="9" t="n">
        <v>26400</v>
      </c>
      <c r="I404" s="10" t="inlineStr">
        <is>
          <t>บจก. วีที คัลเลอร์ โปร</t>
        </is>
      </c>
      <c r="J404" s="161" t="n">
        <v>24005</v>
      </c>
      <c r="K404" s="8" t="inlineStr">
        <is>
          <t>IV183-65</t>
        </is>
      </c>
      <c r="L404" s="8" t="inlineStr">
        <is>
          <t>ราคาที่ลง ยังไม่รวมภาษี</t>
        </is>
      </c>
    </row>
    <row r="405">
      <c r="A405" s="67" t="inlineStr">
        <is>
          <t>1ลัง = 6กล.</t>
        </is>
      </c>
      <c r="B405" s="6" t="inlineStr">
        <is>
          <t>แลคเกอร์ BRM PREMIUM 4:1</t>
        </is>
      </c>
      <c r="C405" s="8" t="inlineStr">
        <is>
          <t>24กล.</t>
        </is>
      </c>
      <c r="D405" s="9" t="n">
        <v>660</v>
      </c>
      <c r="H405" s="9" t="n">
        <v>15840</v>
      </c>
      <c r="I405" s="10" t="inlineStr">
        <is>
          <t>บจก. วีที คัลเลอร์ โปร</t>
        </is>
      </c>
      <c r="J405" s="161" t="n">
        <v>24040</v>
      </c>
      <c r="K405" s="8" t="inlineStr">
        <is>
          <t>IV227-65</t>
        </is>
      </c>
      <c r="L405" s="8" t="inlineStr">
        <is>
          <t>ราคาที่ลง ยังไม่รวมภาษี</t>
        </is>
      </c>
    </row>
    <row r="406">
      <c r="B406" s="6" t="inlineStr">
        <is>
          <t>แลคเกอร์ BRM PREMIUM 4:1</t>
        </is>
      </c>
      <c r="C406" s="8" t="inlineStr">
        <is>
          <t>40กล.</t>
        </is>
      </c>
      <c r="D406" s="9" t="n">
        <v>660</v>
      </c>
      <c r="H406" s="9" t="n">
        <v>26400</v>
      </c>
      <c r="I406" s="10" t="inlineStr">
        <is>
          <t>บจก. วีที คัลเลอร์ โปร</t>
        </is>
      </c>
      <c r="J406" s="161" t="n">
        <v>24069</v>
      </c>
      <c r="K406" s="8" t="inlineStr">
        <is>
          <t>IV275-65</t>
        </is>
      </c>
      <c r="L406" s="8" t="inlineStr">
        <is>
          <t>ราคาที่ลง ยังไม่รวมภาษี</t>
        </is>
      </c>
    </row>
    <row r="407">
      <c r="B407" s="6" t="inlineStr">
        <is>
          <t>แลคเกอร์ BRM PREMIUM 4:1</t>
        </is>
      </c>
      <c r="C407" s="8" t="inlineStr">
        <is>
          <t>30กล.</t>
        </is>
      </c>
      <c r="D407" s="9" t="n">
        <v>660</v>
      </c>
      <c r="H407" s="9" t="n">
        <v>19800</v>
      </c>
      <c r="I407" s="10" t="inlineStr">
        <is>
          <t>บจก. วีที คัลเลอร์ โปร</t>
        </is>
      </c>
      <c r="J407" s="161" t="n">
        <v>24095</v>
      </c>
      <c r="K407" s="8" t="inlineStr">
        <is>
          <t>IV318-65</t>
        </is>
      </c>
      <c r="L407" s="8" t="inlineStr">
        <is>
          <t>ราคาที่ลง ยังไม่รวมภาษี</t>
        </is>
      </c>
    </row>
    <row r="408">
      <c r="B408" s="6" t="inlineStr">
        <is>
          <t>แลคเกอร์ BRM PREMIUM 4:1</t>
        </is>
      </c>
      <c r="C408" s="8" t="inlineStr">
        <is>
          <t>30กล.</t>
        </is>
      </c>
      <c r="D408" s="9" t="n">
        <v>660</v>
      </c>
      <c r="H408" s="9" t="n">
        <v>19800</v>
      </c>
      <c r="I408" s="10" t="inlineStr">
        <is>
          <t>บจก. วีที คัลเลอร์ โปร</t>
        </is>
      </c>
      <c r="J408" s="161" t="n">
        <v>24127</v>
      </c>
      <c r="K408" s="8" t="inlineStr">
        <is>
          <t>IV042-66</t>
        </is>
      </c>
      <c r="L408" s="8" t="inlineStr">
        <is>
          <t>ราคาที่ลง ยังไม่รวมภาษี</t>
        </is>
      </c>
    </row>
    <row r="409">
      <c r="B409" s="6" t="inlineStr">
        <is>
          <t>แลคเกอร์ BRM PREMIUM 4:1</t>
        </is>
      </c>
      <c r="C409" s="8" t="inlineStr">
        <is>
          <t>40กล.</t>
        </is>
      </c>
      <c r="D409" s="9" t="n">
        <v>660</v>
      </c>
      <c r="H409" s="9" t="n">
        <v>26400</v>
      </c>
      <c r="I409" s="10" t="inlineStr">
        <is>
          <t>บจก. วีที คัลเลอร์ โปร</t>
        </is>
      </c>
      <c r="J409" s="161" t="n">
        <v>24160</v>
      </c>
      <c r="K409" s="8" t="inlineStr">
        <is>
          <t>IV114-66</t>
        </is>
      </c>
      <c r="L409" s="8" t="inlineStr">
        <is>
          <t>ราคาที่ลง ยังไม่รวมภาษี</t>
        </is>
      </c>
    </row>
    <row r="410">
      <c r="B410" s="6" t="inlineStr">
        <is>
          <t>แลคเกอร์ BRM PREMIUM 4:1</t>
        </is>
      </c>
      <c r="C410" s="8" t="inlineStr">
        <is>
          <t>40กล.</t>
        </is>
      </c>
      <c r="D410" s="9" t="n">
        <v>660</v>
      </c>
      <c r="H410" s="9" t="n">
        <v>26400</v>
      </c>
      <c r="I410" s="10" t="inlineStr">
        <is>
          <t>บจก. วีที คัลเลอร์ โปร</t>
        </is>
      </c>
      <c r="J410" s="161" t="n">
        <v>24189</v>
      </c>
      <c r="K410" s="8" t="inlineStr">
        <is>
          <t>IV177-66</t>
        </is>
      </c>
      <c r="L410" s="8" t="inlineStr">
        <is>
          <t>ราคาที่ลง ยังไม่รวมภาษี</t>
        </is>
      </c>
    </row>
    <row r="411">
      <c r="B411" s="6" t="inlineStr">
        <is>
          <t>แลคเกอร์ BRM PREMIUM 4:1</t>
        </is>
      </c>
      <c r="C411" s="8" t="inlineStr">
        <is>
          <t>40กล.</t>
        </is>
      </c>
      <c r="D411" s="9" t="n">
        <v>660</v>
      </c>
      <c r="H411" s="9" t="n">
        <v>26400</v>
      </c>
      <c r="I411" s="10" t="inlineStr">
        <is>
          <t>บจก. วีที คัลเลอร์ โปร</t>
        </is>
      </c>
      <c r="J411" s="161" t="n">
        <v>24282</v>
      </c>
      <c r="K411" s="8" t="inlineStr">
        <is>
          <t>IV354-66</t>
        </is>
      </c>
      <c r="L411" s="8" t="inlineStr">
        <is>
          <t>ราคาที่ลง ยังไม่รวมภาษี</t>
        </is>
      </c>
    </row>
    <row r="412">
      <c r="B412" s="6" t="inlineStr">
        <is>
          <t>แลคเกอร์ BRM PREMIUM 4:1</t>
        </is>
      </c>
      <c r="C412" s="8" t="inlineStr">
        <is>
          <t>40กล.</t>
        </is>
      </c>
      <c r="D412" s="9" t="n">
        <v>660</v>
      </c>
      <c r="H412" s="9" t="n">
        <v>26400</v>
      </c>
      <c r="I412" s="10" t="inlineStr">
        <is>
          <t>บจก. วีที คัลเลอร์ โปร</t>
        </is>
      </c>
      <c r="J412" s="161" t="n">
        <v>24315</v>
      </c>
      <c r="K412" s="8" t="inlineStr">
        <is>
          <t>IV425-66</t>
        </is>
      </c>
      <c r="L412" s="8" t="inlineStr">
        <is>
          <t>ราคาที่ลง ยังไม่รวมภาษี</t>
        </is>
      </c>
    </row>
    <row r="413">
      <c r="B413" s="6" t="inlineStr">
        <is>
          <t>แลคเกอร์ BRM PREMIUM 4:1</t>
        </is>
      </c>
      <c r="C413" s="8" t="n">
        <v>40</v>
      </c>
      <c r="D413" s="9" t="n">
        <v>660</v>
      </c>
      <c r="H413" s="9">
        <f>SUM(D413*C413)</f>
        <v/>
      </c>
      <c r="I413" s="10" t="inlineStr">
        <is>
          <t>บจก. วีที คัลเลอร์ โปร</t>
        </is>
      </c>
      <c r="J413" s="161" t="n">
        <v>24340</v>
      </c>
      <c r="K413" s="8" t="inlineStr">
        <is>
          <t>IV470-66</t>
        </is>
      </c>
      <c r="L413" s="8" t="inlineStr">
        <is>
          <t>ราคาที่ลง ยังไม่รวมภาษี</t>
        </is>
      </c>
    </row>
    <row r="414">
      <c r="B414" s="6" t="inlineStr">
        <is>
          <t>แลคเกอร์ BRM PREMIUM 4:1</t>
        </is>
      </c>
      <c r="C414" s="8" t="n">
        <v>40</v>
      </c>
      <c r="D414" s="9" t="n">
        <v>660</v>
      </c>
      <c r="H414" s="9">
        <f>SUM(D414*C414)</f>
        <v/>
      </c>
      <c r="I414" s="10" t="inlineStr">
        <is>
          <t>บจก. วีที คัลเลอร์ โปร</t>
        </is>
      </c>
      <c r="J414" s="161" t="n">
        <v>24372</v>
      </c>
      <c r="K414" s="8" t="inlineStr">
        <is>
          <t>IV542-66</t>
        </is>
      </c>
      <c r="L414" s="8" t="inlineStr">
        <is>
          <t>ราคาที่ลง ยังไม่รวมภาษี</t>
        </is>
      </c>
    </row>
    <row r="415">
      <c r="B415" s="6" t="inlineStr">
        <is>
          <t>แลคเกอร์ BRM PREMIUM 4:1</t>
        </is>
      </c>
      <c r="C415" s="8" t="n">
        <v>40</v>
      </c>
      <c r="D415" s="9" t="n">
        <v>660</v>
      </c>
      <c r="H415" s="9">
        <f>SUM(D415*C415)</f>
        <v/>
      </c>
      <c r="I415" s="10" t="inlineStr">
        <is>
          <t>บจก. วีที คัลเลอร์ โปร</t>
        </is>
      </c>
      <c r="J415" s="161" t="n">
        <v>24401</v>
      </c>
      <c r="K415" s="8" t="inlineStr">
        <is>
          <t>IV685-66</t>
        </is>
      </c>
      <c r="L415" s="8" t="inlineStr">
        <is>
          <t>ราคาที่ลง ยังไม่รวมภาษี</t>
        </is>
      </c>
    </row>
    <row r="416">
      <c r="B416" s="6" t="inlineStr">
        <is>
          <t>แลคเกอร์ BRM PREMIUM 4:1</t>
        </is>
      </c>
      <c r="C416" s="8" t="n">
        <v>50</v>
      </c>
      <c r="D416" s="9" t="n">
        <v>660</v>
      </c>
      <c r="H416" s="9">
        <f>SUM(D416*C416)</f>
        <v/>
      </c>
      <c r="I416" s="10" t="inlineStr">
        <is>
          <t>บจก. วีที คัลเลอร์ โปร</t>
        </is>
      </c>
      <c r="J416" s="161" t="n">
        <v>24404</v>
      </c>
      <c r="K416" s="8" t="inlineStr">
        <is>
          <t>IV620-66</t>
        </is>
      </c>
      <c r="L416" s="8" t="inlineStr">
        <is>
          <t>ราคาที่ลง ยังไม่รวมภาษี</t>
        </is>
      </c>
    </row>
    <row r="417">
      <c r="B417" s="6" t="inlineStr">
        <is>
          <t>แลคเกอร์ BRM PREMIUM 4:1</t>
        </is>
      </c>
      <c r="C417" s="8" t="n">
        <v>30</v>
      </c>
      <c r="D417" s="9" t="n">
        <v>660</v>
      </c>
      <c r="H417" s="9">
        <f>SUM(D417*C417)</f>
        <v/>
      </c>
      <c r="I417" s="10" t="inlineStr">
        <is>
          <t>บจก. วีที คัลเลอร์ โปร</t>
        </is>
      </c>
      <c r="J417" s="161" t="n">
        <v>24462</v>
      </c>
      <c r="K417" s="8" t="inlineStr">
        <is>
          <t>IV764-66</t>
        </is>
      </c>
      <c r="L417" s="8" t="inlineStr">
        <is>
          <t>ราคาที่ลง ยังไม่รวมภาษี</t>
        </is>
      </c>
    </row>
    <row r="418">
      <c r="B418" s="6" t="inlineStr">
        <is>
          <t>แลคเกอร์ HYBRID PREMIUM 4:1</t>
        </is>
      </c>
      <c r="C418" s="8" t="n">
        <v>12</v>
      </c>
      <c r="D418" s="9" t="n">
        <v>660</v>
      </c>
      <c r="H418" s="9">
        <f>SUM(D418*C418)</f>
        <v/>
      </c>
      <c r="I418" s="10" t="inlineStr">
        <is>
          <t>บจก. วีที คัลเลอร์ โปร</t>
        </is>
      </c>
      <c r="J418" s="161" t="n">
        <v>24496</v>
      </c>
      <c r="K418" s="8" t="inlineStr">
        <is>
          <t>IV6701080</t>
        </is>
      </c>
      <c r="L418" s="8" t="inlineStr">
        <is>
          <t>ราคาที่ลง ยังไม่รวมภาษี</t>
        </is>
      </c>
    </row>
    <row r="419">
      <c r="B419" s="6" t="inlineStr">
        <is>
          <t>แลคเกอร์ HYBRID PREMIUM 4:1</t>
        </is>
      </c>
      <c r="C419" s="8" t="n">
        <v>40</v>
      </c>
      <c r="D419" s="9" t="n">
        <v>660</v>
      </c>
      <c r="H419" s="9">
        <f>SUM(D419*C419)</f>
        <v/>
      </c>
      <c r="I419" s="10" t="inlineStr">
        <is>
          <t>บจก. วีที คัลเลอร์ โปร</t>
        </is>
      </c>
      <c r="J419" s="161" t="n">
        <v>24529</v>
      </c>
      <c r="K419" s="8" t="inlineStr">
        <is>
          <t>IV6702104</t>
        </is>
      </c>
      <c r="L419" s="8" t="inlineStr">
        <is>
          <t>ราคาที่ลง ยังไม่รวมภาษี</t>
        </is>
      </c>
    </row>
    <row r="420">
      <c r="B420" s="6" t="inlineStr">
        <is>
          <t>แลคเกอร์ HYBRID PREMIUM 4:1</t>
        </is>
      </c>
      <c r="C420" s="8" t="n">
        <v>24</v>
      </c>
      <c r="D420" s="9" t="n">
        <v>660</v>
      </c>
      <c r="H420" s="9">
        <f>SUM(D420*C420)</f>
        <v/>
      </c>
      <c r="I420" s="10" t="inlineStr">
        <is>
          <t>บจก. วีที คัลเลอร์ โปร</t>
        </is>
      </c>
      <c r="J420" s="161" t="n">
        <v>24550</v>
      </c>
      <c r="K420" s="8" t="inlineStr">
        <is>
          <t>IV6703087</t>
        </is>
      </c>
      <c r="L420" s="8" t="inlineStr">
        <is>
          <t>ราคาที่ลง ยังไม่รวมภาษี</t>
        </is>
      </c>
    </row>
    <row r="421">
      <c r="B421" s="6" t="inlineStr">
        <is>
          <t>แลคเกอร์ HYBRID PREMIUM 4:1</t>
        </is>
      </c>
      <c r="C421" s="8" t="n">
        <v>40</v>
      </c>
      <c r="D421" s="9" t="n">
        <v>660</v>
      </c>
      <c r="H421" s="9">
        <f>SUM(D421*C421)</f>
        <v/>
      </c>
      <c r="I421" s="10" t="inlineStr">
        <is>
          <t>บจก. วีที คัลเลอร์ โปร</t>
        </is>
      </c>
      <c r="J421" s="161" t="n">
        <v>24584</v>
      </c>
      <c r="K421" s="8" t="inlineStr">
        <is>
          <t>IV6704071</t>
        </is>
      </c>
      <c r="L421" s="8" t="inlineStr">
        <is>
          <t>ราคาที่ลง ยังไม่รวมภาษี</t>
        </is>
      </c>
    </row>
    <row r="422">
      <c r="B422" s="6" t="inlineStr">
        <is>
          <t>แลคเกอร์ HYBRID PREMIUM 4:1</t>
        </is>
      </c>
      <c r="C422" s="8" t="n">
        <v>40</v>
      </c>
      <c r="D422" s="9" t="n">
        <v>660</v>
      </c>
      <c r="H422" s="9">
        <f>SUM(D422*C422)</f>
        <v/>
      </c>
      <c r="I422" s="10" t="inlineStr">
        <is>
          <t>บจก. วีที คัลเลอร์ โปร</t>
        </is>
      </c>
      <c r="J422" s="161" t="n">
        <v>24613</v>
      </c>
      <c r="K422" s="8" t="inlineStr">
        <is>
          <t>IV6705105</t>
        </is>
      </c>
      <c r="L422" s="8" t="inlineStr">
        <is>
          <t>ราคาที่ลง ยังไม่รวมภาษี</t>
        </is>
      </c>
    </row>
    <row r="423">
      <c r="B423" s="6" t="inlineStr">
        <is>
          <t>แลคเกอร์ HYBRID PREMIUM 4:1</t>
        </is>
      </c>
      <c r="C423" s="8" t="n">
        <v>40</v>
      </c>
      <c r="D423" s="9" t="n">
        <v>660</v>
      </c>
      <c r="H423" s="9">
        <f>SUM(D423*C423)</f>
        <v/>
      </c>
      <c r="I423" s="10" t="inlineStr">
        <is>
          <t>บจก. วีที คัลเลอร์ โปร</t>
        </is>
      </c>
      <c r="J423" s="161" t="n">
        <v>24644</v>
      </c>
      <c r="K423" s="8" t="inlineStr">
        <is>
          <t>IV6706124</t>
        </is>
      </c>
      <c r="L423" s="8" t="inlineStr">
        <is>
          <t>ราคาที่ลง ยังไม่รวมภาษี</t>
        </is>
      </c>
    </row>
    <row r="424">
      <c r="B424" s="6" t="inlineStr">
        <is>
          <t>แลคเกอร์ HYBRID PREMIUM 4:1</t>
        </is>
      </c>
      <c r="C424" s="8" t="n">
        <v>40</v>
      </c>
      <c r="D424" s="9" t="n">
        <v>660</v>
      </c>
      <c r="H424" s="9">
        <f>SUM(D424*C424)</f>
        <v/>
      </c>
      <c r="I424" s="10" t="inlineStr">
        <is>
          <t>บจก. วีที คัลเลอร์ โปร</t>
        </is>
      </c>
      <c r="J424" s="161" t="n">
        <v>24676</v>
      </c>
      <c r="K424" s="8" t="inlineStr">
        <is>
          <t>IV6707131</t>
        </is>
      </c>
      <c r="L424" s="8" t="inlineStr">
        <is>
          <t>ราคาที่ลง ยังไม่รวมภาษี</t>
        </is>
      </c>
    </row>
    <row r="425">
      <c r="B425" s="6" t="inlineStr">
        <is>
          <t>แลคเกอร์ HYBRID PREMIUM 4:1</t>
        </is>
      </c>
      <c r="C425" s="8" t="n">
        <v>30</v>
      </c>
      <c r="D425" s="9" t="n">
        <v>660</v>
      </c>
      <c r="H425" s="9">
        <f>SUM(D425*C425)</f>
        <v/>
      </c>
      <c r="I425" s="10" t="inlineStr">
        <is>
          <t>บจก. วีที คัลเลอร์ โปร</t>
        </is>
      </c>
      <c r="J425" s="161" t="n">
        <v>24707</v>
      </c>
      <c r="K425" s="8" t="inlineStr">
        <is>
          <t>IV6708117</t>
        </is>
      </c>
      <c r="L425" s="8" t="inlineStr">
        <is>
          <t>ราคาที่ลง ยังไม่รวมภาษี</t>
        </is>
      </c>
    </row>
    <row r="426">
      <c r="B426" s="6" t="inlineStr">
        <is>
          <t>แลคเกอร์ HYBRID PREMIUM 4:1</t>
        </is>
      </c>
      <c r="C426" s="8" t="n">
        <v>30</v>
      </c>
      <c r="D426" s="9" t="n">
        <v>660</v>
      </c>
      <c r="H426" s="9">
        <f>SUM(D426*C426)</f>
        <v/>
      </c>
      <c r="I426" s="10" t="inlineStr">
        <is>
          <t>บจก. วีที คัลเลอร์ โปร</t>
        </is>
      </c>
      <c r="J426" s="161" t="n">
        <v>24739</v>
      </c>
      <c r="K426" s="8" t="inlineStr">
        <is>
          <t>IV6709123</t>
        </is>
      </c>
      <c r="L426" s="8" t="inlineStr">
        <is>
          <t>ราคาที่ลง ยังไม่รวมภาษี</t>
        </is>
      </c>
    </row>
    <row r="427">
      <c r="B427" s="6" t="inlineStr">
        <is>
          <t>แลคเกอร์ HYBRID PREMIUM 4:1</t>
        </is>
      </c>
      <c r="C427" s="8" t="n">
        <v>40</v>
      </c>
      <c r="D427" s="9" t="n">
        <v>660</v>
      </c>
      <c r="H427" s="9">
        <f>SUM(D427*C427)</f>
        <v/>
      </c>
      <c r="I427" s="10" t="inlineStr">
        <is>
          <t>บจก. วีที คัลเลอร์ โปร</t>
        </is>
      </c>
      <c r="J427" s="161" t="n">
        <v>24766</v>
      </c>
      <c r="K427" s="8" t="inlineStr">
        <is>
          <t>IV6710109</t>
        </is>
      </c>
      <c r="L427" s="8" t="inlineStr">
        <is>
          <t>ราคาที่ลง ยังไม่รวมภาษี</t>
        </is>
      </c>
    </row>
    <row r="428">
      <c r="B428" s="6" t="inlineStr">
        <is>
          <t>แลคเกอร์ HYBRID PREMIUM 4:1</t>
        </is>
      </c>
      <c r="C428" s="8" t="n">
        <v>40</v>
      </c>
      <c r="D428" s="9" t="n">
        <v>660</v>
      </c>
      <c r="H428" s="9">
        <f>SUM(D428*C428)</f>
        <v/>
      </c>
      <c r="I428" s="10" t="inlineStr">
        <is>
          <t>บจก. วีที คัลเลอร์ โปร</t>
        </is>
      </c>
      <c r="J428" s="161" t="n">
        <v>24795</v>
      </c>
      <c r="K428" s="8" t="inlineStr">
        <is>
          <t>IV6711104</t>
        </is>
      </c>
      <c r="L428" s="8" t="inlineStr">
        <is>
          <t>ราคาที่ลง ยังไม่รวมภาษี</t>
        </is>
      </c>
    </row>
    <row r="429">
      <c r="B429" s="6" t="inlineStr">
        <is>
          <t>แลคเกอร์ HYBRID PREMIUM 4:1</t>
        </is>
      </c>
      <c r="C429" s="8" t="n">
        <v>40</v>
      </c>
      <c r="D429" s="9" t="n">
        <v>660</v>
      </c>
      <c r="H429" s="9">
        <f>SUM(D429*C429)</f>
        <v/>
      </c>
      <c r="I429" s="10" t="inlineStr">
        <is>
          <t>บจก. วีที คัลเลอร์ โปร</t>
        </is>
      </c>
      <c r="J429" s="161" t="n">
        <v>24824</v>
      </c>
      <c r="K429" s="8" t="inlineStr">
        <is>
          <t>IV6712085</t>
        </is>
      </c>
      <c r="L429" s="8" t="inlineStr">
        <is>
          <t>ราคาที่ลง ยังไม่รวมภาษี</t>
        </is>
      </c>
    </row>
    <row r="430">
      <c r="B430" s="6" t="inlineStr">
        <is>
          <t>แลคเกอร์ HYBRID PREMIUM 4:1</t>
        </is>
      </c>
      <c r="C430" s="8" t="n">
        <v>40</v>
      </c>
      <c r="D430" s="9" t="n">
        <v>706.2</v>
      </c>
      <c r="H430" s="9">
        <f>SUM(D430*C430)</f>
        <v/>
      </c>
      <c r="I430" s="10" t="inlineStr">
        <is>
          <t>บจก. วีที คัลเลอร์ โปร</t>
        </is>
      </c>
      <c r="J430" s="161" t="n">
        <v>24858</v>
      </c>
      <c r="K430" s="8" t="inlineStr">
        <is>
          <t>IV6801106</t>
        </is>
      </c>
      <c r="L430" s="8" t="inlineStr">
        <is>
          <t>ราคารวม VAT แล้ว</t>
        </is>
      </c>
    </row>
    <row r="431">
      <c r="B431" s="6" t="inlineStr">
        <is>
          <t>แลคเกอร์ HYBRID PREMIUM 4:1</t>
        </is>
      </c>
      <c r="C431" s="8" t="n">
        <v>40</v>
      </c>
      <c r="D431" s="9" t="n">
        <v>706.2</v>
      </c>
      <c r="H431" s="9">
        <f>SUM(D431*C431)</f>
        <v/>
      </c>
      <c r="I431" s="10" t="inlineStr">
        <is>
          <t>บจก. วีที คัลเลอร์ โปร</t>
        </is>
      </c>
      <c r="J431" s="161" t="n">
        <v>24892</v>
      </c>
      <c r="K431" s="8" t="inlineStr">
        <is>
          <t>IV6802145</t>
        </is>
      </c>
      <c r="L431" s="8" t="inlineStr">
        <is>
          <t>ราคารวม VAT แล้ว</t>
        </is>
      </c>
    </row>
    <row r="432">
      <c r="B432" s="6" t="inlineStr">
        <is>
          <t>แลคเกอร์ HYBRID PREMIUM 4:1</t>
        </is>
      </c>
      <c r="C432" s="8" t="n">
        <v>40</v>
      </c>
      <c r="D432" s="9" t="n">
        <v>706.2</v>
      </c>
      <c r="H432" s="9">
        <f>SUM(D432*C432)</f>
        <v/>
      </c>
      <c r="I432" s="10" t="inlineStr">
        <is>
          <t>บจก. วีที คัลเลอร์ โปร</t>
        </is>
      </c>
      <c r="J432" s="161" t="n">
        <v>24923</v>
      </c>
      <c r="K432" s="8" t="inlineStr">
        <is>
          <t>IV6803172</t>
        </is>
      </c>
      <c r="L432" s="8" t="inlineStr">
        <is>
          <t>ราคารวม VAT แล้ว</t>
        </is>
      </c>
    </row>
    <row r="433">
      <c r="B433" s="6" t="inlineStr">
        <is>
          <t>แลคเกอร์ HYBRID PREMIUM 4:1</t>
        </is>
      </c>
      <c r="C433" s="8" t="n">
        <v>30</v>
      </c>
      <c r="D433" s="9" t="n">
        <v>660</v>
      </c>
      <c r="E433" s="9">
        <f>SUM(C433*D433)</f>
        <v/>
      </c>
      <c r="H433" s="9">
        <f>SUM(E433*O433/N433)</f>
        <v/>
      </c>
      <c r="I433" s="10" t="inlineStr">
        <is>
          <t>บจก. วีที คัลเลอร์ โปร</t>
        </is>
      </c>
      <c r="J433" s="161" t="n">
        <v>24952</v>
      </c>
      <c r="K433" s="8" t="inlineStr">
        <is>
          <t>IV6804121</t>
        </is>
      </c>
      <c r="N433" s="6" t="n">
        <v>100</v>
      </c>
      <c r="O433" s="6" t="n">
        <v>107</v>
      </c>
    </row>
    <row r="434">
      <c r="B434" s="6" t="inlineStr">
        <is>
          <t>แลคเกอร์ HYBRID PREMIUM 4:1</t>
        </is>
      </c>
      <c r="C434" s="8" t="n">
        <v>40</v>
      </c>
      <c r="D434" s="9" t="n">
        <v>660</v>
      </c>
      <c r="E434" s="9">
        <f>SUM(C434*D434)</f>
        <v/>
      </c>
      <c r="H434" s="9">
        <f>SUM(E434*O434/N434)</f>
        <v/>
      </c>
      <c r="I434" s="10" t="inlineStr">
        <is>
          <t>บจก. วีที คัลเลอร์ โปร</t>
        </is>
      </c>
      <c r="J434" s="161" t="n">
        <v>24979</v>
      </c>
      <c r="K434" s="8" t="inlineStr">
        <is>
          <t>IV6805147</t>
        </is>
      </c>
      <c r="N434" s="6" t="n">
        <v>100</v>
      </c>
      <c r="O434" s="6" t="n">
        <v>107</v>
      </c>
    </row>
    <row r="435">
      <c r="B435" s="6" t="inlineStr">
        <is>
          <t>แลคเกอร์ HYBRID PREMIUM 4:1</t>
        </is>
      </c>
      <c r="C435" s="8" t="n">
        <v>40</v>
      </c>
      <c r="D435" s="9" t="n">
        <v>440</v>
      </c>
      <c r="E435" s="9">
        <f>SUM(D435*C435)</f>
        <v/>
      </c>
      <c r="F435" s="8" t="n">
        <v>0.07000000000000001</v>
      </c>
      <c r="G435" s="10" t="inlineStr">
        <is>
          <t>รวม VAT =</t>
        </is>
      </c>
      <c r="H435" s="9">
        <f>SUM(E435+N435)</f>
        <v/>
      </c>
      <c r="I435" s="10" t="inlineStr">
        <is>
          <t>บจก. วีที คัลเลอร์ โปร</t>
        </is>
      </c>
      <c r="J435" s="161" t="n">
        <v>25015</v>
      </c>
      <c r="K435" s="8" t="inlineStr">
        <is>
          <t>IV6806175</t>
        </is>
      </c>
      <c r="L435" s="8" t="inlineStr">
        <is>
          <t>ราคาที่ระบุ ยังไม่รวม VAT7%</t>
        </is>
      </c>
      <c r="N435" s="6">
        <f>SUM(E435*F435)</f>
        <v/>
      </c>
    </row>
    <row r="436">
      <c r="B436" s="42" t="inlineStr">
        <is>
          <t xml:space="preserve"> ** นำเสนอ แลคเกอร์ HYBRID PREMIUM 9400 2:1 ที่มาเทสต์แล้วดีกว่า ราคาถูกกว่า คือเหลือชุดละ 800 บาท (ใช้ฮาร์ด 1กป.)</t>
        </is>
      </c>
    </row>
    <row r="437">
      <c r="B437" s="6" t="inlineStr">
        <is>
          <t>แลคเกอร์ HYBRID 9400 4:1</t>
        </is>
      </c>
      <c r="C437" s="8" t="n">
        <v>24</v>
      </c>
      <c r="D437" s="9" t="n">
        <v>500</v>
      </c>
      <c r="E437" s="9">
        <f>SUM(D437*C437)</f>
        <v/>
      </c>
      <c r="F437" s="8" t="n">
        <v>0.07000000000000001</v>
      </c>
      <c r="G437" s="10" t="inlineStr">
        <is>
          <t>รวม VAT =</t>
        </is>
      </c>
      <c r="H437" s="9">
        <f>SUM(E437+N437)</f>
        <v/>
      </c>
      <c r="I437" s="10" t="inlineStr">
        <is>
          <t>บจก. วีที คัลเลอร์ โปร</t>
        </is>
      </c>
      <c r="J437" s="161" t="n">
        <v>25069</v>
      </c>
      <c r="K437" s="8" t="inlineStr">
        <is>
          <t>IV6808112</t>
        </is>
      </c>
      <c r="L437" s="8" t="inlineStr">
        <is>
          <t>ราคาที่ระบุ ยังไม่รวม VAT7%</t>
        </is>
      </c>
      <c r="N437" s="6">
        <f>SUM(E437*F437)</f>
        <v/>
      </c>
    </row>
    <row r="438">
      <c r="B438" s="6" t="inlineStr">
        <is>
          <t>แลคเกอร์ HYBRID 9400 4:1</t>
        </is>
      </c>
      <c r="C438" s="8" t="n">
        <v>42</v>
      </c>
      <c r="D438" s="9" t="n">
        <v>500</v>
      </c>
      <c r="E438" s="9">
        <f>SUM(D438*C438)</f>
        <v/>
      </c>
      <c r="F438" s="8" t="n">
        <v>0.07000000000000001</v>
      </c>
      <c r="G438" s="10" t="inlineStr">
        <is>
          <t>รวม VAT =</t>
        </is>
      </c>
      <c r="H438" s="9">
        <f>SUM(E438+N438)</f>
        <v/>
      </c>
      <c r="I438" s="10" t="inlineStr">
        <is>
          <t>บจก. วีที คัลเลอร์ โปร</t>
        </is>
      </c>
      <c r="J438" s="161" t="n">
        <v>25098</v>
      </c>
      <c r="K438" s="8" t="inlineStr">
        <is>
          <t>IV6809124</t>
        </is>
      </c>
      <c r="L438" s="8" t="inlineStr">
        <is>
          <t>ราคาที่ระบุ ยังไม่รวม VAT7%</t>
        </is>
      </c>
      <c r="N438" s="6">
        <f>SUM(E438*F438)</f>
        <v/>
      </c>
    </row>
    <row r="439">
      <c r="B439" s="6" t="inlineStr">
        <is>
          <t>แลคเกอร์ HYBRID 9400 4:1</t>
        </is>
      </c>
      <c r="C439" s="8" t="n">
        <v>40</v>
      </c>
      <c r="D439" s="9" t="n">
        <v>500</v>
      </c>
      <c r="E439" s="9">
        <f>SUM(D439*C439)</f>
        <v/>
      </c>
      <c r="F439" s="8" t="n">
        <v>0.07000000000000001</v>
      </c>
      <c r="G439" s="10" t="inlineStr">
        <is>
          <t>รวม VAT =</t>
        </is>
      </c>
      <c r="H439" s="9">
        <f>SUM(E439+N439)</f>
        <v/>
      </c>
      <c r="I439" s="10" t="inlineStr">
        <is>
          <t>บจก. วีที คัลเลอร์ โปร</t>
        </is>
      </c>
      <c r="J439" s="161" t="n">
        <v>25145</v>
      </c>
      <c r="K439" s="8" t="inlineStr">
        <is>
          <t>IV6811023</t>
        </is>
      </c>
      <c r="L439" s="8" t="inlineStr">
        <is>
          <t>ราคาที่ระบุ ยังไม่รวม VAT7%</t>
        </is>
      </c>
      <c r="N439" s="6">
        <f>SUM(E439*F439)</f>
        <v/>
      </c>
    </row>
    <row r="440">
      <c r="B440" s="6" t="inlineStr">
        <is>
          <t>แลคเกอร์ HYBRID 9400 4:1</t>
        </is>
      </c>
      <c r="C440" s="8" t="n">
        <v>42</v>
      </c>
      <c r="D440" s="9" t="n">
        <v>500</v>
      </c>
      <c r="E440" s="9">
        <f>SUM(D440*C440)</f>
        <v/>
      </c>
      <c r="F440" s="8" t="n">
        <v>0.07000000000000001</v>
      </c>
      <c r="G440" s="10" t="inlineStr">
        <is>
          <t>ยอดรวม VAT =</t>
        </is>
      </c>
      <c r="H440" s="9">
        <f>SUM(E440+N440)</f>
        <v/>
      </c>
      <c r="I440" s="10" t="inlineStr">
        <is>
          <t>บจก. วีที คัลเลอร์ โปร</t>
        </is>
      </c>
      <c r="J440" s="161" t="n">
        <v>25189</v>
      </c>
      <c r="K440" s="8" t="inlineStr">
        <is>
          <t>IV6812124</t>
        </is>
      </c>
      <c r="N440" s="6">
        <f>SUM(E440*F440)</f>
        <v/>
      </c>
    </row>
    <row r="441" customFormat="1" s="42">
      <c r="A441" s="45" t="n"/>
      <c r="B441" s="42" t="inlineStr">
        <is>
          <t xml:space="preserve"> ** เมื่อ 21/2/69 วาทีนำเสนอ แลคเกอร์ HYBRID 8990 4:1 ราคาพร้อม ฮาร์ดเดนเนอร์ HYBRID 8991 4:1 = 750 บาท/ต่อชุด (เดิมชุดละ 800บาท) -- เอาของมาให้ช่างเทสต์แล้ว ช่างแจ้งว่าใช้ดี (ราคาถูกกว่าตัวที่ใช้อยู่)</t>
        </is>
      </c>
      <c r="C441" s="45" t="n"/>
      <c r="D441" s="16" t="n"/>
      <c r="E441" s="16" t="n"/>
      <c r="F441" s="45" t="n"/>
      <c r="G441" s="50" t="n"/>
      <c r="H441" s="16" t="n"/>
      <c r="I441" s="50" t="n"/>
      <c r="J441" s="166" t="n"/>
      <c r="K441" s="45" t="n"/>
      <c r="L441" s="45" t="n"/>
    </row>
    <row r="443">
      <c r="A443" s="80" t="inlineStr">
        <is>
          <t>เวลาผสมใช้ฮาร์ด 1กป.</t>
        </is>
      </c>
      <c r="B443" s="6" t="inlineStr">
        <is>
          <t>ฮาร์ดเดนเนอร์ BRM PREMIUM 4:1</t>
        </is>
      </c>
      <c r="C443" s="8" t="inlineStr">
        <is>
          <t>40กป.</t>
        </is>
      </c>
      <c r="D443" s="9" t="n">
        <v>440</v>
      </c>
      <c r="H443" s="9" t="n">
        <v>17600</v>
      </c>
      <c r="I443" s="10" t="inlineStr">
        <is>
          <t>บจก. วีที คัลเลอร์ โปร</t>
        </is>
      </c>
      <c r="J443" s="161" t="n">
        <v>24005</v>
      </c>
      <c r="K443" s="8" t="inlineStr">
        <is>
          <t>IV183-65</t>
        </is>
      </c>
      <c r="L443" s="8" t="inlineStr">
        <is>
          <t>ราคาที่ลง ยังไม่รวมภาษี</t>
        </is>
      </c>
    </row>
    <row r="444">
      <c r="B444" s="6" t="inlineStr">
        <is>
          <t>ฮาร์ดเดนเนอร์ BRM PREMIUM 4:1</t>
        </is>
      </c>
      <c r="C444" s="8" t="inlineStr">
        <is>
          <t>24กป.</t>
        </is>
      </c>
      <c r="D444" s="9" t="n">
        <v>440</v>
      </c>
      <c r="H444" s="9" t="n">
        <v>10560</v>
      </c>
      <c r="I444" s="10" t="inlineStr">
        <is>
          <t>บจก. วีที คัลเลอร์ โปร</t>
        </is>
      </c>
      <c r="J444" s="161" t="n">
        <v>24040</v>
      </c>
      <c r="K444" s="8" t="inlineStr">
        <is>
          <t>IV227-65</t>
        </is>
      </c>
      <c r="L444" s="8" t="inlineStr">
        <is>
          <t>ราคาที่ลง ยังไม่รวมภาษี</t>
        </is>
      </c>
    </row>
    <row r="445">
      <c r="B445" s="6" t="inlineStr">
        <is>
          <t>ฮาร์ดเดนเนอร์ BRM PREMIUM 4:1</t>
        </is>
      </c>
      <c r="C445" s="8" t="inlineStr">
        <is>
          <t>40กป.</t>
        </is>
      </c>
      <c r="D445" s="9" t="n">
        <v>440</v>
      </c>
      <c r="H445" s="9" t="n">
        <v>17600</v>
      </c>
      <c r="I445" s="10" t="inlineStr">
        <is>
          <t>บจก. วีที คัลเลอร์ โปร</t>
        </is>
      </c>
      <c r="J445" s="161" t="n">
        <v>24069</v>
      </c>
      <c r="K445" s="8" t="inlineStr">
        <is>
          <t>IV275-65</t>
        </is>
      </c>
      <c r="L445" s="8" t="inlineStr">
        <is>
          <t>ราคาที่ลง ยังไม่รวมภาษี</t>
        </is>
      </c>
    </row>
    <row r="446">
      <c r="B446" s="6" t="inlineStr">
        <is>
          <t>ฮาร์ดเดนเนอร์ BRM PREMIUM 4:1</t>
        </is>
      </c>
      <c r="C446" s="8" t="inlineStr">
        <is>
          <t>30กป.</t>
        </is>
      </c>
      <c r="D446" s="9" t="n">
        <v>440</v>
      </c>
      <c r="H446" s="9" t="n">
        <v>13200</v>
      </c>
      <c r="I446" s="10" t="inlineStr">
        <is>
          <t>บจก. วีที คัลเลอร์ โปร</t>
        </is>
      </c>
      <c r="J446" s="161" t="n">
        <v>24095</v>
      </c>
      <c r="K446" s="8" t="inlineStr">
        <is>
          <t>IV318-65</t>
        </is>
      </c>
      <c r="L446" s="8" t="inlineStr">
        <is>
          <t>ราคาที่ลง ยังไม่รวมภาษี</t>
        </is>
      </c>
    </row>
    <row r="447">
      <c r="B447" s="6" t="inlineStr">
        <is>
          <t>ฮาร์ดเดนเนอร์ BRM PREMIUM 4:1</t>
        </is>
      </c>
      <c r="C447" s="8" t="inlineStr">
        <is>
          <t>30กป.</t>
        </is>
      </c>
      <c r="D447" s="9" t="n">
        <v>440</v>
      </c>
      <c r="H447" s="9" t="n">
        <v>13200</v>
      </c>
      <c r="I447" s="10" t="inlineStr">
        <is>
          <t>บจก. วีที คัลเลอร์ โปร</t>
        </is>
      </c>
      <c r="J447" s="161" t="n">
        <v>24127</v>
      </c>
      <c r="K447" s="8" t="inlineStr">
        <is>
          <t>IV042-66</t>
        </is>
      </c>
      <c r="L447" s="8" t="inlineStr">
        <is>
          <t>ราคาที่ลง ยังไม่รวมภาษี</t>
        </is>
      </c>
    </row>
    <row r="448">
      <c r="B448" s="6" t="inlineStr">
        <is>
          <t>ฮาร์ดเดนเนอร์ BRM PREMIUM 4:1</t>
        </is>
      </c>
      <c r="C448" s="8" t="inlineStr">
        <is>
          <t>40กป.</t>
        </is>
      </c>
      <c r="D448" s="9" t="n">
        <v>440</v>
      </c>
      <c r="H448" s="9" t="n">
        <v>17600</v>
      </c>
      <c r="I448" s="10" t="inlineStr">
        <is>
          <t>บจก. วีที คัลเลอร์ โปร</t>
        </is>
      </c>
      <c r="J448" s="161" t="n">
        <v>24160</v>
      </c>
      <c r="K448" s="8" t="inlineStr">
        <is>
          <t>IV114-66</t>
        </is>
      </c>
      <c r="L448" s="8" t="inlineStr">
        <is>
          <t>ราคาที่ลง ยังไม่รวมภาษี</t>
        </is>
      </c>
    </row>
    <row r="449">
      <c r="B449" s="6" t="inlineStr">
        <is>
          <t>ฮาร์ดเดนเนอร์ BRM PREMIUM 4:1</t>
        </is>
      </c>
      <c r="C449" s="8" t="inlineStr">
        <is>
          <t>40กป.</t>
        </is>
      </c>
      <c r="D449" s="9" t="n">
        <v>440</v>
      </c>
      <c r="H449" s="9" t="n">
        <v>17600</v>
      </c>
      <c r="I449" s="10" t="inlineStr">
        <is>
          <t>บจก. วีที คัลเลอร์ โปร</t>
        </is>
      </c>
      <c r="J449" s="161" t="n">
        <v>24189</v>
      </c>
      <c r="K449" s="8" t="inlineStr">
        <is>
          <t>IV177-66</t>
        </is>
      </c>
      <c r="L449" s="8" t="inlineStr">
        <is>
          <t>ราคาที่ลง ยังไม่รวมภาษี</t>
        </is>
      </c>
    </row>
    <row r="450">
      <c r="B450" s="6" t="inlineStr">
        <is>
          <t>ฮาร์ดเดนเนอร์ BRM PREMIUM 4:1</t>
        </is>
      </c>
      <c r="C450" s="8" t="inlineStr">
        <is>
          <t>50กป.</t>
        </is>
      </c>
      <c r="D450" s="9" t="n">
        <v>440</v>
      </c>
      <c r="H450" s="9" t="n">
        <v>22000</v>
      </c>
      <c r="I450" s="10" t="inlineStr">
        <is>
          <t>บจก. วีที คัลเลอร์ โปร</t>
        </is>
      </c>
      <c r="J450" s="161" t="n">
        <v>24282</v>
      </c>
      <c r="K450" s="8" t="inlineStr">
        <is>
          <t>IV354-66</t>
        </is>
      </c>
      <c r="L450" s="8" t="inlineStr">
        <is>
          <t>ราคาที่ลง ยังไม่รวมภาษี</t>
        </is>
      </c>
    </row>
    <row r="451">
      <c r="B451" s="6" t="inlineStr">
        <is>
          <t>ฮาร์ดเดนเนอร์ BRM PREMIUM 4:1</t>
        </is>
      </c>
      <c r="C451" s="8" t="inlineStr">
        <is>
          <t>40กป.</t>
        </is>
      </c>
      <c r="D451" s="9" t="n">
        <v>440</v>
      </c>
      <c r="H451" s="9" t="n">
        <v>17600</v>
      </c>
      <c r="I451" s="10" t="inlineStr">
        <is>
          <t>บจก. วีที คัลเลอร์ โปร</t>
        </is>
      </c>
      <c r="J451" s="161" t="n">
        <v>24315</v>
      </c>
      <c r="K451" s="8" t="inlineStr">
        <is>
          <t>IV425-66</t>
        </is>
      </c>
      <c r="L451" s="8" t="inlineStr">
        <is>
          <t>ราคาที่ลง ยังไม่รวมภาษี</t>
        </is>
      </c>
    </row>
    <row r="452">
      <c r="B452" s="6" t="inlineStr">
        <is>
          <t>ฮาร์ดเดนเนอร์ BRM PREMIUM 4:1</t>
        </is>
      </c>
      <c r="C452" s="8" t="n">
        <v>40</v>
      </c>
      <c r="D452" s="9" t="n">
        <v>440</v>
      </c>
      <c r="H452" s="9">
        <f>SUM(D452*C452)</f>
        <v/>
      </c>
      <c r="I452" s="10" t="inlineStr">
        <is>
          <t>บจก. วีที คัลเลอร์ โปร</t>
        </is>
      </c>
      <c r="J452" s="161" t="n">
        <v>24340</v>
      </c>
      <c r="K452" s="8" t="inlineStr">
        <is>
          <t>IV470-66</t>
        </is>
      </c>
      <c r="L452" s="8" t="inlineStr">
        <is>
          <t>ราคาที่ลง ยังไม่รวมภาษี</t>
        </is>
      </c>
    </row>
    <row r="453">
      <c r="B453" s="6" t="inlineStr">
        <is>
          <t>ฮาร์ดเดนเนอร์ BRM PREMIUM 4:1</t>
        </is>
      </c>
      <c r="C453" s="8" t="n">
        <v>40</v>
      </c>
      <c r="D453" s="9" t="n">
        <v>440</v>
      </c>
      <c r="H453" s="9">
        <f>SUM(D453*C453)</f>
        <v/>
      </c>
      <c r="I453" s="10" t="inlineStr">
        <is>
          <t>บจก. วีที คัลเลอร์ โปร</t>
        </is>
      </c>
      <c r="J453" s="161" t="n">
        <v>24372</v>
      </c>
      <c r="K453" s="8" t="inlineStr">
        <is>
          <t>IV542-66</t>
        </is>
      </c>
      <c r="L453" s="8" t="inlineStr">
        <is>
          <t>ราคาที่ลง ยังไม่รวมภาษี</t>
        </is>
      </c>
    </row>
    <row r="454">
      <c r="B454" s="6" t="inlineStr">
        <is>
          <t>ฮาร์ดเดนเนอร์ BRM PREMIUM 4:1</t>
        </is>
      </c>
      <c r="C454" s="8" t="n">
        <v>46</v>
      </c>
      <c r="D454" s="9" t="n">
        <v>440</v>
      </c>
      <c r="H454" s="9">
        <f>SUM(D454*C454)</f>
        <v/>
      </c>
      <c r="I454" s="10" t="inlineStr">
        <is>
          <t>บจก. วีที คัลเลอร์ โปร</t>
        </is>
      </c>
      <c r="J454" s="161" t="n">
        <v>24401</v>
      </c>
      <c r="K454" s="8" t="inlineStr">
        <is>
          <t>IV685-66</t>
        </is>
      </c>
      <c r="L454" s="8" t="inlineStr">
        <is>
          <t>ราคาที่ลง ยังไม่รวมภาษี</t>
        </is>
      </c>
    </row>
    <row r="455">
      <c r="B455" s="6" t="inlineStr">
        <is>
          <t>ฮาร์ดเดนเนอร์ BRM PREMIUM 4:1</t>
        </is>
      </c>
      <c r="C455" s="8" t="n">
        <v>50</v>
      </c>
      <c r="D455" s="9" t="n">
        <v>440</v>
      </c>
      <c r="H455" s="9">
        <f>SUM(D455*C455)</f>
        <v/>
      </c>
      <c r="I455" s="10" t="inlineStr">
        <is>
          <t>บจก. วีที คัลเลอร์ โปร</t>
        </is>
      </c>
      <c r="J455" s="161" t="n">
        <v>24404</v>
      </c>
      <c r="K455" s="8" t="inlineStr">
        <is>
          <t>IV620-66</t>
        </is>
      </c>
      <c r="L455" s="8" t="inlineStr">
        <is>
          <t>ราคาที่ลง ยังไม่รวมภาษี</t>
        </is>
      </c>
    </row>
    <row r="456">
      <c r="B456" s="6" t="inlineStr">
        <is>
          <t>ฮาร์ดเดนเนอร์ BRM PREMIUM 4:1</t>
        </is>
      </c>
      <c r="C456" s="8" t="n">
        <v>30</v>
      </c>
      <c r="D456" s="9" t="n">
        <v>440</v>
      </c>
      <c r="H456" s="9">
        <f>SUM(D456*C456)</f>
        <v/>
      </c>
      <c r="I456" s="10" t="inlineStr">
        <is>
          <t>บจก. วีที คัลเลอร์ โปร</t>
        </is>
      </c>
      <c r="J456" s="161" t="n">
        <v>24462</v>
      </c>
      <c r="K456" s="8" t="inlineStr">
        <is>
          <t>IV764-66</t>
        </is>
      </c>
      <c r="L456" s="8" t="inlineStr">
        <is>
          <t>ราคาที่ลง ยังไม่รวมภาษี</t>
        </is>
      </c>
    </row>
    <row r="457">
      <c r="B457" s="6" t="inlineStr">
        <is>
          <t>ฮาร์ดเดนเนอร์ HYBRID PREMIUM 4:1</t>
        </is>
      </c>
      <c r="C457" s="8" t="n">
        <v>12</v>
      </c>
      <c r="D457" s="9" t="n">
        <v>440</v>
      </c>
      <c r="H457" s="9">
        <f>SUM(D457*C457)</f>
        <v/>
      </c>
      <c r="I457" s="10" t="inlineStr">
        <is>
          <t>บจก. วีที คัลเลอร์ โปร</t>
        </is>
      </c>
      <c r="J457" s="161" t="n">
        <v>24496</v>
      </c>
      <c r="K457" s="8" t="inlineStr">
        <is>
          <t>IV6701080</t>
        </is>
      </c>
      <c r="L457" s="8" t="inlineStr">
        <is>
          <t>ราคาที่ลง ยังไม่รวมภาษี</t>
        </is>
      </c>
    </row>
    <row r="458">
      <c r="B458" s="6" t="inlineStr">
        <is>
          <t>ฮาร์ดเดนเนอร์ HYBRID PREMIUM 4:1</t>
        </is>
      </c>
      <c r="C458" s="8" t="n">
        <v>40</v>
      </c>
      <c r="D458" s="9" t="n">
        <v>440</v>
      </c>
      <c r="H458" s="9">
        <f>SUM(D458*C458)</f>
        <v/>
      </c>
      <c r="I458" s="10" t="inlineStr">
        <is>
          <t>บจก. วีที คัลเลอร์ โปร</t>
        </is>
      </c>
      <c r="J458" s="161" t="n">
        <v>24529</v>
      </c>
      <c r="K458" s="8" t="inlineStr">
        <is>
          <t>IV6702104</t>
        </is>
      </c>
      <c r="L458" s="8" t="inlineStr">
        <is>
          <t>ราคาที่ลง ยังไม่รวมภาษี</t>
        </is>
      </c>
    </row>
    <row r="459">
      <c r="B459" s="6" t="inlineStr">
        <is>
          <t>ฮาร์ดเดนเนอร์ HYBRID PREMIUM 4:1</t>
        </is>
      </c>
      <c r="C459" s="8" t="n">
        <v>40</v>
      </c>
      <c r="D459" s="9" t="n">
        <v>440</v>
      </c>
      <c r="H459" s="9">
        <f>SUM(D459*C459)</f>
        <v/>
      </c>
      <c r="I459" s="10" t="inlineStr">
        <is>
          <t>บจก. วีที คัลเลอร์ โปร</t>
        </is>
      </c>
      <c r="J459" s="161" t="n">
        <v>24584</v>
      </c>
      <c r="K459" s="8" t="inlineStr">
        <is>
          <t>IV6704071</t>
        </is>
      </c>
      <c r="L459" s="8" t="inlineStr">
        <is>
          <t>ราคาที่ลง ยังไม่รวมภาษี</t>
        </is>
      </c>
    </row>
    <row r="460">
      <c r="B460" s="6" t="inlineStr">
        <is>
          <t>ฮาร์ดเดนเนอร์ HYBRID PREMIUM 4:1</t>
        </is>
      </c>
      <c r="C460" s="8" t="n">
        <v>40</v>
      </c>
      <c r="D460" s="9" t="n">
        <v>440</v>
      </c>
      <c r="H460" s="9">
        <f>SUM(D460*C460)</f>
        <v/>
      </c>
      <c r="I460" s="10" t="inlineStr">
        <is>
          <t>บจก. วีที คัลเลอร์ โปร</t>
        </is>
      </c>
      <c r="J460" s="161" t="n">
        <v>24613</v>
      </c>
      <c r="K460" s="8" t="inlineStr">
        <is>
          <t>IV6705105</t>
        </is>
      </c>
      <c r="L460" s="8" t="inlineStr">
        <is>
          <t>ราคาที่ลง ยังไม่รวมภาษี</t>
        </is>
      </c>
    </row>
    <row r="461">
      <c r="B461" s="6" t="inlineStr">
        <is>
          <t>ฮาร์ดเดนเนอร์ HYBRID PREMIUM 4:1</t>
        </is>
      </c>
      <c r="C461" s="8" t="n">
        <v>30</v>
      </c>
      <c r="D461" s="9" t="n">
        <v>440</v>
      </c>
      <c r="H461" s="9">
        <f>SUM(D461*C461)</f>
        <v/>
      </c>
      <c r="I461" s="10" t="inlineStr">
        <is>
          <t>บจก. วีที คัลเลอร์ โปร</t>
        </is>
      </c>
      <c r="J461" s="161" t="n">
        <v>24550</v>
      </c>
      <c r="K461" s="8" t="inlineStr">
        <is>
          <t>IV6703087</t>
        </is>
      </c>
      <c r="L461" s="8" t="inlineStr">
        <is>
          <t>ราคาที่ลง ยังไม่รวมภาษี</t>
        </is>
      </c>
    </row>
    <row r="462">
      <c r="B462" s="6" t="inlineStr">
        <is>
          <t>ฮาร์ดเดนเนอร์ HYBRID PREMIUM 4:1</t>
        </is>
      </c>
      <c r="C462" s="8" t="n">
        <v>40</v>
      </c>
      <c r="D462" s="9" t="n">
        <v>440</v>
      </c>
      <c r="H462" s="9">
        <f>SUM(D462*C462)</f>
        <v/>
      </c>
      <c r="I462" s="10" t="inlineStr">
        <is>
          <t>บจก. วีที คัลเลอร์ โปร</t>
        </is>
      </c>
      <c r="J462" s="161" t="n">
        <v>24644</v>
      </c>
      <c r="K462" s="8" t="inlineStr">
        <is>
          <t>IV6706124</t>
        </is>
      </c>
      <c r="L462" s="8" t="inlineStr">
        <is>
          <t>ราคาที่ลง ยังไม่รวมภาษี</t>
        </is>
      </c>
    </row>
    <row r="463">
      <c r="B463" s="6" t="inlineStr">
        <is>
          <t>ฮาร์ดเดนเนอร์ HYBRID PREMIUM 4:1</t>
        </is>
      </c>
      <c r="C463" s="8" t="n">
        <v>40</v>
      </c>
      <c r="D463" s="9" t="n">
        <v>440</v>
      </c>
      <c r="H463" s="9">
        <f>SUM(D463*C463)</f>
        <v/>
      </c>
      <c r="I463" s="10" t="inlineStr">
        <is>
          <t>บจก. วีที คัลเลอร์ โปร</t>
        </is>
      </c>
      <c r="J463" s="161" t="n">
        <v>24676</v>
      </c>
      <c r="K463" s="8" t="inlineStr">
        <is>
          <t>IV6707131</t>
        </is>
      </c>
      <c r="L463" s="8" t="inlineStr">
        <is>
          <t>ราคาที่ลง ยังไม่รวมภาษี</t>
        </is>
      </c>
    </row>
    <row r="464">
      <c r="B464" s="6" t="inlineStr">
        <is>
          <t>ฮาร์ดเดนเนอร์ HYBRID PREMIUM 4:1</t>
        </is>
      </c>
      <c r="C464" s="8" t="n">
        <v>30</v>
      </c>
      <c r="D464" s="9" t="n">
        <v>440</v>
      </c>
      <c r="H464" s="9">
        <f>SUM(D464*C464)</f>
        <v/>
      </c>
      <c r="I464" s="10" t="inlineStr">
        <is>
          <t>บจก. วีที คัลเลอร์ โปร</t>
        </is>
      </c>
      <c r="J464" s="161" t="n">
        <v>24707</v>
      </c>
      <c r="K464" s="8" t="inlineStr">
        <is>
          <t>IV6708117</t>
        </is>
      </c>
      <c r="L464" s="8" t="inlineStr">
        <is>
          <t>ราคาที่ลง ยังไม่รวมภาษี</t>
        </is>
      </c>
    </row>
    <row r="465">
      <c r="B465" s="6" t="inlineStr">
        <is>
          <t>ฮาร์ดเดนเนอร์ HYBRID PREMIUM 4:1</t>
        </is>
      </c>
      <c r="C465" s="8" t="n">
        <v>30</v>
      </c>
      <c r="D465" s="9" t="n">
        <v>440</v>
      </c>
      <c r="H465" s="9">
        <f>SUM(D465*C465)</f>
        <v/>
      </c>
      <c r="I465" s="10" t="inlineStr">
        <is>
          <t>บจก. วีที คัลเลอร์ โปร</t>
        </is>
      </c>
      <c r="J465" s="161" t="n">
        <v>24739</v>
      </c>
      <c r="K465" s="8" t="inlineStr">
        <is>
          <t>IV6709123</t>
        </is>
      </c>
      <c r="L465" s="8" t="inlineStr">
        <is>
          <t>ราคาที่ลง ยังไม่รวมภาษี</t>
        </is>
      </c>
    </row>
    <row r="466">
      <c r="B466" s="6" t="inlineStr">
        <is>
          <t>ฮาร์ดเดนเนอร์ HYBRID PREMIUM 4:1</t>
        </is>
      </c>
      <c r="C466" s="8" t="n">
        <v>40</v>
      </c>
      <c r="D466" s="9" t="n">
        <v>440</v>
      </c>
      <c r="H466" s="9">
        <f>SUM(D466*C466)</f>
        <v/>
      </c>
      <c r="I466" s="10" t="inlineStr">
        <is>
          <t>บจก. วีที คัลเลอร์ โปร</t>
        </is>
      </c>
      <c r="J466" s="161" t="n">
        <v>24766</v>
      </c>
      <c r="K466" s="8" t="inlineStr">
        <is>
          <t>IV6710109</t>
        </is>
      </c>
      <c r="L466" s="8" t="inlineStr">
        <is>
          <t>ราคาที่ลง ยังไม่รวมภาษี</t>
        </is>
      </c>
    </row>
    <row r="467">
      <c r="B467" s="6" t="inlineStr">
        <is>
          <t>ฮาร์ดเดนเนอร์ HYBRID PREMIUM 4:1</t>
        </is>
      </c>
      <c r="C467" s="8" t="n">
        <v>40</v>
      </c>
      <c r="D467" s="9" t="n">
        <v>440</v>
      </c>
      <c r="H467" s="9">
        <f>SUM(D467*C467)</f>
        <v/>
      </c>
      <c r="I467" s="10" t="inlineStr">
        <is>
          <t>บจก. วีที คัลเลอร์ โปร</t>
        </is>
      </c>
      <c r="J467" s="161" t="n">
        <v>24795</v>
      </c>
      <c r="K467" s="8" t="inlineStr">
        <is>
          <t>IV6711104</t>
        </is>
      </c>
      <c r="L467" s="8" t="inlineStr">
        <is>
          <t>ราคาที่ลง ยังไม่รวมภาษี</t>
        </is>
      </c>
    </row>
    <row r="468">
      <c r="B468" s="6" t="inlineStr">
        <is>
          <t>ฮาร์ดเดนเนอร์ HYBRID PREMIUM 4:1</t>
        </is>
      </c>
      <c r="C468" s="8" t="n">
        <v>40</v>
      </c>
      <c r="D468" s="9" t="n">
        <v>440</v>
      </c>
      <c r="H468" s="9">
        <f>SUM(D468*C468)</f>
        <v/>
      </c>
      <c r="I468" s="10" t="inlineStr">
        <is>
          <t>บจก. วีที คัลเลอร์ โปร</t>
        </is>
      </c>
      <c r="J468" s="161" t="n">
        <v>24824</v>
      </c>
      <c r="K468" s="8" t="inlineStr">
        <is>
          <t>IV6712085</t>
        </is>
      </c>
      <c r="L468" s="8" t="inlineStr">
        <is>
          <t>ราคาที่ลง ยังไม่รวมภาษี</t>
        </is>
      </c>
    </row>
    <row r="469">
      <c r="B469" s="6" t="inlineStr">
        <is>
          <t>ฮาร์ดเดนเนอร์ HYBRID PREMIUM 4:1</t>
        </is>
      </c>
      <c r="C469" s="8" t="n">
        <v>40</v>
      </c>
      <c r="D469" s="9" t="n">
        <v>470.8</v>
      </c>
      <c r="H469" s="9">
        <f>SUM(D469*C469)</f>
        <v/>
      </c>
      <c r="I469" s="10" t="inlineStr">
        <is>
          <t>บจก. วีที คัลเลอร์ โปร</t>
        </is>
      </c>
      <c r="J469" s="161" t="n">
        <v>24858</v>
      </c>
      <c r="K469" s="8" t="inlineStr">
        <is>
          <t>IV6801106</t>
        </is>
      </c>
      <c r="L469" s="8" t="inlineStr">
        <is>
          <t>ราคารวม VAT แล้ว</t>
        </is>
      </c>
    </row>
    <row r="470">
      <c r="B470" s="6" t="inlineStr">
        <is>
          <t>ฮาร์ดเดนเนอร์ HYBRID PREMIUM 4:1</t>
        </is>
      </c>
      <c r="C470" s="8" t="n">
        <v>40</v>
      </c>
      <c r="D470" s="9" t="n">
        <v>470.8</v>
      </c>
      <c r="H470" s="9">
        <f>SUM(D470*C470)</f>
        <v/>
      </c>
      <c r="I470" s="10" t="inlineStr">
        <is>
          <t>บจก. วีที คัลเลอร์ โปร</t>
        </is>
      </c>
      <c r="J470" s="161" t="n">
        <v>24892</v>
      </c>
      <c r="K470" s="8" t="inlineStr">
        <is>
          <t>IV6802145</t>
        </is>
      </c>
      <c r="L470" s="8" t="inlineStr">
        <is>
          <t>ราคารวม VAT แล้ว</t>
        </is>
      </c>
    </row>
    <row r="471">
      <c r="B471" s="6" t="inlineStr">
        <is>
          <t>ฮาร์ดเดนเนอร์ HYBRID PREMIUM 4:1</t>
        </is>
      </c>
      <c r="C471" s="8" t="n">
        <v>40</v>
      </c>
      <c r="D471" s="9" t="n">
        <v>470.8</v>
      </c>
      <c r="H471" s="9">
        <f>SUM(D471*C471)</f>
        <v/>
      </c>
      <c r="I471" s="10" t="inlineStr">
        <is>
          <t>บจก. วีที คัลเลอร์ โปร</t>
        </is>
      </c>
      <c r="J471" s="161" t="n">
        <v>24923</v>
      </c>
      <c r="K471" s="8" t="inlineStr">
        <is>
          <t>IV6803172</t>
        </is>
      </c>
      <c r="L471" s="8" t="inlineStr">
        <is>
          <t>ราคารวม VAT แล้ว</t>
        </is>
      </c>
    </row>
    <row r="472">
      <c r="B472" s="6" t="inlineStr">
        <is>
          <t>ฮาร์ดเดนเนอร์ HYBRID PREMIUM 4:1</t>
        </is>
      </c>
      <c r="C472" s="8" t="n">
        <v>30</v>
      </c>
      <c r="D472" s="9" t="n">
        <v>440</v>
      </c>
      <c r="E472" s="9">
        <f>SUM(C472*D472)</f>
        <v/>
      </c>
      <c r="H472" s="9">
        <f>SUM(E472*O472/N472)</f>
        <v/>
      </c>
      <c r="I472" s="10" t="inlineStr">
        <is>
          <t>บจก. วีที คัลเลอร์ โปร</t>
        </is>
      </c>
      <c r="J472" s="161" t="n">
        <v>24952</v>
      </c>
      <c r="K472" s="8" t="inlineStr">
        <is>
          <t>IV6804121</t>
        </is>
      </c>
      <c r="N472" s="6" t="n">
        <v>100</v>
      </c>
      <c r="O472" s="6" t="n">
        <v>107</v>
      </c>
    </row>
    <row r="473">
      <c r="B473" s="6" t="inlineStr">
        <is>
          <t>ฮาร์ดเดนเนอร์ HYBRID PREMIUM 4:1</t>
        </is>
      </c>
      <c r="C473" s="8" t="n">
        <v>40</v>
      </c>
      <c r="D473" s="9" t="n">
        <v>440</v>
      </c>
      <c r="E473" s="9">
        <f>SUM(C473*D473)</f>
        <v/>
      </c>
      <c r="H473" s="9">
        <f>SUM(E473*O473/N473)</f>
        <v/>
      </c>
      <c r="I473" s="10" t="inlineStr">
        <is>
          <t>บจก. วีที คัลเลอร์ โปร</t>
        </is>
      </c>
      <c r="J473" s="161" t="n">
        <v>24979</v>
      </c>
      <c r="K473" s="8" t="inlineStr">
        <is>
          <t>IV6805147</t>
        </is>
      </c>
      <c r="N473" s="6" t="n">
        <v>100</v>
      </c>
      <c r="O473" s="6" t="n">
        <v>107</v>
      </c>
    </row>
    <row r="474">
      <c r="B474" s="6" t="inlineStr">
        <is>
          <t>ฮาร์ดเดนเนอร์ HYBRID 9401 4:1</t>
        </is>
      </c>
      <c r="C474" s="8" t="n">
        <v>24</v>
      </c>
      <c r="D474" s="9" t="n">
        <v>300</v>
      </c>
      <c r="E474" s="9">
        <f>SUM(D474*C474)</f>
        <v/>
      </c>
      <c r="F474" s="8" t="n">
        <v>0.07000000000000001</v>
      </c>
      <c r="G474" s="10" t="inlineStr">
        <is>
          <t>รวม VAT =</t>
        </is>
      </c>
      <c r="H474" s="9">
        <f>SUM(E474+N474)</f>
        <v/>
      </c>
      <c r="I474" s="10" t="inlineStr">
        <is>
          <t>บจก. วีที คัลเลอร์ โปร</t>
        </is>
      </c>
      <c r="J474" s="161" t="n">
        <v>25069</v>
      </c>
      <c r="K474" s="8" t="inlineStr">
        <is>
          <t>IV6808112</t>
        </is>
      </c>
      <c r="N474" s="6">
        <f>SUM(E474*F474)</f>
        <v/>
      </c>
    </row>
    <row r="475">
      <c r="B475" s="6" t="inlineStr">
        <is>
          <t>ฮาร์ดเดนเนอร์ HYBRID 9401 4:1</t>
        </is>
      </c>
      <c r="C475" s="8" t="n">
        <v>42</v>
      </c>
      <c r="D475" s="9" t="n">
        <v>300</v>
      </c>
      <c r="E475" s="9">
        <f>SUM(D475*C475)</f>
        <v/>
      </c>
      <c r="F475" s="8" t="n">
        <v>0.07000000000000001</v>
      </c>
      <c r="G475" s="10" t="inlineStr">
        <is>
          <t>รวม VAT =</t>
        </is>
      </c>
      <c r="H475" s="9">
        <f>SUM(E475+N475)</f>
        <v/>
      </c>
      <c r="I475" s="10" t="inlineStr">
        <is>
          <t>บจก. วีที คัลเลอร์ โปร</t>
        </is>
      </c>
      <c r="J475" s="161" t="n">
        <v>25098</v>
      </c>
      <c r="K475" s="8" t="inlineStr">
        <is>
          <t>IV6809124</t>
        </is>
      </c>
      <c r="N475" s="6">
        <f>SUM(E475*F475)</f>
        <v/>
      </c>
    </row>
    <row r="476">
      <c r="B476" s="6" t="inlineStr">
        <is>
          <t>ฮาร์ดเดนเนอร์ HYBRID 9401 4:1</t>
        </is>
      </c>
      <c r="C476" s="8" t="n">
        <v>40</v>
      </c>
      <c r="D476" s="9" t="n">
        <v>300</v>
      </c>
      <c r="E476" s="9">
        <f>SUM(D476*C476)</f>
        <v/>
      </c>
      <c r="F476" s="8" t="n">
        <v>0.07000000000000001</v>
      </c>
      <c r="G476" s="10" t="inlineStr">
        <is>
          <t>รวม VAT =</t>
        </is>
      </c>
      <c r="H476" s="9">
        <f>SUM(E476+N476)</f>
        <v/>
      </c>
      <c r="I476" s="10" t="inlineStr">
        <is>
          <t>บจก. วีที คัลเลอร์ โปร</t>
        </is>
      </c>
      <c r="J476" s="161" t="n">
        <v>25145</v>
      </c>
      <c r="K476" s="8" t="inlineStr">
        <is>
          <t>IV6811023</t>
        </is>
      </c>
      <c r="L476" s="8" t="inlineStr">
        <is>
          <t>ราคาที่ระบุ ยังไม่รวม VAT7%</t>
        </is>
      </c>
      <c r="N476" s="6">
        <f>SUM(E476*F476)</f>
        <v/>
      </c>
    </row>
    <row r="477">
      <c r="B477" s="6" t="inlineStr">
        <is>
          <t>ฮาร์ดเดนเนอร์ HYBRID 9401 4:1</t>
        </is>
      </c>
      <c r="C477" s="8" t="n">
        <v>42</v>
      </c>
      <c r="D477" s="9" t="n">
        <v>300</v>
      </c>
      <c r="E477" s="9">
        <f>SUM(D477*C477)</f>
        <v/>
      </c>
      <c r="F477" s="8" t="n">
        <v>0.07000000000000001</v>
      </c>
      <c r="G477" s="10" t="inlineStr">
        <is>
          <t>ยอดรวม VAT =</t>
        </is>
      </c>
      <c r="H477" s="9">
        <f>SUM(E477+N477)</f>
        <v/>
      </c>
      <c r="I477" s="10" t="inlineStr">
        <is>
          <t>บจก. วีที คัลเลอร์ โปร</t>
        </is>
      </c>
      <c r="J477" s="161" t="n">
        <v>25189</v>
      </c>
      <c r="K477" s="8" t="inlineStr">
        <is>
          <t>IV6812124</t>
        </is>
      </c>
      <c r="N477" s="6">
        <f>SUM(E477*F477)</f>
        <v/>
      </c>
    </row>
    <row r="479">
      <c r="B479" s="6" t="inlineStr">
        <is>
          <t>แลคเกอร์ HYBRID 9000</t>
        </is>
      </c>
      <c r="C479" s="8" t="n">
        <v>12</v>
      </c>
      <c r="D479" s="9" t="n">
        <v>400</v>
      </c>
      <c r="E479" s="9">
        <f>SUM(C479*D479)</f>
        <v/>
      </c>
      <c r="H479" s="9">
        <f>SUM(E479*O479/N479)</f>
        <v/>
      </c>
      <c r="I479" s="10" t="inlineStr">
        <is>
          <t>บจก. วีที คัลเลอร์ โปร</t>
        </is>
      </c>
      <c r="J479" s="161" t="n">
        <v>24929</v>
      </c>
      <c r="K479" s="8" t="inlineStr">
        <is>
          <t>IV6804015</t>
        </is>
      </c>
      <c r="N479" s="6" t="n">
        <v>100</v>
      </c>
      <c r="O479" s="6" t="n">
        <v>107</v>
      </c>
    </row>
    <row r="481">
      <c r="B481" s="6" t="inlineStr">
        <is>
          <t>แลคเกอร์ HYBRID 9000</t>
        </is>
      </c>
      <c r="C481" s="8" t="n">
        <v>12</v>
      </c>
      <c r="D481" s="9" t="n">
        <v>320</v>
      </c>
      <c r="E481" s="9">
        <f>SUM(C481*D481)</f>
        <v/>
      </c>
      <c r="H481" s="9">
        <f>SUM(E481*O481/N481)</f>
        <v/>
      </c>
      <c r="I481" s="10" t="inlineStr">
        <is>
          <t>บจก. วีที คัลเลอร์ โปร</t>
        </is>
      </c>
      <c r="J481" s="161" t="n">
        <v>24929</v>
      </c>
      <c r="K481" s="8" t="inlineStr">
        <is>
          <t>IV6804015</t>
        </is>
      </c>
      <c r="N481" s="6" t="n">
        <v>100</v>
      </c>
      <c r="O481" s="6" t="n">
        <v>107</v>
      </c>
    </row>
    <row r="483">
      <c r="B483" s="6" t="inlineStr">
        <is>
          <t>เคลียร์ BRM PREMIUM 4:1</t>
        </is>
      </c>
      <c r="C483" s="8" t="inlineStr">
        <is>
          <t>40ชุด</t>
        </is>
      </c>
      <c r="D483" s="9" t="n">
        <v>1100</v>
      </c>
      <c r="H483" s="9" t="n">
        <v>44000</v>
      </c>
      <c r="I483" s="10" t="inlineStr">
        <is>
          <t>บจก. วีที คัลเลอร์ โปร</t>
        </is>
      </c>
      <c r="J483" s="161" t="n">
        <v>23978</v>
      </c>
      <c r="K483" s="8" t="inlineStr">
        <is>
          <t>IV147-65</t>
        </is>
      </c>
      <c r="L483" s="8" t="inlineStr">
        <is>
          <t>ราคาที่ลง ยังไม่รวมภาษี</t>
        </is>
      </c>
    </row>
    <row r="485">
      <c r="B485" s="6" t="inlineStr">
        <is>
          <t>ฮาร์ด แลคเกอร์ Matrix MAV-747 (NEW) (1L.)  4:1</t>
        </is>
      </c>
      <c r="C485" s="8" t="inlineStr">
        <is>
          <t>20 กป.</t>
        </is>
      </c>
      <c r="D485" s="9" t="n">
        <v>550</v>
      </c>
      <c r="H485" s="9" t="n">
        <v>11000</v>
      </c>
      <c r="I485" s="10" t="inlineStr">
        <is>
          <t>ทรัพย์สินไทย</t>
        </is>
      </c>
      <c r="J485" s="161" t="n">
        <v>23062</v>
      </c>
      <c r="L485" s="8" t="inlineStr">
        <is>
          <t>ราคาที่ลง ยังไม่รวมภาษี</t>
        </is>
      </c>
    </row>
    <row r="487">
      <c r="B487" s="6" t="inlineStr">
        <is>
          <t>ฮาร์ด แลคเกอร์ Matrix MAV-171 (1L.)  4:1</t>
        </is>
      </c>
      <c r="C487" s="8" t="inlineStr">
        <is>
          <t>30 กป.</t>
        </is>
      </c>
      <c r="D487" s="9" t="n">
        <v>550</v>
      </c>
      <c r="H487" s="9" t="n">
        <v>16500</v>
      </c>
      <c r="I487" s="10" t="inlineStr">
        <is>
          <t>ทรัพย์สินไทย</t>
        </is>
      </c>
      <c r="J487" s="161" t="n">
        <v>23094</v>
      </c>
      <c r="L487" s="8" t="inlineStr">
        <is>
          <t>ราคาที่ลง ยังไม่รวมภาษี</t>
        </is>
      </c>
    </row>
    <row r="488">
      <c r="B488" s="6" t="inlineStr">
        <is>
          <t>ฮาร์ด แลคเกอร์ Matrix MAV-171 (1L.)  4:1</t>
        </is>
      </c>
      <c r="C488" s="8" t="inlineStr">
        <is>
          <t>24 กป.</t>
        </is>
      </c>
      <c r="D488" s="9" t="n">
        <v>550</v>
      </c>
      <c r="H488" s="9" t="n">
        <v>13200</v>
      </c>
      <c r="I488" s="10" t="inlineStr">
        <is>
          <t>ทรัพย์สินไทย</t>
        </is>
      </c>
      <c r="J488" s="161" t="n">
        <v>23124</v>
      </c>
      <c r="L488" s="8" t="inlineStr">
        <is>
          <t>ราคาที่ลง ยังไม่รวมภาษี</t>
        </is>
      </c>
    </row>
    <row r="489">
      <c r="B489" s="6" t="inlineStr">
        <is>
          <t>ฮาร์ด แลคเกอร์ Matrix MAV-171 (1L.)  4:1</t>
        </is>
      </c>
      <c r="C489" s="8" t="inlineStr">
        <is>
          <t>24 กป.</t>
        </is>
      </c>
      <c r="D489" s="9" t="n">
        <v>550</v>
      </c>
      <c r="H489" s="9" t="n">
        <v>13200</v>
      </c>
      <c r="I489" s="10" t="inlineStr">
        <is>
          <t>ทรัพย์สินไทย</t>
        </is>
      </c>
      <c r="J489" s="161" t="n">
        <v>23187</v>
      </c>
      <c r="L489" s="8" t="inlineStr">
        <is>
          <t>ราคาที่ลง ยังไม่รวมภาษี</t>
        </is>
      </c>
    </row>
    <row r="490">
      <c r="B490" s="6" t="inlineStr">
        <is>
          <t>ฮาร์ด แลคเกอร์ Matrix MAV-171 (1L.)  4:1</t>
        </is>
      </c>
      <c r="C490" s="8" t="inlineStr">
        <is>
          <t>24 กป.</t>
        </is>
      </c>
      <c r="D490" s="9" t="n">
        <v>550</v>
      </c>
      <c r="H490" s="9" t="n">
        <v>13200</v>
      </c>
      <c r="I490" s="10" t="inlineStr">
        <is>
          <t>ทรัพย์สินไทย</t>
        </is>
      </c>
      <c r="J490" s="161" t="n">
        <v>23216</v>
      </c>
      <c r="L490" s="8" t="inlineStr">
        <is>
          <t>ราคาที่ลง ยังไม่รวมภาษี</t>
        </is>
      </c>
    </row>
    <row r="491">
      <c r="B491" s="6" t="inlineStr">
        <is>
          <t>ฮาร์ด แลคเกอร์ Matrix MAV-171 (1L.)  4:1</t>
        </is>
      </c>
      <c r="C491" s="8" t="inlineStr">
        <is>
          <t>6 กป.</t>
        </is>
      </c>
      <c r="D491" s="9" t="n">
        <v>550</v>
      </c>
      <c r="H491" s="9" t="n">
        <v>3300</v>
      </c>
      <c r="I491" s="10" t="inlineStr">
        <is>
          <t>ทรัพย์สินไทย</t>
        </is>
      </c>
      <c r="J491" s="161" t="n">
        <v>23310</v>
      </c>
      <c r="L491" s="8" t="inlineStr">
        <is>
          <t>ราคาที่ลง ยังไม่รวมภาษี</t>
        </is>
      </c>
    </row>
    <row r="492">
      <c r="B492" s="6" t="inlineStr">
        <is>
          <t>ฮาร์ด แลคเกอร์ Matrix MAV-171 (1L.)  4:1</t>
        </is>
      </c>
      <c r="C492" s="8" t="inlineStr">
        <is>
          <t>24 กป.</t>
        </is>
      </c>
      <c r="D492" s="9" t="n">
        <v>550</v>
      </c>
      <c r="H492" s="9" t="n">
        <v>13200</v>
      </c>
      <c r="I492" s="10" t="inlineStr">
        <is>
          <t>ทรัพย์สินไทย</t>
        </is>
      </c>
      <c r="J492" s="161" t="n">
        <v>23305</v>
      </c>
      <c r="L492" s="8" t="inlineStr">
        <is>
          <t>ราคาที่ลง ยังไม่รวมภาษี</t>
        </is>
      </c>
    </row>
    <row r="493">
      <c r="B493" s="6" t="inlineStr">
        <is>
          <t>ฮาร์ด แลคเกอร์ Matrix MAV-171 (1L.)  4:1</t>
        </is>
      </c>
      <c r="C493" s="8" t="inlineStr">
        <is>
          <t>24 กป.</t>
        </is>
      </c>
      <c r="D493" s="9" t="n">
        <v>550</v>
      </c>
      <c r="H493" s="9" t="n">
        <v>13200</v>
      </c>
      <c r="I493" s="10" t="inlineStr">
        <is>
          <t>ทรัพย์สินไทย</t>
        </is>
      </c>
      <c r="J493" s="161" t="n">
        <v>23337</v>
      </c>
      <c r="L493" s="8" t="inlineStr">
        <is>
          <t>ราคาที่ลง ยังไม่รวมภาษี</t>
        </is>
      </c>
    </row>
    <row r="494">
      <c r="B494" s="6" t="inlineStr">
        <is>
          <t>ฮาร์ด แลคเกอร์ Matrix MAV-171 (1L.)  4:1</t>
        </is>
      </c>
      <c r="C494" s="8" t="inlineStr">
        <is>
          <t>30 กป.</t>
        </is>
      </c>
      <c r="D494" s="9" t="n">
        <v>550</v>
      </c>
      <c r="H494" s="9" t="n">
        <v>16500</v>
      </c>
      <c r="I494" s="10" t="inlineStr">
        <is>
          <t>ทรัพย์สินไทย</t>
        </is>
      </c>
      <c r="J494" s="161" t="n">
        <v>23340</v>
      </c>
      <c r="L494" s="8" t="inlineStr">
        <is>
          <t>ราคาที่ลง ยังไม่รวมภาษี</t>
        </is>
      </c>
    </row>
    <row r="495">
      <c r="B495" s="6" t="inlineStr">
        <is>
          <t>ฮาร์ด แลคเกอร์ Matrix MAV-171 (1L.)  4:1</t>
        </is>
      </c>
      <c r="C495" s="8" t="inlineStr">
        <is>
          <t>30 กป.</t>
        </is>
      </c>
      <c r="D495" s="9" t="n">
        <v>550</v>
      </c>
      <c r="H495" s="9" t="n">
        <v>16500</v>
      </c>
      <c r="I495" s="10" t="inlineStr">
        <is>
          <t>ทรัพย์สินไทย</t>
        </is>
      </c>
      <c r="J495" s="161" t="n">
        <v>23366</v>
      </c>
      <c r="L495" s="8" t="inlineStr">
        <is>
          <t>ราคาที่ลง ยังไม่รวมภาษี</t>
        </is>
      </c>
    </row>
    <row r="496">
      <c r="B496" s="6" t="inlineStr">
        <is>
          <t>ฮาร์ด แลคเกอร์ Matrix MAV-171 (1L.)  4:1</t>
        </is>
      </c>
      <c r="C496" s="8" t="inlineStr">
        <is>
          <t>36 กป.</t>
        </is>
      </c>
      <c r="D496" s="9" t="n">
        <v>550</v>
      </c>
      <c r="H496" s="9" t="n">
        <v>19800</v>
      </c>
      <c r="I496" s="10" t="inlineStr">
        <is>
          <t>ทรัพย์สินไทย</t>
        </is>
      </c>
      <c r="J496" s="161" t="n">
        <v>23430</v>
      </c>
      <c r="L496" s="8" t="inlineStr">
        <is>
          <t>ราคาที่ลง ยังไม่รวมภาษี</t>
        </is>
      </c>
    </row>
    <row r="497">
      <c r="B497" s="6" t="inlineStr">
        <is>
          <t>ฮาร์ด แลคเกอร์ Matrix MAV-171 (1L.)  4:1</t>
        </is>
      </c>
      <c r="C497" s="8" t="inlineStr">
        <is>
          <t>35 กป.</t>
        </is>
      </c>
      <c r="D497" s="9" t="n">
        <v>550</v>
      </c>
      <c r="H497" s="9" t="n">
        <v>19250</v>
      </c>
      <c r="I497" s="10" t="inlineStr">
        <is>
          <t>ทรัพย์สินไทย</t>
        </is>
      </c>
      <c r="J497" s="161" t="n">
        <v>23546</v>
      </c>
      <c r="L497" s="8" t="inlineStr">
        <is>
          <t>ราคาที่ลง ยังไม่รวมภาษี</t>
        </is>
      </c>
    </row>
    <row r="498">
      <c r="B498" s="6" t="inlineStr">
        <is>
          <t>ฮาร์ด แลคเกอร์ Matrix MAV-171 (1L.)  4:1</t>
        </is>
      </c>
      <c r="C498" s="8" t="inlineStr">
        <is>
          <t>10 กป.</t>
        </is>
      </c>
      <c r="D498" s="9" t="n">
        <v>550</v>
      </c>
      <c r="H498" s="9" t="n">
        <v>5500</v>
      </c>
      <c r="I498" s="10" t="inlineStr">
        <is>
          <t>ทรัพย์สินไทย</t>
        </is>
      </c>
      <c r="J498" s="161" t="n">
        <v>23549</v>
      </c>
      <c r="L498" s="8" t="inlineStr">
        <is>
          <t>ราคาที่ลง ยังไม่รวมภาษี</t>
        </is>
      </c>
    </row>
    <row r="499">
      <c r="B499" s="6" t="inlineStr">
        <is>
          <t>ฮาร์ด แลคเกอร์ Matrix MAV-171 (1L.)  4:1</t>
        </is>
      </c>
      <c r="C499" s="8" t="inlineStr">
        <is>
          <t>5 กป.</t>
        </is>
      </c>
      <c r="D499" s="9" t="n">
        <v>550</v>
      </c>
      <c r="H499" s="9" t="n">
        <v>2750</v>
      </c>
      <c r="I499" s="10" t="inlineStr">
        <is>
          <t>ทรัพย์สินไทย</t>
        </is>
      </c>
      <c r="J499" s="161" t="n">
        <v>23550</v>
      </c>
      <c r="L499" s="8" t="inlineStr">
        <is>
          <t>ราคาที่ลง ยังไม่รวมภาษี</t>
        </is>
      </c>
    </row>
    <row r="500">
      <c r="B500" s="6" t="inlineStr">
        <is>
          <t>ฮาร์ด แลคเกอร์ Matrix MAV-171 (1L.)  4:1</t>
        </is>
      </c>
      <c r="C500" s="8" t="inlineStr">
        <is>
          <t>40 กป.</t>
        </is>
      </c>
      <c r="D500" s="9" t="n">
        <v>550</v>
      </c>
      <c r="H500" s="9" t="n">
        <v>22000</v>
      </c>
      <c r="I500" s="10" t="inlineStr">
        <is>
          <t>ทรัพย์สินไทย</t>
        </is>
      </c>
      <c r="J500" s="161" t="n">
        <v>23584</v>
      </c>
      <c r="L500" s="8" t="inlineStr">
        <is>
          <t>ราคาที่ลง ยังไม่รวมภาษี</t>
        </is>
      </c>
    </row>
    <row r="501">
      <c r="B501" s="6" t="inlineStr">
        <is>
          <t>ฮาร์ด แลคเกอร์ Matrix MAV-171 (1L.)  4:1</t>
        </is>
      </c>
      <c r="C501" s="8" t="inlineStr">
        <is>
          <t>24 กป.</t>
        </is>
      </c>
      <c r="D501" s="9" t="n">
        <v>550</v>
      </c>
      <c r="H501" s="9" t="n">
        <v>13200</v>
      </c>
      <c r="I501" s="10" t="inlineStr">
        <is>
          <t>ทรัพย์สินไทย</t>
        </is>
      </c>
      <c r="J501" s="161" t="n">
        <v>23642</v>
      </c>
      <c r="K501" s="8" t="inlineStr">
        <is>
          <t>IV6409286</t>
        </is>
      </c>
      <c r="L501" s="8" t="inlineStr">
        <is>
          <t>ราคาที่ลง ยังไม่รวมภาษี</t>
        </is>
      </c>
    </row>
    <row r="502">
      <c r="B502" s="6" t="inlineStr">
        <is>
          <t>ฮาร์ด แลคเกอร์ Matrix MAV-171 (1L.)  4:1</t>
        </is>
      </c>
      <c r="C502" s="8" t="inlineStr">
        <is>
          <t>24 กป.</t>
        </is>
      </c>
      <c r="D502" s="9" t="n">
        <v>550</v>
      </c>
      <c r="H502" s="9" t="n">
        <v>13200</v>
      </c>
      <c r="I502" s="10" t="inlineStr">
        <is>
          <t>ทรัพย์สินไทย</t>
        </is>
      </c>
      <c r="J502" s="161" t="n">
        <v>23676</v>
      </c>
      <c r="K502" s="8" t="inlineStr">
        <is>
          <t>IV6410365</t>
        </is>
      </c>
      <c r="L502" s="8" t="inlineStr">
        <is>
          <t>ราคาที่ลง ยังไม่รวมภาษี</t>
        </is>
      </c>
    </row>
    <row r="503">
      <c r="B503" s="6" t="inlineStr">
        <is>
          <t>ฮาร์ด แลคเกอร์ Matrix MAV-171 (1L.)  4:1</t>
        </is>
      </c>
      <c r="C503" s="8" t="inlineStr">
        <is>
          <t>40 กป.</t>
        </is>
      </c>
      <c r="D503" s="9" t="n">
        <v>550</v>
      </c>
      <c r="H503" s="9" t="n">
        <v>22000</v>
      </c>
      <c r="I503" s="10" t="inlineStr">
        <is>
          <t>ทรัพย์สินไทย</t>
        </is>
      </c>
      <c r="J503" s="161" t="n">
        <v>23704</v>
      </c>
      <c r="K503" s="8" t="inlineStr">
        <is>
          <t>IV6411357</t>
        </is>
      </c>
      <c r="L503" s="8" t="inlineStr">
        <is>
          <t>ราคาที่ลง ยังไม่รวมภาษี</t>
        </is>
      </c>
    </row>
    <row r="504">
      <c r="B504" s="6" t="inlineStr">
        <is>
          <t>ฮาร์ด แลคเกอร์ Matrix MAV-171 (1L.)  4:1</t>
        </is>
      </c>
      <c r="C504" s="8" t="inlineStr">
        <is>
          <t>40 กป.</t>
        </is>
      </c>
      <c r="D504" s="9" t="n">
        <v>550</v>
      </c>
      <c r="H504" s="9" t="n">
        <v>22000</v>
      </c>
      <c r="I504" s="10" t="inlineStr">
        <is>
          <t>ทรัพย์สินไทย</t>
        </is>
      </c>
      <c r="J504" s="161" t="n">
        <v>23733</v>
      </c>
      <c r="K504" s="8" t="inlineStr">
        <is>
          <t>IV6412301</t>
        </is>
      </c>
      <c r="L504" s="8" t="inlineStr">
        <is>
          <t>ราคาที่ลง ยังไม่รวมภาษี</t>
        </is>
      </c>
    </row>
    <row r="505">
      <c r="B505" s="6" t="inlineStr">
        <is>
          <t>ฮาร์ด แลคเกอร์ Matrix MAV-171 (1L.)  4:1</t>
        </is>
      </c>
      <c r="C505" s="8" t="inlineStr">
        <is>
          <t>40 กป.</t>
        </is>
      </c>
      <c r="D505" s="9" t="n">
        <v>550</v>
      </c>
      <c r="H505" s="9" t="n">
        <v>22000</v>
      </c>
      <c r="I505" s="10" t="inlineStr">
        <is>
          <t>ทรัพย์สินไทย</t>
        </is>
      </c>
      <c r="J505" s="161" t="n">
        <v>23824</v>
      </c>
      <c r="K505" s="8" t="inlineStr">
        <is>
          <t>IV6503299</t>
        </is>
      </c>
      <c r="L505" s="8" t="inlineStr">
        <is>
          <t>ราคาที่ลง ยังไม่รวมภาษี</t>
        </is>
      </c>
    </row>
    <row r="506">
      <c r="B506" s="6" t="inlineStr">
        <is>
          <t>ฮาร์ด แลคเกอร์ Matrix MAV-171 (1L.)  4:1</t>
        </is>
      </c>
      <c r="C506" s="8" t="inlineStr">
        <is>
          <t>30 กป.</t>
        </is>
      </c>
      <c r="D506" s="9" t="n">
        <v>550</v>
      </c>
      <c r="H506" s="9" t="n">
        <v>16500</v>
      </c>
      <c r="I506" s="10" t="inlineStr">
        <is>
          <t>ทรัพย์สินไทย</t>
        </is>
      </c>
      <c r="J506" s="161" t="n">
        <v>23859</v>
      </c>
      <c r="K506" s="8" t="inlineStr">
        <is>
          <t>IV6504237</t>
        </is>
      </c>
      <c r="L506" s="8" t="inlineStr">
        <is>
          <t>ราคาที่ลง ยังไม่รวมภาษี</t>
        </is>
      </c>
    </row>
    <row r="507">
      <c r="B507" s="6" t="inlineStr">
        <is>
          <t>ฮาร์ด แลคเกอร์ Matrix MAV-171 (1L.)  4:1</t>
        </is>
      </c>
      <c r="C507" s="8" t="inlineStr">
        <is>
          <t>50 กป.</t>
        </is>
      </c>
      <c r="D507" s="9" t="n">
        <v>550</v>
      </c>
      <c r="H507" s="9" t="n">
        <v>27500</v>
      </c>
      <c r="I507" s="10" t="inlineStr">
        <is>
          <t>ทรัพย์สินไทย</t>
        </is>
      </c>
      <c r="J507" s="161" t="n">
        <v>23887</v>
      </c>
      <c r="K507" s="8" t="inlineStr">
        <is>
          <t>IV6505292</t>
        </is>
      </c>
      <c r="L507" s="8" t="inlineStr">
        <is>
          <t>ราคาที่ลง ยังไม่รวมภาษี</t>
        </is>
      </c>
    </row>
    <row r="508">
      <c r="B508" s="6" t="inlineStr">
        <is>
          <t>ฮาร์ด แลคเกอร์ Matrix MAV-171 (1L.)  4:1</t>
        </is>
      </c>
      <c r="C508" s="8" t="inlineStr">
        <is>
          <t>40 กป.</t>
        </is>
      </c>
      <c r="D508" s="9" t="n">
        <v>550</v>
      </c>
      <c r="H508" s="9" t="n">
        <v>22000</v>
      </c>
      <c r="I508" s="10" t="inlineStr">
        <is>
          <t>ทรัพย์สินไทย</t>
        </is>
      </c>
      <c r="J508" s="161" t="n">
        <v>23920</v>
      </c>
      <c r="K508" s="8" t="inlineStr">
        <is>
          <t>IV6506338</t>
        </is>
      </c>
      <c r="L508" s="8" t="inlineStr">
        <is>
          <t>ราคาที่ลง ยังไม่รวมภาษี</t>
        </is>
      </c>
    </row>
    <row r="510">
      <c r="B510" s="6" t="inlineStr">
        <is>
          <t>แลคเกอร์ Acler por xpress 5L</t>
        </is>
      </c>
      <c r="C510" s="8" t="n">
        <v>2</v>
      </c>
      <c r="D510" s="9" t="n">
        <v>1915</v>
      </c>
      <c r="F510" s="8" t="n">
        <v>0.85</v>
      </c>
      <c r="G510" s="10" t="inlineStr">
        <is>
          <t>(ลด15%)</t>
        </is>
      </c>
      <c r="H510" s="9">
        <f>SUM(D510*C510*F510)</f>
        <v/>
      </c>
      <c r="I510" s="10" t="inlineStr">
        <is>
          <t>บจก. วีที คัลเลอร์ โปร</t>
        </is>
      </c>
      <c r="J510" s="161" t="n">
        <v>24741</v>
      </c>
      <c r="K510" s="8" t="inlineStr">
        <is>
          <t>IV6709136</t>
        </is>
      </c>
      <c r="L510" s="8" t="inlineStr">
        <is>
          <t>ราคาที่ลง ยังไม่รวมภาษี</t>
        </is>
      </c>
    </row>
    <row r="512">
      <c r="B512" s="6" t="inlineStr">
        <is>
          <t>ฮาร์ดเดนเนอร์ P25 น้ำยาเร่งแห้งปกติ 2.5L</t>
        </is>
      </c>
      <c r="C512" s="8" t="n">
        <v>2</v>
      </c>
      <c r="D512" s="9" t="n">
        <v>2210</v>
      </c>
      <c r="F512" s="8" t="n">
        <v>0.85</v>
      </c>
      <c r="G512" s="10" t="inlineStr">
        <is>
          <t>(ลด15%)</t>
        </is>
      </c>
      <c r="H512" s="9">
        <f>SUM(D512*C512*F512)</f>
        <v/>
      </c>
      <c r="I512" s="10" t="inlineStr">
        <is>
          <t>บจก. วีที คัลเลอร์ โปร</t>
        </is>
      </c>
      <c r="J512" s="161" t="n">
        <v>24741</v>
      </c>
      <c r="K512" s="8" t="inlineStr">
        <is>
          <t>IV6709136</t>
        </is>
      </c>
      <c r="L512" s="8" t="inlineStr">
        <is>
          <t>ราคาที่ลง ยังไม่รวมภาษี</t>
        </is>
      </c>
    </row>
    <row r="514">
      <c r="B514" s="6" t="inlineStr">
        <is>
          <t>ทินเนอร์ Sikken Medium</t>
        </is>
      </c>
      <c r="C514" s="8" t="n">
        <v>1</v>
      </c>
      <c r="D514" s="9" t="n">
        <v>1405</v>
      </c>
      <c r="F514" s="8" t="n">
        <v>0.85</v>
      </c>
      <c r="G514" s="10" t="inlineStr">
        <is>
          <t>(ลด15%)</t>
        </is>
      </c>
      <c r="H514" s="9">
        <f>SUM(D514*C514*F514)</f>
        <v/>
      </c>
      <c r="I514" s="10" t="inlineStr">
        <is>
          <t>บจก. วีที คัลเลอร์ โปร</t>
        </is>
      </c>
      <c r="J514" s="161" t="n">
        <v>24741</v>
      </c>
      <c r="K514" s="8" t="inlineStr">
        <is>
          <t>IV6709136</t>
        </is>
      </c>
      <c r="L514" s="8" t="inlineStr">
        <is>
          <t>ราคาที่ลง ยังไม่รวมภาษี</t>
        </is>
      </c>
    </row>
    <row r="516">
      <c r="B516" s="6" t="inlineStr">
        <is>
          <t>SIKKENS Autoclear Xcel (5L) 2:1</t>
        </is>
      </c>
      <c r="C516" s="8" t="inlineStr">
        <is>
          <t>1กล.</t>
        </is>
      </c>
      <c r="D516" s="9" t="n">
        <v>1850</v>
      </c>
      <c r="F516" s="8" t="n">
        <v>15</v>
      </c>
      <c r="H516" s="9" t="n">
        <v>1850</v>
      </c>
      <c r="I516" s="10" t="inlineStr">
        <is>
          <t>ทรัพย์สินไทย</t>
        </is>
      </c>
      <c r="J516" s="161" t="n">
        <v>23090</v>
      </c>
      <c r="L516" s="8" t="inlineStr">
        <is>
          <t>ราคาที่ลง ยังไม่รวมภาษี</t>
        </is>
      </c>
    </row>
    <row r="517">
      <c r="B517" s="6" t="inlineStr">
        <is>
          <t>SIKKENS Autoclear Xcel (5L) 2:1</t>
        </is>
      </c>
      <c r="C517" s="8" t="inlineStr">
        <is>
          <t>1กล.</t>
        </is>
      </c>
      <c r="D517" s="9" t="n">
        <v>1990</v>
      </c>
      <c r="F517" s="8" t="n">
        <v>15</v>
      </c>
      <c r="H517" s="9" t="n">
        <v>1990</v>
      </c>
      <c r="I517" s="10" t="inlineStr">
        <is>
          <t>ทรัพย์สินไทย</t>
        </is>
      </c>
      <c r="J517" s="161" t="n">
        <v>23648</v>
      </c>
      <c r="K517" s="8" t="inlineStr">
        <is>
          <t>IV6409065</t>
        </is>
      </c>
      <c r="L517" s="8" t="inlineStr">
        <is>
          <t>ราคาที่ลง ยังไม่รวมภาษี</t>
        </is>
      </c>
    </row>
    <row r="519">
      <c r="B519" s="6" t="inlineStr">
        <is>
          <t>SIKKENS P-25 Hardener (2.5L) แบบแห้งช้า</t>
        </is>
      </c>
      <c r="C519" s="8" t="inlineStr">
        <is>
          <t>1กล.</t>
        </is>
      </c>
      <c r="D519" s="9" t="n">
        <v>1800</v>
      </c>
      <c r="F519" s="8" t="n">
        <v>15</v>
      </c>
      <c r="H519" s="9" t="n">
        <v>1800</v>
      </c>
      <c r="I519" s="10" t="inlineStr">
        <is>
          <t>ทรัพย์สินไทย</t>
        </is>
      </c>
      <c r="J519" s="161" t="n">
        <v>23090</v>
      </c>
      <c r="L519" s="8" t="inlineStr">
        <is>
          <t>ราคาที่ลง ยังไม่รวมภาษี</t>
        </is>
      </c>
    </row>
    <row r="520">
      <c r="B520" s="6" t="inlineStr">
        <is>
          <t>SIKKENS P-25 Hardener (2.5L) แบบแห้งช้า</t>
        </is>
      </c>
      <c r="C520" s="8" t="inlineStr">
        <is>
          <t>1กล.</t>
        </is>
      </c>
      <c r="D520" s="9" t="n">
        <v>1950</v>
      </c>
      <c r="F520" s="8" t="n">
        <v>15</v>
      </c>
      <c r="H520" s="9" t="n">
        <v>1950</v>
      </c>
      <c r="I520" s="10" t="inlineStr">
        <is>
          <t>ทรัพย์สินไทย</t>
        </is>
      </c>
      <c r="J520" s="161" t="n">
        <v>23648</v>
      </c>
      <c r="K520" s="8" t="inlineStr">
        <is>
          <t>IV6409065</t>
        </is>
      </c>
      <c r="L520" s="8" t="inlineStr">
        <is>
          <t>ราคาที่ลง ยังไม่รวมภาษี</t>
        </is>
      </c>
    </row>
    <row r="522">
      <c r="A522" s="66" t="inlineStr">
        <is>
          <t>สีรองพื้นสีดำ</t>
        </is>
      </c>
      <c r="B522" s="6" t="inlineStr">
        <is>
          <t>สีรองพื้นสีดำ Nuclear 4400</t>
        </is>
      </c>
      <c r="C522" s="8" t="inlineStr">
        <is>
          <t>32 กล.</t>
        </is>
      </c>
      <c r="D522" s="9" t="n">
        <v>820</v>
      </c>
      <c r="H522" s="9" t="n">
        <v>26240</v>
      </c>
      <c r="I522" s="10" t="inlineStr">
        <is>
          <t>PB Paint</t>
        </is>
      </c>
      <c r="J522" s="161" t="n">
        <v>22832</v>
      </c>
      <c r="L522" s="8" t="inlineStr">
        <is>
          <t>ราคาที่ลง ยังไม่รวมภาษี</t>
        </is>
      </c>
    </row>
    <row r="523">
      <c r="A523" s="70" t="n"/>
      <c r="B523" s="6" t="inlineStr">
        <is>
          <t>สีรองพื้นสีดำ Nuclear 4400</t>
        </is>
      </c>
      <c r="C523" s="8" t="inlineStr">
        <is>
          <t>32 กล.</t>
        </is>
      </c>
      <c r="D523" s="9" t="n">
        <v>820</v>
      </c>
      <c r="H523" s="9" t="n">
        <v>26240</v>
      </c>
      <c r="I523" s="10" t="inlineStr">
        <is>
          <t>PB Paint</t>
        </is>
      </c>
      <c r="J523" s="161" t="n">
        <v>22866</v>
      </c>
      <c r="L523" s="8" t="inlineStr">
        <is>
          <t>ราคาที่ลง ยังไม่รวมภาษี</t>
        </is>
      </c>
    </row>
    <row r="524">
      <c r="A524" s="70" t="n"/>
      <c r="B524" s="6" t="inlineStr">
        <is>
          <t>สีรองพื้นสีดำ Nuclear 4400</t>
        </is>
      </c>
      <c r="C524" s="8" t="inlineStr">
        <is>
          <t>40 กล.</t>
        </is>
      </c>
      <c r="D524" s="9" t="n">
        <v>820</v>
      </c>
      <c r="H524" s="9" t="n">
        <v>32800</v>
      </c>
      <c r="I524" s="10" t="inlineStr">
        <is>
          <t>PB Paint</t>
        </is>
      </c>
      <c r="J524" s="161" t="n">
        <v>22899</v>
      </c>
      <c r="L524" s="8" t="inlineStr">
        <is>
          <t>ราคาที่ลง ยังไม่รวมภาษี</t>
        </is>
      </c>
    </row>
    <row r="525">
      <c r="A525" s="70" t="n"/>
      <c r="B525" s="6" t="inlineStr">
        <is>
          <t>สีรองพื้นสีดำ Nuclear 4400</t>
        </is>
      </c>
      <c r="C525" s="8" t="inlineStr">
        <is>
          <t>50 กล.</t>
        </is>
      </c>
      <c r="D525" s="9" t="n">
        <v>820</v>
      </c>
      <c r="H525" s="9" t="n">
        <v>41000</v>
      </c>
      <c r="I525" s="10" t="inlineStr">
        <is>
          <t>PB Paint</t>
        </is>
      </c>
      <c r="J525" s="161" t="n">
        <v>22998</v>
      </c>
      <c r="L525" s="8" t="inlineStr">
        <is>
          <t>ราคาที่ลง ยังไม่รวมภาษี</t>
        </is>
      </c>
    </row>
    <row r="526">
      <c r="A526" s="70" t="n"/>
      <c r="B526" s="6" t="inlineStr">
        <is>
          <t>สีรองพื้นสีดำ Nuclear 4400</t>
        </is>
      </c>
      <c r="C526" s="8" t="inlineStr">
        <is>
          <t>2 กล.</t>
        </is>
      </c>
      <c r="D526" s="9" t="n">
        <v>820</v>
      </c>
      <c r="H526" s="9" t="n">
        <v>1640</v>
      </c>
      <c r="I526" s="10" t="inlineStr">
        <is>
          <t>PB Paint</t>
        </is>
      </c>
      <c r="J526" s="161" t="n">
        <v>23095</v>
      </c>
      <c r="L526" s="8" t="inlineStr">
        <is>
          <t>ราคาที่ลง ยังไม่รวมภาษี</t>
        </is>
      </c>
    </row>
    <row r="527">
      <c r="A527" s="70" t="n"/>
      <c r="B527" s="6" t="inlineStr">
        <is>
          <t>สีรองพื้นสีดำ Nuclear 4400</t>
        </is>
      </c>
      <c r="C527" s="8" t="inlineStr">
        <is>
          <t>28 กล.</t>
        </is>
      </c>
      <c r="D527" s="9" t="n">
        <v>820</v>
      </c>
      <c r="H527" s="9" t="n">
        <v>22960</v>
      </c>
      <c r="I527" s="10" t="inlineStr">
        <is>
          <t>PB Paint</t>
        </is>
      </c>
      <c r="J527" s="161" t="n">
        <v>23095</v>
      </c>
      <c r="L527" s="8" t="inlineStr">
        <is>
          <t>ราคาที่ลง ยังไม่รวมภาษี</t>
        </is>
      </c>
    </row>
    <row r="528">
      <c r="A528" s="70" t="n"/>
      <c r="B528" s="6" t="inlineStr">
        <is>
          <t>สีรองพื้นสีดำ Nuclear 4400</t>
        </is>
      </c>
      <c r="C528" s="8" t="inlineStr">
        <is>
          <t>40 กล.</t>
        </is>
      </c>
      <c r="D528" s="9" t="n">
        <v>820</v>
      </c>
      <c r="H528" s="9" t="n">
        <v>32800</v>
      </c>
      <c r="I528" s="10" t="inlineStr">
        <is>
          <t>PB Paint</t>
        </is>
      </c>
      <c r="J528" s="161" t="n">
        <v>23121</v>
      </c>
      <c r="L528" s="8" t="inlineStr">
        <is>
          <t>ราคาที่ลง ยังไม่รวมภาษี</t>
        </is>
      </c>
    </row>
    <row r="529">
      <c r="A529" s="70" t="n"/>
      <c r="B529" s="6" t="inlineStr">
        <is>
          <t>สีรองพื้นสีดำ Nuclear 4400</t>
        </is>
      </c>
      <c r="C529" s="8" t="inlineStr">
        <is>
          <t>40 กล.</t>
        </is>
      </c>
      <c r="D529" s="9" t="n">
        <v>820</v>
      </c>
      <c r="H529" s="9" t="n">
        <v>32800</v>
      </c>
      <c r="I529" s="10" t="inlineStr">
        <is>
          <t>PB Paint</t>
        </is>
      </c>
      <c r="J529" s="161" t="n">
        <v>23164</v>
      </c>
      <c r="L529" s="8" t="inlineStr">
        <is>
          <t>ราคาที่ลง ยังไม่รวมภาษี</t>
        </is>
      </c>
    </row>
    <row r="530">
      <c r="A530" s="70" t="n"/>
      <c r="B530" s="6" t="inlineStr">
        <is>
          <t>สีรองพื้นสีดำ Nuclear 4400</t>
        </is>
      </c>
      <c r="C530" s="8" t="inlineStr">
        <is>
          <t>40 กล.</t>
        </is>
      </c>
      <c r="D530" s="9" t="n">
        <v>820</v>
      </c>
      <c r="H530" s="9" t="n">
        <v>32800</v>
      </c>
      <c r="I530" s="10" t="inlineStr">
        <is>
          <t>PB Paint</t>
        </is>
      </c>
      <c r="J530" s="161" t="n">
        <v>23243</v>
      </c>
      <c r="L530" s="8" t="inlineStr">
        <is>
          <t>ราคาที่ลง ยังไม่รวมภาษี</t>
        </is>
      </c>
    </row>
    <row r="531">
      <c r="A531" s="70" t="n"/>
      <c r="B531" s="6" t="inlineStr">
        <is>
          <t>สีรองพื้นสีดำ Nuclear 4400</t>
        </is>
      </c>
      <c r="C531" s="8" t="inlineStr">
        <is>
          <t>40 กล.</t>
        </is>
      </c>
      <c r="D531" s="9" t="n">
        <v>820</v>
      </c>
      <c r="H531" s="9" t="n">
        <v>32800</v>
      </c>
      <c r="I531" s="10" t="inlineStr">
        <is>
          <t>PB Paint</t>
        </is>
      </c>
      <c r="J531" s="161" t="n">
        <v>23316</v>
      </c>
      <c r="L531" s="8" t="inlineStr">
        <is>
          <t>ราคาที่ลง ยังไม่รวมภาษี</t>
        </is>
      </c>
    </row>
    <row r="532">
      <c r="A532" s="70" t="n"/>
      <c r="B532" s="6" t="inlineStr">
        <is>
          <t>สีรองพื้นสีดำ Nuclear 4400</t>
        </is>
      </c>
      <c r="C532" s="8" t="inlineStr">
        <is>
          <t>40 กล.</t>
        </is>
      </c>
      <c r="D532" s="9" t="n">
        <v>820</v>
      </c>
      <c r="H532" s="9" t="n">
        <v>32800</v>
      </c>
      <c r="I532" s="10" t="inlineStr">
        <is>
          <t>PB Paint</t>
        </is>
      </c>
      <c r="J532" s="161" t="n">
        <v>23354</v>
      </c>
      <c r="L532" s="8" t="inlineStr">
        <is>
          <t>ราคาที่ลง ยังไม่รวมภาษี</t>
        </is>
      </c>
    </row>
    <row r="533">
      <c r="A533" s="70" t="n"/>
      <c r="B533" s="6" t="inlineStr">
        <is>
          <t>สีรองพื้นสีดำ Nuclear 4400</t>
        </is>
      </c>
      <c r="C533" s="8" t="inlineStr">
        <is>
          <t>40 กล.</t>
        </is>
      </c>
      <c r="D533" s="9" t="n">
        <v>820</v>
      </c>
      <c r="H533" s="9" t="n">
        <v>32800</v>
      </c>
      <c r="I533" s="10" t="inlineStr">
        <is>
          <t>PB Paint</t>
        </is>
      </c>
      <c r="J533" s="161" t="n">
        <v>23401</v>
      </c>
      <c r="L533" s="8" t="inlineStr">
        <is>
          <t>ราคาที่ลง ยังไม่รวมภาษี</t>
        </is>
      </c>
    </row>
    <row r="534">
      <c r="A534" s="70" t="n"/>
      <c r="B534" s="6" t="inlineStr">
        <is>
          <t>สีรองพื้นสีดำ Nuclear 4400</t>
        </is>
      </c>
      <c r="C534" s="8" t="inlineStr">
        <is>
          <t>40 กล.</t>
        </is>
      </c>
      <c r="D534" s="9" t="n">
        <v>820</v>
      </c>
      <c r="H534" s="9" t="n">
        <v>32800</v>
      </c>
      <c r="I534" s="10" t="inlineStr">
        <is>
          <t>PB Paint</t>
        </is>
      </c>
      <c r="J534" s="161" t="n">
        <v>23444</v>
      </c>
      <c r="L534" s="8" t="inlineStr">
        <is>
          <t>ราคาที่ลง ยังไม่รวมภาษี</t>
        </is>
      </c>
    </row>
    <row r="535">
      <c r="A535" s="70" t="n"/>
      <c r="B535" s="6" t="inlineStr">
        <is>
          <t>สีรองพื้นสีดำ Nuclear 4400</t>
        </is>
      </c>
      <c r="C535" s="8" t="inlineStr">
        <is>
          <t>40 กล.</t>
        </is>
      </c>
      <c r="D535" s="9" t="n">
        <v>820</v>
      </c>
      <c r="H535" s="9" t="n">
        <v>32800</v>
      </c>
      <c r="I535" s="10" t="inlineStr">
        <is>
          <t>PB Paint</t>
        </is>
      </c>
      <c r="J535" s="161" t="n">
        <v>23472</v>
      </c>
      <c r="L535" s="8" t="inlineStr">
        <is>
          <t>ราคาที่ลง ยังไม่รวมภาษี</t>
        </is>
      </c>
    </row>
    <row r="536">
      <c r="A536" s="70" t="n"/>
      <c r="B536" s="6" t="inlineStr">
        <is>
          <t>สีรองพื้นสีดำ Nuclear 4400</t>
        </is>
      </c>
      <c r="C536" s="8" t="inlineStr">
        <is>
          <t>40 กล.</t>
        </is>
      </c>
      <c r="D536" s="9" t="n">
        <v>820</v>
      </c>
      <c r="H536" s="9" t="n">
        <v>32800</v>
      </c>
      <c r="I536" s="10" t="inlineStr">
        <is>
          <t>PB Paint</t>
        </is>
      </c>
      <c r="J536" s="161" t="n">
        <v>23635</v>
      </c>
      <c r="L536" s="8" t="inlineStr">
        <is>
          <t>ราคาที่ลง ยังไม่รวมภาษี</t>
        </is>
      </c>
    </row>
    <row r="537">
      <c r="A537" s="70" t="n"/>
      <c r="B537" s="6" t="inlineStr">
        <is>
          <t>สีรองพื้นสีดำ Nuclear 4400</t>
        </is>
      </c>
      <c r="C537" s="8" t="inlineStr">
        <is>
          <t>40 กล.</t>
        </is>
      </c>
      <c r="D537" s="9" t="n">
        <v>820</v>
      </c>
      <c r="H537" s="9" t="n">
        <v>32800</v>
      </c>
      <c r="I537" s="10" t="inlineStr">
        <is>
          <t>PB Paint</t>
        </is>
      </c>
      <c r="J537" s="161" t="n">
        <v>23691</v>
      </c>
      <c r="K537" s="8" t="inlineStr">
        <is>
          <t>64/690</t>
        </is>
      </c>
      <c r="L537" s="8" t="inlineStr">
        <is>
          <t>ราคาที่ลง ยังไม่รวมภาษี</t>
        </is>
      </c>
    </row>
    <row r="538">
      <c r="A538" s="70" t="n"/>
      <c r="B538" s="6" t="inlineStr">
        <is>
          <t>สีรองพื้นสีดำ Nuclear 4400</t>
        </is>
      </c>
      <c r="C538" s="8" t="inlineStr">
        <is>
          <t>48 กล.</t>
        </is>
      </c>
      <c r="D538" s="9" t="n">
        <v>820</v>
      </c>
      <c r="H538" s="9" t="n">
        <v>39360</v>
      </c>
      <c r="I538" s="10" t="inlineStr">
        <is>
          <t>PB Paint</t>
        </is>
      </c>
      <c r="J538" s="161" t="n">
        <v>23720</v>
      </c>
      <c r="K538" s="8" t="inlineStr">
        <is>
          <t>64/756</t>
        </is>
      </c>
      <c r="L538" s="8" t="inlineStr">
        <is>
          <t>ราคาที่ลง ยังไม่รวมภาษี</t>
        </is>
      </c>
    </row>
    <row r="539">
      <c r="A539" s="70" t="n"/>
      <c r="B539" s="6" t="inlineStr">
        <is>
          <t>สีรองพื้นสีดำ Nuclear 4400</t>
        </is>
      </c>
      <c r="C539" s="8" t="inlineStr">
        <is>
          <t>48 กล.</t>
        </is>
      </c>
      <c r="D539" s="9" t="n">
        <v>820</v>
      </c>
      <c r="H539" s="9" t="n">
        <v>39360</v>
      </c>
      <c r="I539" s="10" t="inlineStr">
        <is>
          <t>PB Paint</t>
        </is>
      </c>
      <c r="J539" s="161" t="n">
        <v>23794</v>
      </c>
      <c r="K539" s="8" t="inlineStr">
        <is>
          <t>65/113</t>
        </is>
      </c>
      <c r="L539" s="8" t="inlineStr">
        <is>
          <t>ราคาที่ลง ยังไม่รวมภาษี</t>
        </is>
      </c>
    </row>
    <row r="540">
      <c r="A540" s="70" t="n"/>
      <c r="B540" s="6" t="inlineStr">
        <is>
          <t>สีรองพื้นสีดำ Nuclear 4400</t>
        </is>
      </c>
      <c r="C540" s="8" t="inlineStr">
        <is>
          <t>40 กล.</t>
        </is>
      </c>
      <c r="D540" s="9" t="n">
        <v>820</v>
      </c>
      <c r="H540" s="9" t="n">
        <v>32800</v>
      </c>
      <c r="I540" s="10" t="inlineStr">
        <is>
          <t>PB Paint</t>
        </is>
      </c>
      <c r="J540" s="161" t="n">
        <v>23882</v>
      </c>
      <c r="K540" s="8" t="inlineStr">
        <is>
          <t>65/307</t>
        </is>
      </c>
      <c r="L540" s="8" t="inlineStr">
        <is>
          <t>ราคาที่ลง ยังไม่รวมภาษี</t>
        </is>
      </c>
    </row>
    <row r="541">
      <c r="A541" s="70" t="n"/>
      <c r="B541" s="6" t="inlineStr">
        <is>
          <t>สีรองพื้นสีดำ Nuclear 4400</t>
        </is>
      </c>
      <c r="C541" s="8" t="inlineStr">
        <is>
          <t>40 กล.</t>
        </is>
      </c>
      <c r="D541" s="9" t="n">
        <v>820</v>
      </c>
      <c r="H541" s="9" t="n">
        <v>32800</v>
      </c>
      <c r="I541" s="10" t="inlineStr">
        <is>
          <t>PB Paint</t>
        </is>
      </c>
      <c r="J541" s="161" t="n">
        <v>23924</v>
      </c>
      <c r="K541" s="8" t="inlineStr">
        <is>
          <t>65/399</t>
        </is>
      </c>
      <c r="L541" s="8" t="inlineStr">
        <is>
          <t>ราคาที่ลง ยังไม่รวมภาษี</t>
        </is>
      </c>
    </row>
    <row r="542">
      <c r="A542" s="70" t="n"/>
      <c r="B542" s="6" t="inlineStr">
        <is>
          <t>สีรองพื้นสีดำ Nuclear 4400</t>
        </is>
      </c>
      <c r="C542" s="8" t="inlineStr">
        <is>
          <t>40 กล.</t>
        </is>
      </c>
      <c r="D542" s="9" t="n">
        <v>820</v>
      </c>
      <c r="H542" s="9" t="n">
        <v>32800</v>
      </c>
      <c r="I542" s="10" t="inlineStr">
        <is>
          <t>PB Paint</t>
        </is>
      </c>
      <c r="J542" s="161" t="n">
        <v>24001</v>
      </c>
      <c r="K542" s="8" t="inlineStr">
        <is>
          <t>65/582</t>
        </is>
      </c>
      <c r="L542" s="8" t="inlineStr">
        <is>
          <t>ราคาที่ลง ยังไม่รวมภาษี</t>
        </is>
      </c>
    </row>
    <row r="543">
      <c r="A543" s="70" t="n"/>
      <c r="B543" s="6" t="inlineStr">
        <is>
          <t>สีรองพื้นสีดำ Nuclear 4400</t>
        </is>
      </c>
      <c r="C543" s="8" t="inlineStr">
        <is>
          <t>40 กล.</t>
        </is>
      </c>
      <c r="D543" s="9" t="n">
        <v>820</v>
      </c>
      <c r="H543" s="9" t="n">
        <v>32800</v>
      </c>
      <c r="I543" s="10" t="inlineStr">
        <is>
          <t>PB Paint</t>
        </is>
      </c>
      <c r="J543" s="161" t="n">
        <v>24040</v>
      </c>
      <c r="K543" s="8" t="inlineStr">
        <is>
          <t>65/673</t>
        </is>
      </c>
      <c r="L543" s="8" t="inlineStr">
        <is>
          <t>ราคาที่ลง ยังไม่รวมภาษี</t>
        </is>
      </c>
    </row>
    <row r="544">
      <c r="A544" s="70" t="n"/>
      <c r="B544" s="6" t="inlineStr">
        <is>
          <t>สีรองพื้นสีดำ Nuclear 4400</t>
        </is>
      </c>
      <c r="C544" s="8" t="inlineStr">
        <is>
          <t>40 กล.</t>
        </is>
      </c>
      <c r="D544" s="9" t="n">
        <v>820</v>
      </c>
      <c r="H544" s="9" t="n">
        <v>32800</v>
      </c>
      <c r="I544" s="10" t="inlineStr">
        <is>
          <t>PB Paint</t>
        </is>
      </c>
      <c r="J544" s="161" t="n">
        <v>24090</v>
      </c>
      <c r="K544" s="8" t="inlineStr">
        <is>
          <t>65/800</t>
        </is>
      </c>
      <c r="L544" s="8" t="inlineStr">
        <is>
          <t>ราคาที่ลง ยังไม่รวมภาษี</t>
        </is>
      </c>
    </row>
    <row r="545">
      <c r="A545" s="70" t="n"/>
      <c r="B545" s="6" t="inlineStr">
        <is>
          <t>สีรองพื้นสีดำ Nuclear 4400</t>
        </is>
      </c>
      <c r="C545" s="8" t="inlineStr">
        <is>
          <t>40 กล.</t>
        </is>
      </c>
      <c r="D545" s="9" t="n">
        <v>820</v>
      </c>
      <c r="H545" s="9" t="n">
        <v>32800</v>
      </c>
      <c r="I545" s="10" t="inlineStr">
        <is>
          <t>PB Paint</t>
        </is>
      </c>
      <c r="J545" s="161" t="n">
        <v>24147</v>
      </c>
      <c r="K545" s="8" t="inlineStr">
        <is>
          <t>66/078</t>
        </is>
      </c>
      <c r="L545" s="8" t="inlineStr">
        <is>
          <t>ราคาที่ลง ยังไม่รวมภาษี</t>
        </is>
      </c>
    </row>
    <row r="546">
      <c r="A546" s="70" t="n"/>
      <c r="B546" s="6" t="inlineStr">
        <is>
          <t>สีรองพื้นสีดำ Nuclear 4400</t>
        </is>
      </c>
      <c r="C546" s="8" t="inlineStr">
        <is>
          <t>40 กล.</t>
        </is>
      </c>
      <c r="D546" s="9" t="n">
        <v>820</v>
      </c>
      <c r="H546" s="9" t="n">
        <v>32800</v>
      </c>
      <c r="I546" s="10" t="inlineStr">
        <is>
          <t>PB Paint</t>
        </is>
      </c>
      <c r="J546" s="161" t="n">
        <v>24187</v>
      </c>
      <c r="K546" s="8" t="inlineStr">
        <is>
          <t>66/175</t>
        </is>
      </c>
      <c r="L546" s="8" t="inlineStr">
        <is>
          <t>ราคาที่ลง ยังไม่รวมภาษี</t>
        </is>
      </c>
    </row>
    <row r="547">
      <c r="A547" s="70" t="n"/>
      <c r="B547" s="6" t="inlineStr">
        <is>
          <t>สีรองพื้นสีดำ Nuclear 4400</t>
        </is>
      </c>
      <c r="C547" s="8" t="inlineStr">
        <is>
          <t>40 กล.</t>
        </is>
      </c>
      <c r="D547" s="9" t="n">
        <v>820</v>
      </c>
      <c r="H547" s="9" t="n">
        <v>32800</v>
      </c>
      <c r="I547" s="10" t="inlineStr">
        <is>
          <t>PB Paint</t>
        </is>
      </c>
      <c r="J547" s="161" t="n">
        <v>24242</v>
      </c>
      <c r="K547" s="8" t="inlineStr">
        <is>
          <t>66/287</t>
        </is>
      </c>
      <c r="L547" s="8" t="inlineStr">
        <is>
          <t>ราคาที่ลง ยังไม่รวมภาษี</t>
        </is>
      </c>
    </row>
    <row r="548">
      <c r="A548" s="70" t="n"/>
      <c r="B548" s="6" t="inlineStr">
        <is>
          <t>สีรองพื้นสีดำ Nuclear 4400</t>
        </is>
      </c>
      <c r="C548" s="8" t="inlineStr">
        <is>
          <t>40 กล.</t>
        </is>
      </c>
      <c r="D548" s="9" t="n">
        <v>820</v>
      </c>
      <c r="H548" s="9" t="n">
        <v>32800</v>
      </c>
      <c r="I548" s="10" t="inlineStr">
        <is>
          <t>PB Paint</t>
        </is>
      </c>
      <c r="J548" s="161" t="n">
        <v>24284</v>
      </c>
      <c r="K548" s="8" t="inlineStr">
        <is>
          <t>66/393</t>
        </is>
      </c>
      <c r="L548" s="8" t="inlineStr">
        <is>
          <t>ราคาที่ลง ยังไม่รวมภาษี</t>
        </is>
      </c>
    </row>
    <row r="549">
      <c r="A549" s="70" t="n"/>
      <c r="B549" s="6" t="inlineStr">
        <is>
          <t>สีรองพื้นสีดำ Nuclear 4400</t>
        </is>
      </c>
      <c r="C549" s="8" t="inlineStr">
        <is>
          <t>40 กล.</t>
        </is>
      </c>
      <c r="D549" s="9" t="n">
        <v>820</v>
      </c>
      <c r="H549" s="9" t="n">
        <v>32800</v>
      </c>
      <c r="I549" s="10" t="inlineStr">
        <is>
          <t>PB Paint</t>
        </is>
      </c>
      <c r="J549" s="161" t="n">
        <v>24313</v>
      </c>
      <c r="K549" s="8" t="inlineStr">
        <is>
          <t>66/456</t>
        </is>
      </c>
      <c r="L549" s="8" t="inlineStr">
        <is>
          <t>ราคาที่ลง ยังไม่รวมภาษี</t>
        </is>
      </c>
    </row>
    <row r="550">
      <c r="A550" s="70" t="n"/>
      <c r="B550" s="6" t="inlineStr">
        <is>
          <t>สีรองพื้นสีดำ Nuclear 4400</t>
        </is>
      </c>
      <c r="C550" s="8" t="inlineStr">
        <is>
          <t>40 กล.</t>
        </is>
      </c>
      <c r="D550" s="9" t="n">
        <v>820</v>
      </c>
      <c r="H550" s="9" t="n">
        <v>32800</v>
      </c>
      <c r="I550" s="10" t="inlineStr">
        <is>
          <t>PB Paint</t>
        </is>
      </c>
      <c r="J550" s="161" t="n">
        <v>24341</v>
      </c>
      <c r="K550" s="8" t="inlineStr">
        <is>
          <t>66/521</t>
        </is>
      </c>
      <c r="L550" s="8" t="inlineStr">
        <is>
          <t>ราคาที่ลง ยังไม่รวมภาษี</t>
        </is>
      </c>
    </row>
    <row r="551">
      <c r="A551" s="70" t="n"/>
      <c r="B551" s="6" t="inlineStr">
        <is>
          <t>สีรองพื้นสีดำ Nuclear 4400</t>
        </is>
      </c>
      <c r="C551" s="8" t="n">
        <v>40</v>
      </c>
      <c r="D551" s="9" t="n">
        <v>820</v>
      </c>
      <c r="H551" s="9">
        <f>SUM(D551*C551)</f>
        <v/>
      </c>
      <c r="I551" s="10" t="inlineStr">
        <is>
          <t>PB Paint</t>
        </is>
      </c>
      <c r="J551" s="161" t="n">
        <v>24372</v>
      </c>
      <c r="K551" s="8" t="inlineStr">
        <is>
          <t>66/601</t>
        </is>
      </c>
      <c r="L551" s="8" t="inlineStr">
        <is>
          <t>ราคาที่ลง ยังไม่รวมภาษี</t>
        </is>
      </c>
    </row>
    <row r="552">
      <c r="A552" s="70" t="n"/>
      <c r="B552" s="6" t="inlineStr">
        <is>
          <t>สีรองพื้นสีดำ Nuclear 4400</t>
        </is>
      </c>
      <c r="C552" s="8" t="inlineStr">
        <is>
          <t>40 กล.</t>
        </is>
      </c>
      <c r="D552" s="9" t="n">
        <v>820</v>
      </c>
      <c r="H552" s="9" t="n">
        <v>32800</v>
      </c>
      <c r="I552" s="10" t="inlineStr">
        <is>
          <t>PB Paint</t>
        </is>
      </c>
      <c r="J552" s="161" t="n">
        <v>24404</v>
      </c>
      <c r="K552" s="8" t="inlineStr">
        <is>
          <t>66/667</t>
        </is>
      </c>
      <c r="L552" s="8" t="inlineStr">
        <is>
          <t>ราคาที่ลง ยังไม่รวมภาษี</t>
        </is>
      </c>
    </row>
    <row r="553">
      <c r="A553" s="70" t="n"/>
      <c r="B553" s="6" t="inlineStr">
        <is>
          <t>สีรองพื้นสีดำ Nuclear 4400</t>
        </is>
      </c>
      <c r="C553" s="8" t="inlineStr">
        <is>
          <t>40 กล.</t>
        </is>
      </c>
      <c r="D553" s="9" t="n">
        <v>820</v>
      </c>
      <c r="H553" s="9" t="n">
        <v>32800</v>
      </c>
      <c r="I553" s="10" t="inlineStr">
        <is>
          <t>PB Paint</t>
        </is>
      </c>
      <c r="J553" s="161" t="n">
        <v>24434</v>
      </c>
      <c r="K553" s="8" t="inlineStr">
        <is>
          <t>66/746</t>
        </is>
      </c>
      <c r="L553" s="8" t="inlineStr">
        <is>
          <t>ราคาที่ลง ยังไม่รวมภาษี</t>
        </is>
      </c>
    </row>
    <row r="554">
      <c r="A554" s="70" t="n"/>
      <c r="B554" s="6" t="inlineStr">
        <is>
          <t>สีรองพื้นสีดำ Nuclear 4400</t>
        </is>
      </c>
      <c r="C554" s="8" t="n">
        <v>40</v>
      </c>
      <c r="D554" s="9" t="n">
        <v>820</v>
      </c>
      <c r="H554" s="9">
        <f>SUM(D554*C554)</f>
        <v/>
      </c>
      <c r="I554" s="10" t="inlineStr">
        <is>
          <t>PB Paint</t>
        </is>
      </c>
      <c r="J554" s="161" t="n">
        <v>24462</v>
      </c>
      <c r="K554" s="8" t="inlineStr">
        <is>
          <t>66/823</t>
        </is>
      </c>
      <c r="L554" s="8" t="inlineStr">
        <is>
          <t>ราคาที่ลง ยังไม่รวมภาษี</t>
        </is>
      </c>
    </row>
    <row r="555">
      <c r="A555" s="70" t="n"/>
      <c r="B555" s="6" t="inlineStr">
        <is>
          <t>สีรองพื้นสีดำ Nuclear 4400</t>
        </is>
      </c>
      <c r="C555" s="8" t="n">
        <v>40</v>
      </c>
      <c r="D555" s="9" t="n">
        <v>820</v>
      </c>
      <c r="H555" s="9">
        <f>SUM(D555*C555)</f>
        <v/>
      </c>
      <c r="I555" s="10" t="inlineStr">
        <is>
          <t>PB Paint</t>
        </is>
      </c>
      <c r="J555" s="161" t="n">
        <v>24552</v>
      </c>
      <c r="K555" s="8" t="inlineStr">
        <is>
          <t>67/163</t>
        </is>
      </c>
      <c r="L555" s="8" t="inlineStr">
        <is>
          <t>ราคาที่ลง ยังไม่รวมภาษี</t>
        </is>
      </c>
    </row>
    <row r="556">
      <c r="A556" s="70" t="n"/>
      <c r="B556" s="6" t="inlineStr">
        <is>
          <t>สีรองพื้นสีดำ Nuclear 4400</t>
        </is>
      </c>
      <c r="C556" s="8" t="n">
        <v>40</v>
      </c>
      <c r="D556" s="9" t="n">
        <v>820</v>
      </c>
      <c r="H556" s="9">
        <f>SUM(D556*C556)</f>
        <v/>
      </c>
      <c r="I556" s="10" t="inlineStr">
        <is>
          <t>PB Paint</t>
        </is>
      </c>
      <c r="J556" s="161" t="n">
        <v>24613</v>
      </c>
      <c r="K556" s="8" t="inlineStr">
        <is>
          <t>67/278</t>
        </is>
      </c>
      <c r="L556" s="8" t="inlineStr">
        <is>
          <t>ราคาที่ลง ยังไม่รวมภาษี</t>
        </is>
      </c>
    </row>
    <row r="557">
      <c r="A557" s="70" t="n"/>
      <c r="B557" s="6" t="inlineStr">
        <is>
          <t>สีรองพื้นสีดำ Nuclear 4400</t>
        </is>
      </c>
      <c r="C557" s="8" t="n">
        <v>40</v>
      </c>
      <c r="D557" s="9" t="n">
        <v>820</v>
      </c>
      <c r="H557" s="9">
        <f>SUM(D557*C557)</f>
        <v/>
      </c>
      <c r="I557" s="10" t="inlineStr">
        <is>
          <t>PB Paint</t>
        </is>
      </c>
      <c r="J557" s="161" t="n">
        <v>24649</v>
      </c>
      <c r="K557" s="8" t="inlineStr">
        <is>
          <t>67/370</t>
        </is>
      </c>
      <c r="L557" s="8" t="inlineStr">
        <is>
          <t>ราคาที่ลง ยังไม่รวมภาษี</t>
        </is>
      </c>
    </row>
    <row r="558">
      <c r="A558" s="70" t="n"/>
      <c r="B558" s="6" t="inlineStr">
        <is>
          <t>สีรองพื้นสีดำ Nuclear 4400</t>
        </is>
      </c>
      <c r="C558" s="8" t="n">
        <v>30</v>
      </c>
      <c r="D558" s="9" t="n">
        <v>820</v>
      </c>
      <c r="H558" s="9">
        <f>SUM(D558*C558)</f>
        <v/>
      </c>
      <c r="I558" s="10" t="inlineStr">
        <is>
          <t>PB Paint</t>
        </is>
      </c>
      <c r="J558" s="161" t="n">
        <v>24706</v>
      </c>
      <c r="K558" s="8" t="inlineStr">
        <is>
          <t>67/481</t>
        </is>
      </c>
      <c r="L558" s="8" t="inlineStr">
        <is>
          <t>ราคาที่ลง ยังไม่รวมภาษี</t>
        </is>
      </c>
    </row>
    <row r="559">
      <c r="A559" s="70" t="n"/>
      <c r="B559" s="6" t="inlineStr">
        <is>
          <t>สีรองพื้นสีดำ Nuclear 4400</t>
        </is>
      </c>
      <c r="C559" s="8" t="n">
        <v>30</v>
      </c>
      <c r="D559" s="9" t="n">
        <v>820</v>
      </c>
      <c r="H559" s="9">
        <f>SUM(D559*C559)</f>
        <v/>
      </c>
      <c r="I559" s="10" t="inlineStr">
        <is>
          <t>PB Paint</t>
        </is>
      </c>
      <c r="J559" s="161" t="n">
        <v>24762</v>
      </c>
      <c r="K559" s="8" t="inlineStr">
        <is>
          <t>67/601</t>
        </is>
      </c>
      <c r="L559" s="8" t="inlineStr">
        <is>
          <t>ราคาที่ลง ยังไม่รวมภาษี</t>
        </is>
      </c>
    </row>
    <row r="560">
      <c r="A560" s="70" t="n"/>
      <c r="B560" s="6" t="inlineStr">
        <is>
          <t>สีรองพื้นสีดำ Nuclear 4400</t>
        </is>
      </c>
      <c r="C560" s="8" t="n">
        <v>30</v>
      </c>
      <c r="D560" s="9" t="n">
        <v>820</v>
      </c>
      <c r="H560" s="9">
        <f>SUM(D560*C560)</f>
        <v/>
      </c>
      <c r="I560" s="10" t="inlineStr">
        <is>
          <t>PB Paint</t>
        </is>
      </c>
      <c r="J560" s="161" t="n">
        <v>24796</v>
      </c>
      <c r="K560" s="8" t="inlineStr">
        <is>
          <t>67/666</t>
        </is>
      </c>
      <c r="L560" s="8" t="inlineStr">
        <is>
          <t>ราคาที่ลง ยังไม่รวมภาษี</t>
        </is>
      </c>
    </row>
    <row r="561">
      <c r="A561" s="70" t="n"/>
      <c r="B561" s="6" t="inlineStr">
        <is>
          <t>สีรองพื้นสีดำ Nuclear 4400</t>
        </is>
      </c>
      <c r="C561" s="8" t="n">
        <v>30</v>
      </c>
      <c r="D561" s="9" t="n">
        <v>820</v>
      </c>
      <c r="H561" s="9">
        <f>SUM(D561*C561)</f>
        <v/>
      </c>
      <c r="I561" s="10" t="inlineStr">
        <is>
          <t>PB Paint</t>
        </is>
      </c>
      <c r="J561" s="161" t="n">
        <v>24819</v>
      </c>
      <c r="K561" s="8" t="inlineStr">
        <is>
          <t>67/720</t>
        </is>
      </c>
      <c r="L561" s="8" t="inlineStr">
        <is>
          <t>ราคาที่ลง ยังไม่รวมภาษี</t>
        </is>
      </c>
    </row>
    <row r="562">
      <c r="A562" s="70" t="n"/>
      <c r="B562" s="6" t="inlineStr">
        <is>
          <t>สีรองพื้นสีดำ Nuclear-11</t>
        </is>
      </c>
      <c r="C562" s="8" t="n">
        <v>40</v>
      </c>
      <c r="D562" s="9" t="n">
        <v>877.4</v>
      </c>
      <c r="H562" s="9">
        <f>SUM(D562*C562)</f>
        <v/>
      </c>
      <c r="I562" s="10" t="inlineStr">
        <is>
          <t>PB Paint</t>
        </is>
      </c>
      <c r="J562" s="161" t="n">
        <v>24881</v>
      </c>
      <c r="K562" s="8" t="inlineStr">
        <is>
          <t>PB2025020017</t>
        </is>
      </c>
      <c r="L562" s="8" t="inlineStr">
        <is>
          <t>ราคารวม VAT แล้ว</t>
        </is>
      </c>
    </row>
    <row r="563">
      <c r="A563" s="70" t="n"/>
      <c r="B563" s="6" t="inlineStr">
        <is>
          <t>สีรองพื้นสีดำ Nuclear-11</t>
        </is>
      </c>
      <c r="C563" s="8" t="n">
        <v>30</v>
      </c>
      <c r="D563" s="9" t="n">
        <v>877.4</v>
      </c>
      <c r="H563" s="9">
        <f>SUM(D563*C563)</f>
        <v/>
      </c>
      <c r="I563" s="10" t="inlineStr">
        <is>
          <t>PB Paint</t>
        </is>
      </c>
      <c r="J563" s="161" t="n">
        <v>24922</v>
      </c>
      <c r="K563" s="8" t="inlineStr">
        <is>
          <t>PB2025030040</t>
        </is>
      </c>
      <c r="L563" s="8" t="inlineStr">
        <is>
          <t>ราคารวม VAT แล้ว</t>
        </is>
      </c>
    </row>
    <row r="564">
      <c r="B564" s="6" t="inlineStr">
        <is>
          <t>สีรองพื้นสีดำ Nuclear-11</t>
        </is>
      </c>
      <c r="C564" s="8" t="n">
        <v>40</v>
      </c>
      <c r="D564" s="9" t="n">
        <v>820</v>
      </c>
      <c r="E564" s="9">
        <f>SUM(D564*C564)</f>
        <v/>
      </c>
      <c r="G564" s="10" t="inlineStr">
        <is>
          <t>ราคารวม VAT =</t>
        </is>
      </c>
      <c r="H564" s="9">
        <f>SUM(E564*O564/N564)</f>
        <v/>
      </c>
      <c r="I564" s="10" t="inlineStr">
        <is>
          <t>PB Paint</t>
        </is>
      </c>
      <c r="J564" s="161" t="n">
        <v>24979</v>
      </c>
      <c r="K564" s="8" t="inlineStr">
        <is>
          <t>PB2025050032</t>
        </is>
      </c>
      <c r="N564" s="6" t="n">
        <v>100</v>
      </c>
      <c r="O564" s="6" t="n">
        <v>107</v>
      </c>
    </row>
    <row r="565">
      <c r="B565" s="6" t="inlineStr">
        <is>
          <t>สีรองพื้นสีดำ Nuclear-11</t>
        </is>
      </c>
      <c r="C565" s="8" t="n">
        <v>30</v>
      </c>
      <c r="D565" s="9" t="n">
        <v>820</v>
      </c>
      <c r="E565" s="9">
        <f>SUM(D565*C565)</f>
        <v/>
      </c>
      <c r="G565" s="10" t="inlineStr">
        <is>
          <t>ราคารวม VAT =</t>
        </is>
      </c>
      <c r="H565" s="9">
        <f>SUM(E565*O565/N565)</f>
        <v/>
      </c>
      <c r="I565" s="10" t="inlineStr">
        <is>
          <t>PB Paint</t>
        </is>
      </c>
      <c r="J565" s="161" t="n">
        <v>25005</v>
      </c>
      <c r="K565" s="8" t="inlineStr">
        <is>
          <t>PB2025060025</t>
        </is>
      </c>
      <c r="N565" s="6" t="n">
        <v>100</v>
      </c>
      <c r="O565" s="6" t="n">
        <v>107</v>
      </c>
    </row>
    <row r="566" customFormat="1" s="42">
      <c r="B566" s="42" t="inlineStr">
        <is>
          <t xml:space="preserve"> ** คราวหน้าสั่งซื้อของวาที วาทีเอาของมาให้ลองแล้ว พี่อี๊ด+ตั๊ก บอกว่าใช้ได้ ต้นทุน PB ชุดละ 1,200 บาท / วาที ชุดละ 1,070 บาท</t>
        </is>
      </c>
      <c r="C566" s="45" t="n"/>
      <c r="D566" s="16" t="n"/>
      <c r="E566" s="16" t="n"/>
      <c r="F566" s="45" t="n"/>
      <c r="G566" s="50" t="n"/>
      <c r="H566" s="16" t="n"/>
      <c r="I566" s="50" t="n"/>
      <c r="J566" s="166" t="n"/>
      <c r="K566" s="45" t="n"/>
      <c r="L566" s="45" t="n"/>
    </row>
    <row r="567">
      <c r="A567" s="67" t="inlineStr">
        <is>
          <t>1ลัง = 4กป.</t>
        </is>
      </c>
      <c r="B567" s="6" t="inlineStr">
        <is>
          <t>สีรองพื้นสีดำกลบรอยอเนกประสงค์ LEZZON 2370</t>
        </is>
      </c>
      <c r="C567" s="8" t="n">
        <v>40</v>
      </c>
      <c r="D567" s="9" t="n">
        <v>530</v>
      </c>
      <c r="E567" s="9">
        <f>SUM(D567*C567)</f>
        <v/>
      </c>
      <c r="G567" s="10" t="inlineStr">
        <is>
          <t>ราคารวม VAT =</t>
        </is>
      </c>
      <c r="H567" s="9">
        <f>SUM(E567*O567/N567)</f>
        <v/>
      </c>
      <c r="I567" s="10" t="inlineStr">
        <is>
          <t>บจก. วีที คัลเลอร์ โปร</t>
        </is>
      </c>
      <c r="J567" s="161" t="n">
        <v>25098</v>
      </c>
      <c r="K567" s="8" t="inlineStr">
        <is>
          <t>IV6809124</t>
        </is>
      </c>
      <c r="N567" s="6" t="n">
        <v>100</v>
      </c>
      <c r="O567" s="6" t="n">
        <v>107</v>
      </c>
    </row>
    <row r="568">
      <c r="B568" s="6" t="inlineStr">
        <is>
          <t>สีรองพื้นสีดำกลบรอยอเนกประสงค์ LEZZON 2370</t>
        </is>
      </c>
      <c r="C568" s="8" t="n">
        <v>40</v>
      </c>
      <c r="D568" s="9" t="n">
        <v>530</v>
      </c>
      <c r="E568" s="9">
        <f>SUM(D568*C568)</f>
        <v/>
      </c>
      <c r="G568" s="10" t="inlineStr">
        <is>
          <t>ราคารวม VAT =</t>
        </is>
      </c>
      <c r="H568" s="9">
        <f>SUM(E568*O568/N568)</f>
        <v/>
      </c>
      <c r="I568" s="10" t="inlineStr">
        <is>
          <t>บจก. วีที คัลเลอร์ โปร</t>
        </is>
      </c>
      <c r="J568" s="161" t="n">
        <v>25168</v>
      </c>
      <c r="K568" s="8" t="inlineStr">
        <is>
          <t>IV6811186</t>
        </is>
      </c>
      <c r="N568" s="6" t="n">
        <v>100</v>
      </c>
      <c r="O568" s="6" t="n">
        <v>107</v>
      </c>
    </row>
    <row r="569">
      <c r="B569" s="6" t="inlineStr">
        <is>
          <t>สีรองพื้นสีดำกลบรอยอเนกประสงค์ LEZZON 2370</t>
        </is>
      </c>
      <c r="C569" s="8" t="n">
        <v>20</v>
      </c>
      <c r="D569" s="9" t="n">
        <v>530</v>
      </c>
      <c r="E569" s="9">
        <f>SUM(D569*C569)</f>
        <v/>
      </c>
      <c r="G569" s="10" t="inlineStr">
        <is>
          <t>ราคารวม VAT =</t>
        </is>
      </c>
      <c r="H569" s="9">
        <f>SUM(E569*O569/N569)</f>
        <v/>
      </c>
      <c r="I569" s="10" t="inlineStr">
        <is>
          <t>บจก. วีที คัลเลอร์ โปร</t>
        </is>
      </c>
      <c r="J569" s="161" t="n">
        <v>25268</v>
      </c>
      <c r="K569" s="8" t="inlineStr">
        <is>
          <t>IV6903059</t>
        </is>
      </c>
      <c r="N569" s="6" t="n">
        <v>100</v>
      </c>
      <c r="O569" s="6" t="n">
        <v>107</v>
      </c>
    </row>
    <row r="571">
      <c r="B571" s="6" t="inlineStr">
        <is>
          <t>ฮาร์ดเดนเนอร์ สีรองพื้น 4:1</t>
        </is>
      </c>
      <c r="C571" s="8" t="inlineStr">
        <is>
          <t>32 กป.</t>
        </is>
      </c>
      <c r="D571" s="9" t="n">
        <v>380</v>
      </c>
      <c r="H571" s="9" t="n">
        <v>12160</v>
      </c>
      <c r="I571" s="10" t="inlineStr">
        <is>
          <t>PB Paint</t>
        </is>
      </c>
      <c r="J571" s="161" t="n">
        <v>22832</v>
      </c>
      <c r="L571" s="8" t="inlineStr">
        <is>
          <t>ราคาที่ลง ยังไม่รวมภาษี</t>
        </is>
      </c>
    </row>
    <row r="572">
      <c r="B572" s="6" t="inlineStr">
        <is>
          <t>ฮาร์ดเดนเนอร์ สีรองพื้น 4:1</t>
        </is>
      </c>
      <c r="C572" s="8" t="inlineStr">
        <is>
          <t>32 กป.</t>
        </is>
      </c>
      <c r="D572" s="9" t="n">
        <v>380</v>
      </c>
      <c r="H572" s="9" t="n">
        <v>12160</v>
      </c>
      <c r="I572" s="10" t="inlineStr">
        <is>
          <t>PB Paint</t>
        </is>
      </c>
      <c r="J572" s="161" t="n">
        <v>22866</v>
      </c>
      <c r="L572" s="8" t="inlineStr">
        <is>
          <t>ราคาที่ลง ยังไม่รวมภาษี</t>
        </is>
      </c>
    </row>
    <row r="573">
      <c r="B573" s="6" t="inlineStr">
        <is>
          <t>ฮาร์ดเดนเนอร์ สีรองพื้น 4:1</t>
        </is>
      </c>
      <c r="C573" s="8" t="inlineStr">
        <is>
          <t>40 กป.</t>
        </is>
      </c>
      <c r="D573" s="9" t="n">
        <v>380</v>
      </c>
      <c r="H573" s="9" t="n">
        <v>15200</v>
      </c>
      <c r="I573" s="10" t="inlineStr">
        <is>
          <t>PB Paint</t>
        </is>
      </c>
      <c r="J573" s="161" t="n">
        <v>22899</v>
      </c>
      <c r="L573" s="8" t="inlineStr">
        <is>
          <t>ราคาที่ลง ยังไม่รวมภาษี</t>
        </is>
      </c>
    </row>
    <row r="574">
      <c r="B574" s="6" t="inlineStr">
        <is>
          <t>ฮาร์ดเดนเนอร์ สีรองพื้น 4:1</t>
        </is>
      </c>
      <c r="C574" s="8" t="inlineStr">
        <is>
          <t>50 กป.</t>
        </is>
      </c>
      <c r="D574" s="9" t="n">
        <v>380</v>
      </c>
      <c r="H574" s="9" t="n">
        <v>19000</v>
      </c>
      <c r="I574" s="10" t="inlineStr">
        <is>
          <t>PB Paint</t>
        </is>
      </c>
      <c r="J574" s="161" t="n">
        <v>22998</v>
      </c>
      <c r="L574" s="8" t="inlineStr">
        <is>
          <t>ราคาที่ลง ยังไม่รวมภาษี</t>
        </is>
      </c>
    </row>
    <row r="575">
      <c r="B575" s="6" t="inlineStr">
        <is>
          <t>ฮาร์ดเดนเนอร์ สีรองพื้น 4:1</t>
        </is>
      </c>
      <c r="C575" s="8" t="inlineStr">
        <is>
          <t>30 กป.</t>
        </is>
      </c>
      <c r="D575" s="9" t="n">
        <v>380</v>
      </c>
      <c r="H575" s="9" t="n">
        <v>11400</v>
      </c>
      <c r="I575" s="10" t="inlineStr">
        <is>
          <t>PB Paint</t>
        </is>
      </c>
      <c r="J575" s="161" t="n">
        <v>23095</v>
      </c>
      <c r="L575" s="8" t="inlineStr">
        <is>
          <t>ราคาที่ลง ยังไม่รวมภาษี</t>
        </is>
      </c>
    </row>
    <row r="576">
      <c r="B576" s="6" t="inlineStr">
        <is>
          <t>ฮาร์ดเดนเนอร์ สีรองพื้น 4:1</t>
        </is>
      </c>
      <c r="C576" s="8" t="inlineStr">
        <is>
          <t>40 กป.</t>
        </is>
      </c>
      <c r="D576" s="9" t="n">
        <v>380</v>
      </c>
      <c r="H576" s="9" t="n">
        <v>15200</v>
      </c>
      <c r="I576" s="10" t="inlineStr">
        <is>
          <t>PB Paint</t>
        </is>
      </c>
      <c r="J576" s="161" t="n">
        <v>23121</v>
      </c>
      <c r="L576" s="8" t="inlineStr">
        <is>
          <t>ราคาที่ลง ยังไม่รวมภาษี</t>
        </is>
      </c>
    </row>
    <row r="577">
      <c r="B577" s="6" t="inlineStr">
        <is>
          <t>ฮาร์ดเดนเนอร์ สีรองพื้น 4:1</t>
        </is>
      </c>
      <c r="C577" s="8" t="inlineStr">
        <is>
          <t>40 กป.</t>
        </is>
      </c>
      <c r="D577" s="9" t="n">
        <v>380</v>
      </c>
      <c r="H577" s="9" t="n">
        <v>15200</v>
      </c>
      <c r="I577" s="10" t="inlineStr">
        <is>
          <t>PB Paint</t>
        </is>
      </c>
      <c r="J577" s="161" t="n">
        <v>23164</v>
      </c>
      <c r="L577" s="8" t="inlineStr">
        <is>
          <t>ราคาที่ลง ยังไม่รวมภาษี</t>
        </is>
      </c>
    </row>
    <row r="578">
      <c r="B578" s="6" t="inlineStr">
        <is>
          <t>ฮาร์ดเดนเนอร์ สีรองพื้น 4:1</t>
        </is>
      </c>
      <c r="C578" s="8" t="inlineStr">
        <is>
          <t>40 กป.</t>
        </is>
      </c>
      <c r="D578" s="9" t="n">
        <v>380</v>
      </c>
      <c r="H578" s="9" t="n">
        <v>15200</v>
      </c>
      <c r="I578" s="10" t="inlineStr">
        <is>
          <t>PB Paint</t>
        </is>
      </c>
      <c r="J578" s="161" t="n">
        <v>23243</v>
      </c>
      <c r="L578" s="8" t="inlineStr">
        <is>
          <t>ราคาที่ลง ยังไม่รวมภาษี</t>
        </is>
      </c>
    </row>
    <row r="579">
      <c r="B579" s="6" t="inlineStr">
        <is>
          <t>ฮาร์ดเดนเนอร์ สีรองพื้น 4:1</t>
        </is>
      </c>
      <c r="C579" s="8" t="inlineStr">
        <is>
          <t>40 กป.</t>
        </is>
      </c>
      <c r="D579" s="9" t="n">
        <v>380</v>
      </c>
      <c r="H579" s="9" t="n">
        <v>15200</v>
      </c>
      <c r="I579" s="10" t="inlineStr">
        <is>
          <t>PB Paint</t>
        </is>
      </c>
      <c r="J579" s="161" t="n">
        <v>23316</v>
      </c>
      <c r="L579" s="8" t="inlineStr">
        <is>
          <t>ราคาที่ลง ยังไม่รวมภาษี</t>
        </is>
      </c>
    </row>
    <row r="580">
      <c r="B580" s="6" t="inlineStr">
        <is>
          <t>ฮาร์ดเดนเนอร์ สีรองพื้น 4:1</t>
        </is>
      </c>
      <c r="C580" s="8" t="inlineStr">
        <is>
          <t>40 กป.</t>
        </is>
      </c>
      <c r="D580" s="9" t="n">
        <v>380</v>
      </c>
      <c r="H580" s="9" t="n">
        <v>15200</v>
      </c>
      <c r="I580" s="10" t="inlineStr">
        <is>
          <t>PB Paint</t>
        </is>
      </c>
      <c r="J580" s="161" t="n">
        <v>23354</v>
      </c>
      <c r="L580" s="8" t="inlineStr">
        <is>
          <t>ราคาที่ลง ยังไม่รวมภาษี</t>
        </is>
      </c>
    </row>
    <row r="581">
      <c r="B581" s="6" t="inlineStr">
        <is>
          <t>ฮาร์ดเดนเนอร์ สีรองพื้น 4:1</t>
        </is>
      </c>
      <c r="C581" s="8" t="inlineStr">
        <is>
          <t>40 กป.</t>
        </is>
      </c>
      <c r="D581" s="9" t="n">
        <v>380</v>
      </c>
      <c r="H581" s="9" t="n">
        <v>15200</v>
      </c>
      <c r="I581" s="10" t="inlineStr">
        <is>
          <t>PB Paint</t>
        </is>
      </c>
      <c r="J581" s="161" t="n">
        <v>23401</v>
      </c>
      <c r="L581" s="8" t="inlineStr">
        <is>
          <t>ราคาที่ลง ยังไม่รวมภาษี</t>
        </is>
      </c>
    </row>
    <row r="582">
      <c r="B582" s="6" t="inlineStr">
        <is>
          <t>ฮาร์ดเดนเนอร์ สีรองพื้น 4:1</t>
        </is>
      </c>
      <c r="C582" s="8" t="inlineStr">
        <is>
          <t>40 กป.</t>
        </is>
      </c>
      <c r="D582" s="9" t="n">
        <v>380</v>
      </c>
      <c r="H582" s="9" t="n">
        <v>15200</v>
      </c>
      <c r="I582" s="10" t="inlineStr">
        <is>
          <t>PB Paint</t>
        </is>
      </c>
      <c r="J582" s="161" t="n">
        <v>23444</v>
      </c>
      <c r="L582" s="8" t="inlineStr">
        <is>
          <t>ราคาที่ลง ยังไม่รวมภาษี</t>
        </is>
      </c>
    </row>
    <row r="583">
      <c r="B583" s="6" t="inlineStr">
        <is>
          <t>ฮาร์ดเดนเนอร์ สีรองพื้น 4:1</t>
        </is>
      </c>
      <c r="C583" s="8" t="inlineStr">
        <is>
          <t>40 กป.</t>
        </is>
      </c>
      <c r="D583" s="9" t="n">
        <v>380</v>
      </c>
      <c r="H583" s="9" t="n">
        <v>15200</v>
      </c>
      <c r="I583" s="10" t="inlineStr">
        <is>
          <t>PB Paint</t>
        </is>
      </c>
      <c r="J583" s="161" t="n">
        <v>23472</v>
      </c>
      <c r="L583" s="8" t="inlineStr">
        <is>
          <t>ราคาที่ลง ยังไม่รวมภาษี</t>
        </is>
      </c>
    </row>
    <row r="584">
      <c r="B584" s="6" t="inlineStr">
        <is>
          <t>ฮาร์ดเดนเนอร์ สีรองพื้น 4:1</t>
        </is>
      </c>
      <c r="C584" s="8" t="inlineStr">
        <is>
          <t>40 กป.</t>
        </is>
      </c>
      <c r="D584" s="9" t="n">
        <v>380</v>
      </c>
      <c r="H584" s="9" t="n">
        <v>15200</v>
      </c>
      <c r="I584" s="10" t="inlineStr">
        <is>
          <t>PB Paint</t>
        </is>
      </c>
      <c r="J584" s="161" t="n">
        <v>23635</v>
      </c>
      <c r="L584" s="8" t="inlineStr">
        <is>
          <t>ราคาที่ลง ยังไม่รวมภาษี</t>
        </is>
      </c>
    </row>
    <row r="585">
      <c r="B585" s="6" t="inlineStr">
        <is>
          <t>ฮาร์ดเดนเนอร์ สีรองพื้น 4:1</t>
        </is>
      </c>
      <c r="C585" s="8" t="inlineStr">
        <is>
          <t>40 กป.</t>
        </is>
      </c>
      <c r="D585" s="9" t="n">
        <v>380</v>
      </c>
      <c r="H585" s="9" t="n">
        <v>15200</v>
      </c>
      <c r="I585" s="10" t="inlineStr">
        <is>
          <t>PB Paint</t>
        </is>
      </c>
      <c r="J585" s="161" t="n">
        <v>23691</v>
      </c>
      <c r="K585" s="8" t="inlineStr">
        <is>
          <t>64/690</t>
        </is>
      </c>
      <c r="L585" s="8" t="inlineStr">
        <is>
          <t>ราคาที่ลง ยังไม่รวมภาษี</t>
        </is>
      </c>
    </row>
    <row r="586">
      <c r="B586" s="6" t="inlineStr">
        <is>
          <t>ฮาร์ดเดนเนอร์ สีรองพื้น 4:1</t>
        </is>
      </c>
      <c r="C586" s="8" t="inlineStr">
        <is>
          <t>48 กป.</t>
        </is>
      </c>
      <c r="D586" s="9" t="n">
        <v>380</v>
      </c>
      <c r="H586" s="9" t="n">
        <v>18240</v>
      </c>
      <c r="I586" s="10" t="inlineStr">
        <is>
          <t>PB Paint</t>
        </is>
      </c>
      <c r="J586" s="161" t="n">
        <v>23720</v>
      </c>
      <c r="K586" s="8" t="inlineStr">
        <is>
          <t>64/756</t>
        </is>
      </c>
      <c r="L586" s="8" t="inlineStr">
        <is>
          <t>ราคาที่ลง ยังไม่รวมภาษี</t>
        </is>
      </c>
    </row>
    <row r="587">
      <c r="B587" s="6" t="inlineStr">
        <is>
          <t>ฮาร์ดเดนเนอร์ สีพื้นกลบลอย LEZZON H-4400</t>
        </is>
      </c>
      <c r="C587" s="8" t="inlineStr">
        <is>
          <t>24กป.</t>
        </is>
      </c>
      <c r="D587" s="9" t="n">
        <v>230</v>
      </c>
      <c r="H587" s="9" t="n">
        <v>5520</v>
      </c>
      <c r="I587" s="10" t="inlineStr">
        <is>
          <t>บจก. วีที คัลเลอร์ โปร</t>
        </is>
      </c>
      <c r="J587" s="161" t="n">
        <v>24040</v>
      </c>
      <c r="K587" s="8" t="inlineStr">
        <is>
          <t>IV227-65</t>
        </is>
      </c>
      <c r="L587" s="8" t="inlineStr">
        <is>
          <t>ราคาที่ลง ยังไม่รวมภาษี</t>
        </is>
      </c>
    </row>
    <row r="588">
      <c r="B588" s="6" t="inlineStr">
        <is>
          <t>ฮาร์ดเดนเนอร์ สีพื้นกลบลอย LEZZON H-4400</t>
        </is>
      </c>
      <c r="C588" s="8" t="inlineStr">
        <is>
          <t>20กป.</t>
        </is>
      </c>
      <c r="D588" s="9" t="n">
        <v>300</v>
      </c>
      <c r="H588" s="9" t="n">
        <v>6000</v>
      </c>
      <c r="I588" s="10" t="inlineStr">
        <is>
          <t>บจก. วีที คัลเลอร์ โปร</t>
        </is>
      </c>
      <c r="J588" s="161" t="n">
        <v>24069</v>
      </c>
      <c r="K588" s="8" t="inlineStr">
        <is>
          <t>IV275-65</t>
        </is>
      </c>
      <c r="L588" s="8" t="inlineStr">
        <is>
          <t>ราคาที่ลง ยังไม่รวมภาษี</t>
        </is>
      </c>
    </row>
    <row r="589">
      <c r="B589" s="6" t="inlineStr">
        <is>
          <t>ฮาร์ดเดนเนอร์ สีพื้นกลบลอย LEZZON H-4400</t>
        </is>
      </c>
      <c r="C589" s="8" t="inlineStr">
        <is>
          <t>20กป.</t>
        </is>
      </c>
      <c r="D589" s="9" t="n">
        <v>300</v>
      </c>
      <c r="H589" s="9" t="n">
        <v>6000</v>
      </c>
      <c r="I589" s="10" t="inlineStr">
        <is>
          <t>บจก. วีที คัลเลอร์ โปร</t>
        </is>
      </c>
      <c r="J589" s="161" t="n">
        <v>24160</v>
      </c>
      <c r="K589" s="8" t="inlineStr">
        <is>
          <t>IV114-66</t>
        </is>
      </c>
      <c r="L589" s="8" t="inlineStr">
        <is>
          <t>ราคาที่ลง ยังไม่รวมภาษี</t>
        </is>
      </c>
    </row>
    <row r="590">
      <c r="B590" s="6" t="inlineStr">
        <is>
          <t>ฮาร์ดเดนเนอร์ สีพื้นกลบลอย LEZZON H-4400</t>
        </is>
      </c>
      <c r="C590" s="8" t="inlineStr">
        <is>
          <t>20กป.</t>
        </is>
      </c>
      <c r="D590" s="9" t="n">
        <v>300</v>
      </c>
      <c r="H590" s="9" t="n">
        <v>6000</v>
      </c>
      <c r="I590" s="10" t="inlineStr">
        <is>
          <t>บจก. วีที คัลเลอร์ โปร</t>
        </is>
      </c>
      <c r="J590" s="161" t="n">
        <v>24189</v>
      </c>
      <c r="K590" s="8" t="inlineStr">
        <is>
          <t>IV177-66</t>
        </is>
      </c>
      <c r="L590" s="8" t="inlineStr">
        <is>
          <t>ราคาที่ลง ยังไม่รวมภาษี</t>
        </is>
      </c>
    </row>
    <row r="591">
      <c r="B591" s="6" t="inlineStr">
        <is>
          <t>ฮาร์ดเดนเนอร์ สีพื้นกลบลอย LEZZON H-4400</t>
        </is>
      </c>
      <c r="C591" s="8" t="inlineStr">
        <is>
          <t>5กป.</t>
        </is>
      </c>
      <c r="D591" s="9" t="n">
        <v>300</v>
      </c>
      <c r="H591" s="9" t="n">
        <v>1500</v>
      </c>
      <c r="I591" s="10" t="inlineStr">
        <is>
          <t>บจก. วีที คัลเลอร์ โปร</t>
        </is>
      </c>
      <c r="J591" s="161" t="n">
        <v>24315</v>
      </c>
      <c r="K591" s="8" t="inlineStr">
        <is>
          <t>IV425-66</t>
        </is>
      </c>
      <c r="L591" s="8" t="inlineStr">
        <is>
          <t>ราคาที่ลง ยังไม่รวมภาษี</t>
        </is>
      </c>
    </row>
    <row r="592">
      <c r="B592" s="6" t="inlineStr">
        <is>
          <t>ฮาร์ดเดนเนอร์ สีพื้นกลบลอย LEZZON H-4400</t>
        </is>
      </c>
      <c r="C592" s="8" t="n">
        <v>24</v>
      </c>
      <c r="D592" s="9" t="n">
        <v>300</v>
      </c>
      <c r="H592" s="9">
        <f>SUM(D592*C592)</f>
        <v/>
      </c>
      <c r="I592" s="10" t="inlineStr">
        <is>
          <t>บจก. วีที คัลเลอร์ โปร</t>
        </is>
      </c>
      <c r="J592" s="161" t="n">
        <v>24340</v>
      </c>
      <c r="K592" s="8" t="inlineStr">
        <is>
          <t>IV470-66</t>
        </is>
      </c>
      <c r="L592" s="8" t="inlineStr">
        <is>
          <t>ราคาที่ลง ยังไม่รวมภาษี</t>
        </is>
      </c>
    </row>
    <row r="593">
      <c r="B593" s="6" t="inlineStr">
        <is>
          <t>ฮาร์ดเดนเนอร์ สีพื้นกลบลอย LEZZON H-4400</t>
        </is>
      </c>
      <c r="C593" s="8" t="n">
        <v>16</v>
      </c>
      <c r="D593" s="9" t="n">
        <v>300</v>
      </c>
      <c r="H593" s="9">
        <f>SUM(D593*C593)</f>
        <v/>
      </c>
      <c r="I593" s="10" t="inlineStr">
        <is>
          <t>บจก. วีที คัลเลอร์ โปร</t>
        </is>
      </c>
      <c r="J593" s="161" t="n">
        <v>24404</v>
      </c>
      <c r="K593" s="8" t="inlineStr">
        <is>
          <t>IV620-66</t>
        </is>
      </c>
      <c r="L593" s="8" t="inlineStr">
        <is>
          <t>ราคาที่ลง ยังไม่รวมภาษี</t>
        </is>
      </c>
    </row>
    <row r="594">
      <c r="B594" s="6" t="inlineStr">
        <is>
          <t>ฮาร์ดเดนเนอร์ สีพื้นกลบลอย LEZZON H-4400</t>
        </is>
      </c>
      <c r="C594" s="8" t="n">
        <v>20</v>
      </c>
      <c r="D594" s="9" t="n">
        <v>300</v>
      </c>
      <c r="H594" s="9">
        <f>SUM(D594*C594)</f>
        <v/>
      </c>
      <c r="I594" s="10" t="inlineStr">
        <is>
          <t>บจก. วีที คัลเลอร์ โปร</t>
        </is>
      </c>
      <c r="J594" s="161" t="n">
        <v>24462</v>
      </c>
      <c r="K594" s="8" t="inlineStr">
        <is>
          <t>IV764-66</t>
        </is>
      </c>
      <c r="L594" s="8" t="inlineStr">
        <is>
          <t>ราคาที่ลง ยังไม่รวมภาษี</t>
        </is>
      </c>
    </row>
    <row r="595">
      <c r="B595" s="6" t="inlineStr">
        <is>
          <t>ฮาร์ดเดนเนอร์ สีพื้นกลบลอย LEZZON H-4400</t>
        </is>
      </c>
      <c r="C595" s="8" t="n">
        <v>12</v>
      </c>
      <c r="D595" s="9" t="n">
        <v>300</v>
      </c>
      <c r="H595" s="9">
        <f>SUM(D595*C595)</f>
        <v/>
      </c>
      <c r="I595" s="10" t="inlineStr">
        <is>
          <t>บจก. วีที คัลเลอร์ โปร</t>
        </is>
      </c>
      <c r="J595" s="161" t="n">
        <v>24496</v>
      </c>
      <c r="K595" s="8" t="inlineStr">
        <is>
          <t>IV6701080</t>
        </is>
      </c>
      <c r="L595" s="8" t="inlineStr">
        <is>
          <t>ราคาที่ลง ยังไม่รวมภาษี</t>
        </is>
      </c>
    </row>
    <row r="596">
      <c r="B596" s="6" t="inlineStr">
        <is>
          <t>ฮาร์ดเดนเนอร์ สีพื้นกลบลอย LEZZON H-4400</t>
        </is>
      </c>
      <c r="C596" s="8" t="n">
        <v>12</v>
      </c>
      <c r="D596" s="9" t="n">
        <v>300</v>
      </c>
      <c r="H596" s="9">
        <f>SUM(D596*C596)</f>
        <v/>
      </c>
      <c r="I596" s="10" t="inlineStr">
        <is>
          <t>บจก. วีที คัลเลอร์ โปร</t>
        </is>
      </c>
      <c r="J596" s="161" t="n">
        <v>24529</v>
      </c>
      <c r="K596" s="8" t="inlineStr">
        <is>
          <t>IV6702104</t>
        </is>
      </c>
      <c r="L596" s="8" t="inlineStr">
        <is>
          <t>ราคาที่ลง ยังไม่รวมภาษี</t>
        </is>
      </c>
    </row>
    <row r="597">
      <c r="B597" s="6" t="inlineStr">
        <is>
          <t>ฮาร์ดเดนเนอร์ สีพื้นกลบลอย LEZZON H-4400</t>
        </is>
      </c>
      <c r="C597" s="8" t="n">
        <v>15</v>
      </c>
      <c r="D597" s="9" t="n">
        <v>300</v>
      </c>
      <c r="H597" s="9">
        <f>SUM(D597*C597)</f>
        <v/>
      </c>
      <c r="I597" s="10" t="inlineStr">
        <is>
          <t>บจก. วีที คัลเลอร์ โปร</t>
        </is>
      </c>
      <c r="J597" s="161" t="n">
        <v>24550</v>
      </c>
      <c r="K597" s="8" t="inlineStr">
        <is>
          <t>IV6703087</t>
        </is>
      </c>
      <c r="L597" s="8" t="inlineStr">
        <is>
          <t>ราคาที่ลง ยังไม่รวมภาษี</t>
        </is>
      </c>
    </row>
    <row r="598">
      <c r="B598" s="6" t="inlineStr">
        <is>
          <t>ฮาร์ดเดนเนอร์ สีพื้นกลบลอย LEZZON H-4400</t>
        </is>
      </c>
      <c r="C598" s="8" t="n">
        <v>24</v>
      </c>
      <c r="D598" s="9" t="n">
        <v>300</v>
      </c>
      <c r="H598" s="9">
        <f>SUM(D598*C598)</f>
        <v/>
      </c>
      <c r="I598" s="10" t="inlineStr">
        <is>
          <t>บจก. วีที คัลเลอร์ โปร</t>
        </is>
      </c>
      <c r="J598" s="161" t="n">
        <v>24584</v>
      </c>
      <c r="K598" s="8" t="inlineStr">
        <is>
          <t>IV6704071</t>
        </is>
      </c>
      <c r="L598" s="8" t="inlineStr">
        <is>
          <t>ราคาที่ลง ยังไม่รวมภาษี</t>
        </is>
      </c>
    </row>
    <row r="599">
      <c r="B599" s="6" t="inlineStr">
        <is>
          <t>ฮาร์ดเดนเนอร์ สีรองพื้น 4:1</t>
        </is>
      </c>
      <c r="C599" s="8" t="inlineStr">
        <is>
          <t>48 กป.</t>
        </is>
      </c>
      <c r="D599" s="9" t="n">
        <v>380</v>
      </c>
      <c r="H599" s="9" t="n">
        <v>18240</v>
      </c>
      <c r="I599" s="10" t="inlineStr">
        <is>
          <t>PB Paint</t>
        </is>
      </c>
      <c r="J599" s="161" t="n">
        <v>23794</v>
      </c>
      <c r="K599" s="8" t="inlineStr">
        <is>
          <t>65/113</t>
        </is>
      </c>
      <c r="L599" s="8" t="inlineStr">
        <is>
          <t>ราคาที่ลง ยังไม่รวมภาษี</t>
        </is>
      </c>
    </row>
    <row r="600">
      <c r="B600" s="6" t="inlineStr">
        <is>
          <t>ฮาร์ดเดนเนอร์ สีรองพื้น 4:1</t>
        </is>
      </c>
      <c r="C600" s="8" t="inlineStr">
        <is>
          <t>40 กป.</t>
        </is>
      </c>
      <c r="D600" s="9" t="n">
        <v>380</v>
      </c>
      <c r="H600" s="9" t="n">
        <v>15200</v>
      </c>
      <c r="I600" s="10" t="inlineStr">
        <is>
          <t>PB Paint</t>
        </is>
      </c>
      <c r="J600" s="161" t="n">
        <v>23882</v>
      </c>
      <c r="K600" s="8" t="inlineStr">
        <is>
          <t>65/307</t>
        </is>
      </c>
      <c r="L600" s="8" t="inlineStr">
        <is>
          <t>ราคาที่ลง ยังไม่รวมภาษี</t>
        </is>
      </c>
    </row>
    <row r="601">
      <c r="B601" s="6" t="inlineStr">
        <is>
          <t>ฮาร์ดเดนเนอร์ สีรองพื้น 4:1</t>
        </is>
      </c>
      <c r="C601" s="8" t="inlineStr">
        <is>
          <t>40 กป.</t>
        </is>
      </c>
      <c r="D601" s="9" t="n">
        <v>380</v>
      </c>
      <c r="H601" s="9" t="n">
        <v>15200</v>
      </c>
      <c r="I601" s="10" t="inlineStr">
        <is>
          <t>PB Paint</t>
        </is>
      </c>
      <c r="J601" s="161" t="n">
        <v>23924</v>
      </c>
      <c r="K601" s="8" t="inlineStr">
        <is>
          <t>65/399</t>
        </is>
      </c>
      <c r="L601" s="8" t="inlineStr">
        <is>
          <t>ราคาที่ลง ยังไม่รวมภาษี</t>
        </is>
      </c>
    </row>
    <row r="602">
      <c r="B602" s="6" t="inlineStr">
        <is>
          <t>ฮาร์ดเดนเนอร์ สีรองพื้น 4:1</t>
        </is>
      </c>
      <c r="C602" s="8" t="inlineStr">
        <is>
          <t>40 กป.</t>
        </is>
      </c>
      <c r="D602" s="9" t="n">
        <v>380</v>
      </c>
      <c r="H602" s="9" t="n">
        <v>15200</v>
      </c>
      <c r="I602" s="10" t="inlineStr">
        <is>
          <t>PB Paint</t>
        </is>
      </c>
      <c r="J602" s="161" t="n">
        <v>24001</v>
      </c>
      <c r="K602" s="8" t="inlineStr">
        <is>
          <t>65/582</t>
        </is>
      </c>
      <c r="L602" s="8" t="inlineStr">
        <is>
          <t>ราคาที่ลง ยังไม่รวมภาษี</t>
        </is>
      </c>
    </row>
    <row r="603">
      <c r="B603" s="6" t="inlineStr">
        <is>
          <t>ฮาร์ดเดนเนอร์ สีรองพื้น 4:1</t>
        </is>
      </c>
      <c r="C603" s="8" t="inlineStr">
        <is>
          <t>40 กป.</t>
        </is>
      </c>
      <c r="D603" s="9" t="n">
        <v>380</v>
      </c>
      <c r="H603" s="9" t="n">
        <v>15200</v>
      </c>
      <c r="I603" s="10" t="inlineStr">
        <is>
          <t>PB Paint</t>
        </is>
      </c>
      <c r="J603" s="161" t="n">
        <v>24040</v>
      </c>
      <c r="K603" s="8" t="inlineStr">
        <is>
          <t>65/673</t>
        </is>
      </c>
      <c r="L603" s="8" t="inlineStr">
        <is>
          <t>ราคาที่ลง ยังไม่รวมภาษี</t>
        </is>
      </c>
    </row>
    <row r="604">
      <c r="B604" s="6" t="inlineStr">
        <is>
          <t>ฮาร์ดเดนเนอร์ สีรองพื้น 4:1</t>
        </is>
      </c>
      <c r="C604" s="8" t="inlineStr">
        <is>
          <t>40 กป.</t>
        </is>
      </c>
      <c r="D604" s="9" t="n">
        <v>380</v>
      </c>
      <c r="H604" s="9" t="n">
        <v>15200</v>
      </c>
      <c r="I604" s="10" t="inlineStr">
        <is>
          <t>PB Paint</t>
        </is>
      </c>
      <c r="J604" s="161" t="n">
        <v>24090</v>
      </c>
      <c r="K604" s="8" t="inlineStr">
        <is>
          <t>65/800</t>
        </is>
      </c>
      <c r="L604" s="8" t="inlineStr">
        <is>
          <t>ราคาที่ลง ยังไม่รวมภาษี</t>
        </is>
      </c>
    </row>
    <row r="605">
      <c r="B605" s="6" t="inlineStr">
        <is>
          <t>ฮาร์ดเดนเนอร์ สีรองพื้น 4:1</t>
        </is>
      </c>
      <c r="C605" s="8" t="inlineStr">
        <is>
          <t>40 กป.</t>
        </is>
      </c>
      <c r="D605" s="9" t="n">
        <v>380</v>
      </c>
      <c r="H605" s="9" t="n">
        <v>15200</v>
      </c>
      <c r="I605" s="10" t="inlineStr">
        <is>
          <t>PB Paint</t>
        </is>
      </c>
      <c r="J605" s="161" t="n">
        <v>24147</v>
      </c>
      <c r="K605" s="8" t="inlineStr">
        <is>
          <t>66/078</t>
        </is>
      </c>
      <c r="L605" s="8" t="inlineStr">
        <is>
          <t>ราคาที่ลง ยังไม่รวมภาษี</t>
        </is>
      </c>
    </row>
    <row r="606">
      <c r="B606" s="6" t="inlineStr">
        <is>
          <t>ฮาร์ดเดนเนอร์ สีรองพื้น 4:1</t>
        </is>
      </c>
      <c r="C606" s="8" t="inlineStr">
        <is>
          <t>40 กป.</t>
        </is>
      </c>
      <c r="D606" s="9" t="n">
        <v>380</v>
      </c>
      <c r="H606" s="9" t="n">
        <v>15200</v>
      </c>
      <c r="I606" s="10" t="inlineStr">
        <is>
          <t>PB Paint</t>
        </is>
      </c>
      <c r="J606" s="161" t="n">
        <v>24187</v>
      </c>
      <c r="K606" s="8" t="inlineStr">
        <is>
          <t>66/175</t>
        </is>
      </c>
      <c r="L606" s="8" t="inlineStr">
        <is>
          <t>ราคาที่ลง ยังไม่รวมภาษี</t>
        </is>
      </c>
    </row>
    <row r="607">
      <c r="B607" s="6" t="inlineStr">
        <is>
          <t>ฮาร์ดเดนเนอร์ สีรองพื้น 4:1</t>
        </is>
      </c>
      <c r="C607" s="8" t="inlineStr">
        <is>
          <t>40 กป.</t>
        </is>
      </c>
      <c r="D607" s="9" t="n">
        <v>380</v>
      </c>
      <c r="H607" s="9" t="n">
        <v>15200</v>
      </c>
      <c r="I607" s="10" t="inlineStr">
        <is>
          <t>PB Paint</t>
        </is>
      </c>
      <c r="J607" s="161" t="n">
        <v>24242</v>
      </c>
      <c r="K607" s="8" t="inlineStr">
        <is>
          <t>66/287</t>
        </is>
      </c>
      <c r="L607" s="8" t="inlineStr">
        <is>
          <t>ราคาที่ลง ยังไม่รวมภาษี</t>
        </is>
      </c>
    </row>
    <row r="608">
      <c r="B608" s="6" t="inlineStr">
        <is>
          <t>ฮาร์ดเดนเนอร์ สีรองพื้น 4:1</t>
        </is>
      </c>
      <c r="C608" s="8" t="inlineStr">
        <is>
          <t>40 กป.</t>
        </is>
      </c>
      <c r="D608" s="9" t="n">
        <v>380</v>
      </c>
      <c r="H608" s="9" t="n">
        <v>15200</v>
      </c>
      <c r="I608" s="10" t="inlineStr">
        <is>
          <t>PB Paint</t>
        </is>
      </c>
      <c r="J608" s="161" t="n">
        <v>24284</v>
      </c>
      <c r="K608" s="8" t="inlineStr">
        <is>
          <t>66/393</t>
        </is>
      </c>
      <c r="L608" s="8" t="inlineStr">
        <is>
          <t>ราคาที่ลง ยังไม่รวมภาษี</t>
        </is>
      </c>
    </row>
    <row r="609">
      <c r="B609" s="6" t="inlineStr">
        <is>
          <t>ฮาร์ดเดนเนอร์ สีรองพื้น 4:1</t>
        </is>
      </c>
      <c r="C609" s="8" t="inlineStr">
        <is>
          <t>40 กป.</t>
        </is>
      </c>
      <c r="D609" s="9" t="n">
        <v>380</v>
      </c>
      <c r="H609" s="9" t="n">
        <v>15200</v>
      </c>
      <c r="I609" s="10" t="inlineStr">
        <is>
          <t>PB Paint</t>
        </is>
      </c>
      <c r="J609" s="161" t="n">
        <v>24313</v>
      </c>
      <c r="K609" s="8" t="n">
        <v>66456</v>
      </c>
      <c r="L609" s="8" t="inlineStr">
        <is>
          <t>ราคาที่ลง ยังไม่รวมภาษี</t>
        </is>
      </c>
    </row>
    <row r="610">
      <c r="B610" s="6" t="inlineStr">
        <is>
          <t>ฮาร์ดเดนเนอร์ สีรองพื้น 4:1</t>
        </is>
      </c>
      <c r="C610" s="8" t="inlineStr">
        <is>
          <t>40 กป.</t>
        </is>
      </c>
      <c r="D610" s="9" t="n">
        <v>380</v>
      </c>
      <c r="H610" s="9" t="n">
        <v>15200</v>
      </c>
      <c r="I610" s="10" t="inlineStr">
        <is>
          <t>PB Paint</t>
        </is>
      </c>
      <c r="J610" s="161" t="n">
        <v>24341</v>
      </c>
      <c r="K610" s="8" t="inlineStr">
        <is>
          <t>66/521</t>
        </is>
      </c>
      <c r="L610" s="8" t="inlineStr">
        <is>
          <t>ราคาที่ลง ยังไม่รวมภาษี</t>
        </is>
      </c>
    </row>
    <row r="611">
      <c r="B611" s="6" t="inlineStr">
        <is>
          <t>ฮาร์ดเดนเนอร์ สีรองพื้น 4:1</t>
        </is>
      </c>
      <c r="C611" s="8" t="n">
        <v>40</v>
      </c>
      <c r="D611" s="9" t="n">
        <v>380</v>
      </c>
      <c r="H611" s="9">
        <f>SUM(D611*C611)</f>
        <v/>
      </c>
      <c r="I611" s="10" t="inlineStr">
        <is>
          <t>PB Paint</t>
        </is>
      </c>
      <c r="J611" s="161" t="n">
        <v>24372</v>
      </c>
      <c r="K611" s="8" t="inlineStr">
        <is>
          <t>66/601</t>
        </is>
      </c>
      <c r="L611" s="8" t="inlineStr">
        <is>
          <t>ราคาที่ลง ยังไม่รวมภาษี</t>
        </is>
      </c>
    </row>
    <row r="612">
      <c r="B612" s="6" t="inlineStr">
        <is>
          <t>ฮาร์ดเดนเนอร์ สีรองพื้น 4:1</t>
        </is>
      </c>
      <c r="C612" s="8" t="inlineStr">
        <is>
          <t>40 กป.</t>
        </is>
      </c>
      <c r="D612" s="9" t="n">
        <v>380</v>
      </c>
      <c r="H612" s="9" t="n">
        <v>15200</v>
      </c>
      <c r="I612" s="10" t="inlineStr">
        <is>
          <t>PB Paint</t>
        </is>
      </c>
      <c r="J612" s="161" t="n">
        <v>24404</v>
      </c>
      <c r="K612" s="8" t="inlineStr">
        <is>
          <t>66/667</t>
        </is>
      </c>
      <c r="L612" s="8" t="inlineStr">
        <is>
          <t>ราคาที่ลง ยังไม่รวมภาษี</t>
        </is>
      </c>
    </row>
    <row r="613">
      <c r="B613" s="6" t="inlineStr">
        <is>
          <t>ฮาร์ดเดนเนอร์ สีรองพื้น 4:1</t>
        </is>
      </c>
      <c r="C613" s="8" t="n">
        <v>40</v>
      </c>
      <c r="D613" s="9" t="n">
        <v>380</v>
      </c>
      <c r="H613" s="9">
        <f>SUM(D613*C613)</f>
        <v/>
      </c>
      <c r="I613" s="10" t="inlineStr">
        <is>
          <t>PB Paint</t>
        </is>
      </c>
      <c r="J613" s="161" t="n">
        <v>24434</v>
      </c>
      <c r="K613" s="8" t="inlineStr">
        <is>
          <t>66/746</t>
        </is>
      </c>
      <c r="L613" s="8" t="inlineStr">
        <is>
          <t>ราคาที่ลง ยังไม่รวมภาษี</t>
        </is>
      </c>
    </row>
    <row r="614">
      <c r="B614" s="6" t="inlineStr">
        <is>
          <t>ฮาร์ดเดนเนอร์ สีรองพื้น 4:1</t>
        </is>
      </c>
      <c r="C614" s="8" t="n">
        <v>40</v>
      </c>
      <c r="D614" s="9" t="n">
        <v>380</v>
      </c>
      <c r="H614" s="9">
        <f>SUM(D614*C614)</f>
        <v/>
      </c>
      <c r="I614" s="10" t="inlineStr">
        <is>
          <t>PB Paint</t>
        </is>
      </c>
      <c r="J614" s="161" t="n">
        <v>24462</v>
      </c>
      <c r="K614" s="8" t="inlineStr">
        <is>
          <t>66/823</t>
        </is>
      </c>
      <c r="L614" s="8" t="inlineStr">
        <is>
          <t>ราคาที่ลง ยังไม่รวมภาษี</t>
        </is>
      </c>
    </row>
    <row r="615">
      <c r="B615" s="6" t="inlineStr">
        <is>
          <t>ฮาร์ดเดนเนอร์ สีรองพื้น 4:1</t>
        </is>
      </c>
      <c r="C615" s="8" t="n">
        <v>40</v>
      </c>
      <c r="D615" s="9" t="n">
        <v>380</v>
      </c>
      <c r="H615" s="9">
        <f>SUM(D615*C615)</f>
        <v/>
      </c>
      <c r="I615" s="10" t="inlineStr">
        <is>
          <t>PB Paint</t>
        </is>
      </c>
      <c r="J615" s="161" t="n">
        <v>24552</v>
      </c>
      <c r="K615" s="8" t="inlineStr">
        <is>
          <t>67/163</t>
        </is>
      </c>
      <c r="L615" s="8" t="inlineStr">
        <is>
          <t>ราคาที่ลง ยังไม่รวมภาษี</t>
        </is>
      </c>
    </row>
    <row r="616">
      <c r="B616" s="6" t="inlineStr">
        <is>
          <t>ฮาร์ดเดนเนอร์ สีรองพื้น 4:1</t>
        </is>
      </c>
      <c r="C616" s="8" t="n">
        <v>40</v>
      </c>
      <c r="D616" s="9" t="n">
        <v>380</v>
      </c>
      <c r="H616" s="9">
        <f>SUM(D616*C616)</f>
        <v/>
      </c>
      <c r="I616" s="10" t="inlineStr">
        <is>
          <t>PB Paint</t>
        </is>
      </c>
      <c r="J616" s="161" t="n">
        <v>24613</v>
      </c>
      <c r="K616" s="8" t="inlineStr">
        <is>
          <t>67/278</t>
        </is>
      </c>
      <c r="L616" s="8" t="inlineStr">
        <is>
          <t>ราคาที่ลง ยังไม่รวมภาษี</t>
        </is>
      </c>
    </row>
    <row r="617">
      <c r="B617" s="6" t="inlineStr">
        <is>
          <t>ฮาร์ดเดนเนอร์ สีรองพื้น 4:1</t>
        </is>
      </c>
      <c r="C617" s="8" t="n">
        <v>40</v>
      </c>
      <c r="D617" s="9" t="n">
        <v>380</v>
      </c>
      <c r="H617" s="9">
        <f>SUM(D617*C617)</f>
        <v/>
      </c>
      <c r="I617" s="10" t="inlineStr">
        <is>
          <t>PB Paint</t>
        </is>
      </c>
      <c r="J617" s="161" t="n">
        <v>24649</v>
      </c>
      <c r="K617" s="8" t="inlineStr">
        <is>
          <t>67/370</t>
        </is>
      </c>
      <c r="L617" s="8" t="inlineStr">
        <is>
          <t>ราคาที่ลง ยังไม่รวมภาษี</t>
        </is>
      </c>
    </row>
    <row r="618">
      <c r="B618" s="6" t="inlineStr">
        <is>
          <t>ฮาร์ดเดนเนอร์ สีรองพื้น 4:1</t>
        </is>
      </c>
      <c r="C618" s="8" t="n">
        <v>30</v>
      </c>
      <c r="D618" s="9" t="n">
        <v>380</v>
      </c>
      <c r="H618" s="9">
        <f>SUM(D618*C618)</f>
        <v/>
      </c>
      <c r="I618" s="10" t="inlineStr">
        <is>
          <t>PB Paint</t>
        </is>
      </c>
      <c r="J618" s="161" t="n">
        <v>24706</v>
      </c>
      <c r="K618" s="8" t="inlineStr">
        <is>
          <t>67/481</t>
        </is>
      </c>
      <c r="L618" s="8" t="inlineStr">
        <is>
          <t>ราคาที่ลง ยังไม่รวมภาษี</t>
        </is>
      </c>
    </row>
    <row r="619">
      <c r="B619" s="6" t="inlineStr">
        <is>
          <t>ฮาร์ดเดนเนอร์ สีรองพื้น 4:1</t>
        </is>
      </c>
      <c r="C619" s="8" t="n">
        <v>30</v>
      </c>
      <c r="D619" s="9" t="n">
        <v>380</v>
      </c>
      <c r="H619" s="9">
        <f>SUM(D619*C619)</f>
        <v/>
      </c>
      <c r="I619" s="10" t="inlineStr">
        <is>
          <t>PB Paint</t>
        </is>
      </c>
      <c r="J619" s="161" t="n">
        <v>24762</v>
      </c>
      <c r="K619" s="8" t="n">
        <v>67601</v>
      </c>
      <c r="L619" s="8" t="inlineStr">
        <is>
          <t>ราคาที่ลง ยังไม่รวมภาษี</t>
        </is>
      </c>
    </row>
    <row r="620">
      <c r="B620" s="6" t="inlineStr">
        <is>
          <t>ฮาร์ดเดนเนอร์ สีรองพื้น 4:1</t>
        </is>
      </c>
      <c r="C620" s="8" t="n">
        <v>30</v>
      </c>
      <c r="D620" s="9" t="n">
        <v>380</v>
      </c>
      <c r="H620" s="9">
        <f>SUM(D620*C620)</f>
        <v/>
      </c>
      <c r="I620" s="10" t="inlineStr">
        <is>
          <t>PB Paint</t>
        </is>
      </c>
      <c r="J620" s="161" t="n">
        <v>24796</v>
      </c>
      <c r="K620" s="8" t="inlineStr">
        <is>
          <t>67/666</t>
        </is>
      </c>
      <c r="L620" s="8" t="inlineStr">
        <is>
          <t>ราคาที่ลง ยังไม่รวมภาษี</t>
        </is>
      </c>
    </row>
    <row r="621">
      <c r="B621" s="6" t="inlineStr">
        <is>
          <t>ฮาร์ดเดนเนอร์ สีรองพื้น 4:1</t>
        </is>
      </c>
      <c r="C621" s="8" t="n">
        <v>30</v>
      </c>
      <c r="D621" s="9" t="n">
        <v>380</v>
      </c>
      <c r="H621" s="9">
        <f>SUM(D621*C621)</f>
        <v/>
      </c>
      <c r="I621" s="10" t="inlineStr">
        <is>
          <t>PB Paint</t>
        </is>
      </c>
      <c r="J621" s="161" t="n">
        <v>24819</v>
      </c>
      <c r="K621" s="8" t="inlineStr">
        <is>
          <t>67/720</t>
        </is>
      </c>
      <c r="L621" s="8" t="inlineStr">
        <is>
          <t>ราคาที่ลง ยังไม่รวมภาษี</t>
        </is>
      </c>
    </row>
    <row r="622">
      <c r="A622" s="70" t="n"/>
      <c r="B622" s="6" t="inlineStr">
        <is>
          <t>ฮาร์ดเดนเนอร์ สีรองพื้น Nuclear-01</t>
        </is>
      </c>
      <c r="C622" s="8" t="n">
        <v>40</v>
      </c>
      <c r="D622" s="9" t="n">
        <v>406.6</v>
      </c>
      <c r="H622" s="9">
        <f>SUM(D622*C622)</f>
        <v/>
      </c>
      <c r="I622" s="10" t="inlineStr">
        <is>
          <t>PB Paint</t>
        </is>
      </c>
      <c r="J622" s="161" t="n">
        <v>24881</v>
      </c>
      <c r="K622" s="8" t="inlineStr">
        <is>
          <t>PB2025020017</t>
        </is>
      </c>
      <c r="L622" s="8" t="inlineStr">
        <is>
          <t>ราคารวม VAT แล้ว</t>
        </is>
      </c>
    </row>
    <row r="623">
      <c r="A623" s="70" t="n"/>
      <c r="B623" s="6" t="inlineStr">
        <is>
          <t>ฮาร์ดเดนเนอร์ สีรองพื้น Nuclear-01</t>
        </is>
      </c>
      <c r="C623" s="8" t="n">
        <v>30</v>
      </c>
      <c r="D623" s="9" t="n">
        <v>406.6</v>
      </c>
      <c r="H623" s="9">
        <f>SUM(D623*C623)</f>
        <v/>
      </c>
      <c r="I623" s="10" t="inlineStr">
        <is>
          <t>PB Paint</t>
        </is>
      </c>
      <c r="J623" s="161" t="n">
        <v>24922</v>
      </c>
      <c r="K623" s="8" t="inlineStr">
        <is>
          <t>PB2025030040</t>
        </is>
      </c>
      <c r="L623" s="8" t="inlineStr">
        <is>
          <t>ราคารวม VAT แล้ว</t>
        </is>
      </c>
    </row>
    <row r="624">
      <c r="B624" s="6" t="inlineStr">
        <is>
          <t>ฮาร์ดเดนเนอร์สีรองพื้นสีดำ Nuclear-01</t>
        </is>
      </c>
      <c r="C624" s="8" t="n">
        <v>40</v>
      </c>
      <c r="D624" s="9" t="n">
        <v>380</v>
      </c>
      <c r="E624" s="9">
        <f>SUM(D624*C624)</f>
        <v/>
      </c>
      <c r="G624" s="10" t="inlineStr">
        <is>
          <t>ราคารวม VAT =</t>
        </is>
      </c>
      <c r="H624" s="9">
        <f>SUM(E624*O624/N624)</f>
        <v/>
      </c>
      <c r="I624" s="10" t="inlineStr">
        <is>
          <t>PB Paint</t>
        </is>
      </c>
      <c r="J624" s="161" t="n">
        <v>24979</v>
      </c>
      <c r="K624" s="8" t="inlineStr">
        <is>
          <t>PB2025050032</t>
        </is>
      </c>
      <c r="L624" s="8" t="inlineStr">
        <is>
          <t>ราคารวม VAT แล้ว</t>
        </is>
      </c>
      <c r="N624" s="6" t="n">
        <v>100</v>
      </c>
      <c r="O624" s="6" t="n">
        <v>107</v>
      </c>
    </row>
    <row r="625">
      <c r="B625" s="6" t="inlineStr">
        <is>
          <t>ฮาร์ดเดนเนอร์ สีรองพื้น Nuclear-01</t>
        </is>
      </c>
      <c r="C625" s="8" t="n">
        <v>30</v>
      </c>
      <c r="D625" s="9" t="n">
        <v>380</v>
      </c>
      <c r="E625" s="9">
        <f>SUM(D625*C625)</f>
        <v/>
      </c>
      <c r="G625" s="10" t="inlineStr">
        <is>
          <t>ราคารวม VAT =</t>
        </is>
      </c>
      <c r="H625" s="9">
        <f>SUM(E625*O625/N625)</f>
        <v/>
      </c>
      <c r="I625" s="10" t="inlineStr">
        <is>
          <t>PB Paint</t>
        </is>
      </c>
      <c r="J625" s="161" t="n">
        <v>25005</v>
      </c>
      <c r="K625" s="8" t="inlineStr">
        <is>
          <t>PB2025060025</t>
        </is>
      </c>
      <c r="L625" s="8" t="inlineStr">
        <is>
          <t>ราคารวม VAT แล้ว</t>
        </is>
      </c>
      <c r="N625" s="6" t="n">
        <v>100</v>
      </c>
      <c r="O625" s="6" t="n">
        <v>107</v>
      </c>
    </row>
    <row r="626">
      <c r="B626" s="6" t="inlineStr">
        <is>
          <t>ฮาร์ดเดนเนอร์ สีรองพื้น Nuclear-01</t>
        </is>
      </c>
      <c r="C626" s="8" t="n">
        <v>7</v>
      </c>
      <c r="D626" s="9" t="n">
        <v>380</v>
      </c>
      <c r="E626" s="9">
        <f>SUM(D626*C626)</f>
        <v/>
      </c>
      <c r="G626" s="10" t="inlineStr">
        <is>
          <t>ราคารวม VAT =</t>
        </is>
      </c>
      <c r="H626" s="9">
        <f>SUM(E626*O626/N626)</f>
        <v/>
      </c>
      <c r="I626" s="10" t="inlineStr">
        <is>
          <t>PB Paint</t>
        </is>
      </c>
      <c r="J626" s="161" t="n">
        <v>25098</v>
      </c>
      <c r="K626" s="8" t="inlineStr">
        <is>
          <t>PB2025090039</t>
        </is>
      </c>
      <c r="L626" s="8" t="inlineStr">
        <is>
          <t>ราคารวม VAT แล้ว</t>
        </is>
      </c>
      <c r="N626" s="6" t="n">
        <v>100</v>
      </c>
      <c r="O626" s="6" t="n">
        <v>107</v>
      </c>
    </row>
    <row r="627">
      <c r="A627" s="67" t="inlineStr">
        <is>
          <t>1ลัง = 6กป.</t>
        </is>
      </c>
      <c r="B627" s="6" t="inlineStr">
        <is>
          <t>ฮาร์ดเดนเนอร์ สีรองพื้นสีดำ LEZZON 4400</t>
        </is>
      </c>
      <c r="C627" s="8" t="n">
        <v>40</v>
      </c>
      <c r="D627" s="9" t="n">
        <v>220</v>
      </c>
      <c r="E627" s="9">
        <f>SUM(D627*C627)</f>
        <v/>
      </c>
      <c r="G627" s="10" t="inlineStr">
        <is>
          <t>ราคารวม VAT =</t>
        </is>
      </c>
      <c r="H627" s="9">
        <f>SUM(E627*O627/N627)</f>
        <v/>
      </c>
      <c r="I627" s="10" t="inlineStr">
        <is>
          <t>บจก. วีที คัลเลอร์ โปร</t>
        </is>
      </c>
      <c r="J627" s="161" t="n">
        <v>25098</v>
      </c>
      <c r="K627" s="8" t="inlineStr">
        <is>
          <t>IV6809124</t>
        </is>
      </c>
      <c r="N627" s="6" t="n">
        <v>100</v>
      </c>
      <c r="O627" s="6" t="n">
        <v>107</v>
      </c>
    </row>
    <row r="628">
      <c r="B628" s="6" t="inlineStr">
        <is>
          <t>ฮาร์ดเดนเนอร์ สีรองพื้นสีดำ LEZZON 4400</t>
        </is>
      </c>
      <c r="C628" s="8" t="n">
        <v>40</v>
      </c>
      <c r="D628" s="9" t="n">
        <v>220</v>
      </c>
      <c r="E628" s="9">
        <f>SUM(D628*C628)</f>
        <v/>
      </c>
      <c r="G628" s="10" t="inlineStr">
        <is>
          <t>ราคารวม VAT =</t>
        </is>
      </c>
      <c r="H628" s="9">
        <f>SUM(E628*O628/N628)</f>
        <v/>
      </c>
      <c r="I628" s="10" t="inlineStr">
        <is>
          <t>บจก. วีที คัลเลอร์ โปร</t>
        </is>
      </c>
      <c r="J628" s="161" t="n">
        <v>25168</v>
      </c>
      <c r="K628" s="8" t="inlineStr">
        <is>
          <t>IV6811186</t>
        </is>
      </c>
      <c r="N628" s="6" t="n">
        <v>100</v>
      </c>
      <c r="O628" s="6" t="n">
        <v>107</v>
      </c>
    </row>
    <row r="629">
      <c r="B629" s="6" t="inlineStr">
        <is>
          <t>ฮาร์ดเดนเนอร์ สีรองพื้นสีดำ LEZZON 4400</t>
        </is>
      </c>
      <c r="C629" s="8" t="n">
        <v>20</v>
      </c>
      <c r="D629" s="9" t="n">
        <v>220</v>
      </c>
      <c r="E629" s="9">
        <f>SUM(D629*C629)</f>
        <v/>
      </c>
      <c r="G629" s="10" t="inlineStr">
        <is>
          <t>ราคารวม VAT =</t>
        </is>
      </c>
      <c r="H629" s="9">
        <f>SUM(E629*O629/N629)</f>
        <v/>
      </c>
      <c r="I629" s="10" t="inlineStr">
        <is>
          <t>บจก. วีที คัลเลอร์ โปร</t>
        </is>
      </c>
      <c r="J629" s="161" t="n">
        <v>25268</v>
      </c>
      <c r="K629" s="8" t="inlineStr">
        <is>
          <t>IV6903059</t>
        </is>
      </c>
      <c r="N629" s="6" t="n">
        <v>100</v>
      </c>
      <c r="O629" s="6" t="n">
        <v>107</v>
      </c>
    </row>
    <row r="632">
      <c r="B632" s="6" t="inlineStr">
        <is>
          <t>สีรองพื้น นิวเคลีย + ฮาร์ดเดนเนอร์ (มาเป็นชุด)</t>
        </is>
      </c>
      <c r="C632" s="8" t="n">
        <v>15</v>
      </c>
      <c r="D632" s="9" t="n">
        <v>1070</v>
      </c>
      <c r="H632" s="9">
        <f>SUM(D632*C632)</f>
        <v/>
      </c>
      <c r="I632" s="10" t="inlineStr">
        <is>
          <t>บจก. วีที คัลเลอร์ โปร</t>
        </is>
      </c>
      <c r="J632" s="161" t="n">
        <v>24923</v>
      </c>
      <c r="K632" s="8" t="inlineStr">
        <is>
          <t>IV6803172</t>
        </is>
      </c>
      <c r="L632" s="8" t="inlineStr">
        <is>
          <t>ราคารวม VAT แล้ว</t>
        </is>
      </c>
    </row>
    <row r="635">
      <c r="A635" s="66" t="inlineStr">
        <is>
          <t>สีรองพื้นสีเทา</t>
        </is>
      </c>
      <c r="B635" s="6" t="inlineStr">
        <is>
          <t>พื้นเทา Matrix MPV-212 (GREY) 3L.  3:1</t>
        </is>
      </c>
      <c r="C635" s="8" t="inlineStr">
        <is>
          <t>60 กล.</t>
        </is>
      </c>
      <c r="D635" s="9" t="n">
        <v>700</v>
      </c>
      <c r="H635" s="9" t="n">
        <v>42000</v>
      </c>
      <c r="I635" s="10" t="inlineStr">
        <is>
          <t>ทรัพย์สินไทย</t>
        </is>
      </c>
      <c r="J635" s="161" t="n">
        <v>22790</v>
      </c>
      <c r="L635" s="8" t="inlineStr">
        <is>
          <t>ราคาที่ลง ยังไม่รวมภาษี</t>
        </is>
      </c>
    </row>
    <row r="636">
      <c r="A636" s="70" t="n"/>
      <c r="B636" s="6" t="inlineStr">
        <is>
          <t>พื้นเทา Matrix MPV-212 (GREY) 3L.  3:1</t>
        </is>
      </c>
      <c r="C636" s="8" t="inlineStr">
        <is>
          <t>60 กล.</t>
        </is>
      </c>
      <c r="D636" s="9" t="n">
        <v>700</v>
      </c>
      <c r="H636" s="9" t="n">
        <v>42000</v>
      </c>
      <c r="I636" s="10" t="inlineStr">
        <is>
          <t>ทรัพย์สินไทย</t>
        </is>
      </c>
      <c r="J636" s="161" t="n">
        <v>22821</v>
      </c>
      <c r="L636" s="8" t="inlineStr">
        <is>
          <t>ราคาที่ลง ยังไม่รวมภาษี</t>
        </is>
      </c>
    </row>
    <row r="637">
      <c r="A637" s="70" t="n"/>
      <c r="B637" s="6" t="inlineStr">
        <is>
          <t>พื้นเทา Matrix MPV-212 (GREY) 3L.  3:1</t>
        </is>
      </c>
      <c r="C637" s="8" t="inlineStr">
        <is>
          <t>30 กล.</t>
        </is>
      </c>
      <c r="D637" s="9" t="n">
        <v>700</v>
      </c>
      <c r="H637" s="9" t="n">
        <v>21000</v>
      </c>
      <c r="I637" s="10" t="inlineStr">
        <is>
          <t>ทรัพย์สินไทย</t>
        </is>
      </c>
      <c r="J637" s="161" t="n">
        <v>22884</v>
      </c>
      <c r="L637" s="8" t="inlineStr">
        <is>
          <t>ราคาที่ลง ยังไม่รวมภาษี</t>
        </is>
      </c>
    </row>
    <row r="638">
      <c r="A638" s="70" t="n"/>
      <c r="B638" s="6" t="inlineStr">
        <is>
          <t>พื้นเทา Matrix MPV-212 (GREY) 3L.  3:1</t>
        </is>
      </c>
      <c r="C638" s="8" t="inlineStr">
        <is>
          <t>30 กล.</t>
        </is>
      </c>
      <c r="D638" s="9" t="n">
        <v>700</v>
      </c>
      <c r="H638" s="9" t="n">
        <v>21000</v>
      </c>
      <c r="I638" s="10" t="inlineStr">
        <is>
          <t>ทรัพย์สินไทย</t>
        </is>
      </c>
      <c r="J638" s="161" t="n">
        <v>23062</v>
      </c>
      <c r="L638" s="8" t="inlineStr">
        <is>
          <t>ราคาที่ลง ยังไม่รวมภาษี</t>
        </is>
      </c>
    </row>
    <row r="639">
      <c r="A639" s="70" t="n"/>
      <c r="B639" s="6" t="inlineStr">
        <is>
          <t>พื้นเทา Matrix MPV-212 (GREY) 3L.  3:1</t>
        </is>
      </c>
      <c r="C639" s="8" t="inlineStr">
        <is>
          <t>30 กล.</t>
        </is>
      </c>
      <c r="D639" s="9" t="n">
        <v>700</v>
      </c>
      <c r="H639" s="9" t="n">
        <v>21000</v>
      </c>
      <c r="I639" s="10" t="inlineStr">
        <is>
          <t>ทรัพย์สินไทย</t>
        </is>
      </c>
      <c r="J639" s="161" t="n">
        <v>23124</v>
      </c>
      <c r="L639" s="8" t="inlineStr">
        <is>
          <t>ราคาที่ลง ยังไม่รวมภาษี</t>
        </is>
      </c>
    </row>
    <row r="640">
      <c r="A640" s="70" t="n"/>
      <c r="B640" s="6" t="inlineStr">
        <is>
          <t>พื้นเทา Matrix MPV-212 (GREY) 3L.  3:1</t>
        </is>
      </c>
      <c r="C640" s="8" t="inlineStr">
        <is>
          <t>32 กล.</t>
        </is>
      </c>
      <c r="D640" s="9" t="n">
        <v>700</v>
      </c>
      <c r="H640" s="9" t="n">
        <v>22400</v>
      </c>
      <c r="I640" s="10" t="inlineStr">
        <is>
          <t>ทรัพย์สินไทย</t>
        </is>
      </c>
      <c r="J640" s="161" t="n">
        <v>23216</v>
      </c>
      <c r="L640" s="8" t="inlineStr">
        <is>
          <t>ราคาที่ลง ยังไม่รวมภาษี</t>
        </is>
      </c>
    </row>
    <row r="641">
      <c r="A641" s="70" t="n"/>
      <c r="B641" s="6" t="inlineStr">
        <is>
          <t>พื้นเทา Matrix MPV-212 (GREY) 3L.  3:1</t>
        </is>
      </c>
      <c r="C641" s="8" t="inlineStr">
        <is>
          <t>32 กล.</t>
        </is>
      </c>
      <c r="D641" s="9" t="n">
        <v>700</v>
      </c>
      <c r="H641" s="9" t="n">
        <v>22400</v>
      </c>
      <c r="I641" s="10" t="inlineStr">
        <is>
          <t>ทรัพย์สินไทย</t>
        </is>
      </c>
      <c r="J641" s="161" t="n">
        <v>23337</v>
      </c>
      <c r="L641" s="8" t="inlineStr">
        <is>
          <t>ราคาที่ลง ยังไม่รวมภาษี</t>
        </is>
      </c>
    </row>
    <row r="642">
      <c r="A642" s="70" t="n"/>
      <c r="B642" s="6" t="inlineStr">
        <is>
          <t>พื้นเทา Matrix MPV-212 (GREY) 3L.  3:1</t>
        </is>
      </c>
      <c r="C642" s="8" t="inlineStr">
        <is>
          <t>24 กล.</t>
        </is>
      </c>
      <c r="D642" s="9" t="n">
        <v>700</v>
      </c>
      <c r="H642" s="9" t="n">
        <v>16800</v>
      </c>
      <c r="I642" s="10" t="inlineStr">
        <is>
          <t>ทรัพย์สินไทย</t>
        </is>
      </c>
      <c r="J642" s="161" t="n">
        <v>23340</v>
      </c>
      <c r="L642" s="8" t="inlineStr">
        <is>
          <t>ราคาที่ลง ยังไม่รวมภาษี</t>
        </is>
      </c>
    </row>
    <row r="643">
      <c r="A643" s="70" t="n"/>
      <c r="B643" s="6" t="inlineStr">
        <is>
          <t>พื้นเทา Matrix MPV-212 (GREY) 3L.  3:1</t>
        </is>
      </c>
      <c r="C643" s="8" t="inlineStr">
        <is>
          <t>30 กล.</t>
        </is>
      </c>
      <c r="D643" s="9" t="n">
        <v>700</v>
      </c>
      <c r="H643" s="9" t="n">
        <v>21000</v>
      </c>
      <c r="I643" s="10" t="inlineStr">
        <is>
          <t>ทรัพย์สินไทย</t>
        </is>
      </c>
      <c r="J643" s="161" t="n">
        <v>23366</v>
      </c>
      <c r="L643" s="8" t="inlineStr">
        <is>
          <t>ราคาที่ลง ยังไม่รวมภาษี</t>
        </is>
      </c>
    </row>
    <row r="644">
      <c r="A644" s="70" t="n"/>
      <c r="B644" s="6" t="inlineStr">
        <is>
          <t>พื้นเทา Matrix MPV-212 (GREY) 3L.  3:1</t>
        </is>
      </c>
      <c r="C644" s="8" t="inlineStr">
        <is>
          <t>30 กล.</t>
        </is>
      </c>
      <c r="D644" s="9" t="n">
        <v>700</v>
      </c>
      <c r="H644" s="9" t="n">
        <v>21000</v>
      </c>
      <c r="I644" s="10" t="inlineStr">
        <is>
          <t>ทรัพย์สินไทย</t>
        </is>
      </c>
      <c r="J644" s="161" t="n">
        <v>23460</v>
      </c>
      <c r="L644" s="8" t="inlineStr">
        <is>
          <t>ราคาที่ลง ยังไม่รวมภาษี</t>
        </is>
      </c>
    </row>
    <row r="645">
      <c r="A645" s="70" t="n"/>
      <c r="B645" s="6" t="inlineStr">
        <is>
          <t>พื้นเทา Matrix MPV-212 (GREY) 3L.  3:1</t>
        </is>
      </c>
      <c r="C645" s="8" t="inlineStr">
        <is>
          <t>30 กล.</t>
        </is>
      </c>
      <c r="D645" s="9" t="n">
        <v>700</v>
      </c>
      <c r="H645" s="9" t="n">
        <v>21000</v>
      </c>
      <c r="I645" s="10" t="inlineStr">
        <is>
          <t>ทรัพย์สินไทย</t>
        </is>
      </c>
      <c r="J645" s="161" t="n">
        <v>23546</v>
      </c>
      <c r="L645" s="8" t="inlineStr">
        <is>
          <t>ราคาที่ลง ยังไม่รวมภาษี</t>
        </is>
      </c>
    </row>
    <row r="646">
      <c r="A646" s="70" t="n"/>
      <c r="B646" s="6" t="inlineStr">
        <is>
          <t>พื้นเทา Matrix MPV-212 (GREY) 3L.  3:1</t>
        </is>
      </c>
      <c r="C646" s="8" t="inlineStr">
        <is>
          <t>32 กล.</t>
        </is>
      </c>
      <c r="D646" s="9" t="n">
        <v>700</v>
      </c>
      <c r="H646" s="9" t="n">
        <v>22400</v>
      </c>
      <c r="I646" s="10" t="inlineStr">
        <is>
          <t>ทรัพย์สินไทย</t>
        </is>
      </c>
      <c r="J646" s="161" t="n">
        <v>23642</v>
      </c>
      <c r="K646" s="8" t="inlineStr">
        <is>
          <t>IV6409286</t>
        </is>
      </c>
      <c r="L646" s="8" t="inlineStr">
        <is>
          <t>ราคาที่ลง ยังไม่รวมภาษี</t>
        </is>
      </c>
    </row>
    <row r="647">
      <c r="A647" s="70" t="n"/>
      <c r="B647" s="6" t="inlineStr">
        <is>
          <t>พื้นเทา Matrix MPV-212 (GREY) 3L.  3:1</t>
        </is>
      </c>
      <c r="C647" s="8" t="inlineStr">
        <is>
          <t>24 กล.</t>
        </is>
      </c>
      <c r="D647" s="9" t="n">
        <v>700</v>
      </c>
      <c r="H647" s="9" t="n">
        <v>16800</v>
      </c>
      <c r="I647" s="10" t="inlineStr">
        <is>
          <t>ทรัพย์สินไทย</t>
        </is>
      </c>
      <c r="J647" s="161" t="n">
        <v>23824</v>
      </c>
      <c r="K647" s="8" t="inlineStr">
        <is>
          <t>IV6504237</t>
        </is>
      </c>
      <c r="L647" s="8" t="inlineStr">
        <is>
          <t>ราคาที่ลง ยังไม่รวมภาษี</t>
        </is>
      </c>
    </row>
    <row r="648">
      <c r="A648" s="70" t="n"/>
      <c r="B648" s="6" t="inlineStr">
        <is>
          <t>พื้นเทา Matrix MPV-212 (GREY) 3L.  3:1</t>
        </is>
      </c>
      <c r="C648" s="8" t="inlineStr">
        <is>
          <t>24 กล.</t>
        </is>
      </c>
      <c r="D648" s="9" t="n">
        <v>700</v>
      </c>
      <c r="H648" s="9" t="n">
        <v>16800</v>
      </c>
      <c r="I648" s="10" t="inlineStr">
        <is>
          <t>ทรัพย์สินไทย</t>
        </is>
      </c>
      <c r="J648" s="161" t="n">
        <v>23859</v>
      </c>
      <c r="K648" s="8" t="inlineStr">
        <is>
          <t>IV6504237</t>
        </is>
      </c>
      <c r="L648" s="8" t="inlineStr">
        <is>
          <t>ราคาที่ลง ยังไม่รวมภาษี</t>
        </is>
      </c>
    </row>
    <row r="649">
      <c r="A649" s="70" t="n"/>
    </row>
    <row r="650">
      <c r="B650" s="6" t="inlineStr">
        <is>
          <t xml:space="preserve">ฮาร์ด พื้นเทา Matrix MAV-4048 1L.  </t>
        </is>
      </c>
      <c r="C650" s="8" t="inlineStr">
        <is>
          <t>60 กป.</t>
        </is>
      </c>
      <c r="D650" s="9" t="n">
        <v>550</v>
      </c>
      <c r="H650" s="9" t="n">
        <v>33000</v>
      </c>
      <c r="I650" s="10" t="inlineStr">
        <is>
          <t>ทรัพย์สินไทย</t>
        </is>
      </c>
      <c r="J650" s="161" t="n">
        <v>22790</v>
      </c>
      <c r="L650" s="8" t="inlineStr">
        <is>
          <t>ราคาที่ลง ยังไม่รวมภาษี</t>
        </is>
      </c>
    </row>
    <row r="651">
      <c r="B651" s="6" t="inlineStr">
        <is>
          <t xml:space="preserve">ฮาร์ด พื้นเทา Matrix MAV-4048 1L.  </t>
        </is>
      </c>
      <c r="C651" s="8" t="inlineStr">
        <is>
          <t>60 กป.</t>
        </is>
      </c>
      <c r="D651" s="9" t="n">
        <v>550</v>
      </c>
      <c r="H651" s="9" t="n">
        <v>33000</v>
      </c>
      <c r="I651" s="10" t="inlineStr">
        <is>
          <t>ทรัพย์สินไทย</t>
        </is>
      </c>
      <c r="J651" s="161" t="n">
        <v>22821</v>
      </c>
      <c r="L651" s="8" t="inlineStr">
        <is>
          <t>ราคาที่ลง ยังไม่รวมภาษี</t>
        </is>
      </c>
    </row>
    <row r="652">
      <c r="B652" s="6" t="inlineStr">
        <is>
          <t xml:space="preserve">ฮาร์ด พื้นเทา Matrix MAV-4048 1L.  </t>
        </is>
      </c>
      <c r="C652" s="8" t="inlineStr">
        <is>
          <t>30 กป.</t>
        </is>
      </c>
      <c r="D652" s="9" t="n">
        <v>550</v>
      </c>
      <c r="H652" s="9" t="n">
        <v>16500</v>
      </c>
      <c r="I652" s="10" t="inlineStr">
        <is>
          <t>ทรัพย์สินไทย</t>
        </is>
      </c>
      <c r="J652" s="161" t="n">
        <v>22884</v>
      </c>
      <c r="L652" s="8" t="inlineStr">
        <is>
          <t>ราคาที่ลง ยังไม่รวมภาษี</t>
        </is>
      </c>
    </row>
    <row r="653">
      <c r="B653" s="6" t="inlineStr">
        <is>
          <t xml:space="preserve">ฮาร์ด พื้นเทา Matrix MAV-4048 1L.  </t>
        </is>
      </c>
      <c r="C653" s="8" t="inlineStr">
        <is>
          <t>30 กป.</t>
        </is>
      </c>
      <c r="D653" s="9" t="n">
        <v>550</v>
      </c>
      <c r="H653" s="9" t="n">
        <v>16500</v>
      </c>
      <c r="I653" s="10" t="inlineStr">
        <is>
          <t>ทรัพย์สินไทย</t>
        </is>
      </c>
      <c r="J653" s="161" t="n">
        <v>23062</v>
      </c>
      <c r="L653" s="8" t="inlineStr">
        <is>
          <t>ราคาที่ลง ยังไม่รวมภาษี</t>
        </is>
      </c>
    </row>
    <row r="654">
      <c r="B654" s="6" t="inlineStr">
        <is>
          <t xml:space="preserve">ฮาร์ด พื้นเทา Matrix MAV-4048 1L.  </t>
        </is>
      </c>
      <c r="C654" s="8" t="inlineStr">
        <is>
          <t>30 กป.</t>
        </is>
      </c>
      <c r="D654" s="9" t="n">
        <v>550</v>
      </c>
      <c r="H654" s="9" t="n">
        <v>16500</v>
      </c>
      <c r="I654" s="10" t="inlineStr">
        <is>
          <t>ทรัพย์สินไทย</t>
        </is>
      </c>
      <c r="J654" s="161" t="n">
        <v>23124</v>
      </c>
      <c r="L654" s="8" t="inlineStr">
        <is>
          <t>ราคาที่ลง ยังไม่รวมภาษี</t>
        </is>
      </c>
    </row>
    <row r="655">
      <c r="B655" s="6" t="inlineStr">
        <is>
          <t xml:space="preserve">ฮาร์ด พื้นเทา Matrix MAV-4048 1L.  </t>
        </is>
      </c>
      <c r="C655" s="8" t="inlineStr">
        <is>
          <t>32 กป.</t>
        </is>
      </c>
      <c r="D655" s="9" t="n">
        <v>550</v>
      </c>
      <c r="H655" s="9" t="n">
        <v>17600</v>
      </c>
      <c r="I655" s="10" t="inlineStr">
        <is>
          <t>ทรัพย์สินไทย</t>
        </is>
      </c>
      <c r="J655" s="161" t="n">
        <v>23216</v>
      </c>
      <c r="L655" s="8" t="inlineStr">
        <is>
          <t>ราคาที่ลง ยังไม่รวมภาษี</t>
        </is>
      </c>
    </row>
    <row r="656">
      <c r="B656" s="6" t="inlineStr">
        <is>
          <t xml:space="preserve">ฮาร์ด พื้นเทา Matrix MAV-4048 1L.  </t>
        </is>
      </c>
      <c r="C656" s="8" t="inlineStr">
        <is>
          <t>32 กป.</t>
        </is>
      </c>
      <c r="D656" s="9" t="n">
        <v>550</v>
      </c>
      <c r="H656" s="9" t="n">
        <v>17600</v>
      </c>
      <c r="I656" s="10" t="inlineStr">
        <is>
          <t>ทรัพย์สินไทย</t>
        </is>
      </c>
      <c r="J656" s="161" t="n">
        <v>23337</v>
      </c>
      <c r="L656" s="8" t="inlineStr">
        <is>
          <t>ราคาที่ลง ยังไม่รวมภาษี</t>
        </is>
      </c>
    </row>
    <row r="657">
      <c r="B657" s="6" t="inlineStr">
        <is>
          <t xml:space="preserve">ฮาร์ด พื้นเทา Matrix MAV-4048 1L.  </t>
        </is>
      </c>
      <c r="C657" s="8" t="inlineStr">
        <is>
          <t>24 กป.</t>
        </is>
      </c>
      <c r="D657" s="9" t="n">
        <v>550</v>
      </c>
      <c r="H657" s="9" t="n">
        <v>13200</v>
      </c>
      <c r="I657" s="10" t="inlineStr">
        <is>
          <t>ทรัพย์สินไทย</t>
        </is>
      </c>
      <c r="J657" s="161" t="n">
        <v>23340</v>
      </c>
      <c r="L657" s="8" t="inlineStr">
        <is>
          <t>ราคาที่ลง ยังไม่รวมภาษี</t>
        </is>
      </c>
    </row>
    <row r="658">
      <c r="B658" s="6" t="inlineStr">
        <is>
          <t xml:space="preserve">ฮาร์ด พื้นเทา Matrix MAV-4048 1L.  </t>
        </is>
      </c>
      <c r="C658" s="8" t="inlineStr">
        <is>
          <t>30 กป.</t>
        </is>
      </c>
      <c r="D658" s="9" t="n">
        <v>550</v>
      </c>
      <c r="H658" s="9" t="n">
        <v>16500</v>
      </c>
      <c r="I658" s="10" t="inlineStr">
        <is>
          <t>ทรัพย์สินไทย</t>
        </is>
      </c>
      <c r="J658" s="161" t="n">
        <v>23366</v>
      </c>
      <c r="L658" s="8" t="inlineStr">
        <is>
          <t>ราคาที่ลง ยังไม่รวมภาษี</t>
        </is>
      </c>
    </row>
    <row r="659">
      <c r="B659" s="6" t="inlineStr">
        <is>
          <t xml:space="preserve">ฮาร์ด พื้นเทา Matrix MAV-4048 1L.  </t>
        </is>
      </c>
      <c r="C659" s="8" t="inlineStr">
        <is>
          <t>30 กป.</t>
        </is>
      </c>
      <c r="D659" s="9" t="n">
        <v>550</v>
      </c>
      <c r="H659" s="9" t="n">
        <v>16500</v>
      </c>
      <c r="I659" s="10" t="inlineStr">
        <is>
          <t>ทรัพย์สินไทย</t>
        </is>
      </c>
      <c r="J659" s="161" t="n">
        <v>23460</v>
      </c>
      <c r="L659" s="8" t="inlineStr">
        <is>
          <t>ราคาที่ลง ยังไม่รวมภาษี</t>
        </is>
      </c>
    </row>
    <row r="660">
      <c r="B660" s="6" t="inlineStr">
        <is>
          <t xml:space="preserve">ฮาร์ด พื้นเทา Matrix MAV-4048 1L.  </t>
        </is>
      </c>
      <c r="C660" s="8" t="inlineStr">
        <is>
          <t>30 กป.</t>
        </is>
      </c>
      <c r="D660" s="9" t="n">
        <v>550</v>
      </c>
      <c r="H660" s="9" t="n">
        <v>16500</v>
      </c>
      <c r="I660" s="10" t="inlineStr">
        <is>
          <t>ทรัพย์สินไทย</t>
        </is>
      </c>
      <c r="J660" s="161" t="n">
        <v>23546</v>
      </c>
      <c r="L660" s="8" t="inlineStr">
        <is>
          <t>ราคาที่ลง ยังไม่รวมภาษี</t>
        </is>
      </c>
    </row>
    <row r="661">
      <c r="B661" s="6" t="inlineStr">
        <is>
          <t xml:space="preserve">ฮาร์ด พื้นเทา Matrix MAV-4048 1L.  </t>
        </is>
      </c>
      <c r="C661" s="8" t="inlineStr">
        <is>
          <t>32 กป.</t>
        </is>
      </c>
      <c r="D661" s="9" t="n">
        <v>550</v>
      </c>
      <c r="H661" s="9" t="n">
        <v>17600</v>
      </c>
      <c r="I661" s="10" t="inlineStr">
        <is>
          <t>ทรัพย์สินไทย</t>
        </is>
      </c>
      <c r="J661" s="161" t="n">
        <v>23642</v>
      </c>
      <c r="K661" s="8" t="inlineStr">
        <is>
          <t>IV6409286</t>
        </is>
      </c>
      <c r="L661" s="8" t="inlineStr">
        <is>
          <t>ราคาที่ลง ยังไม่รวมภาษี</t>
        </is>
      </c>
    </row>
    <row r="662">
      <c r="B662" s="6" t="inlineStr">
        <is>
          <t xml:space="preserve">ฮาร์ด พื้นเทา Matrix MAV-4048 1L.  </t>
        </is>
      </c>
      <c r="C662" s="8" t="inlineStr">
        <is>
          <t>24 กป.</t>
        </is>
      </c>
      <c r="D662" s="9" t="n">
        <v>550</v>
      </c>
      <c r="H662" s="9" t="n">
        <v>13200</v>
      </c>
      <c r="I662" s="10" t="inlineStr">
        <is>
          <t>ทรัพย์สินไทย</t>
        </is>
      </c>
      <c r="J662" s="161" t="n">
        <v>23824</v>
      </c>
      <c r="K662" s="8" t="inlineStr">
        <is>
          <t>IV6503299</t>
        </is>
      </c>
      <c r="L662" s="8" t="inlineStr">
        <is>
          <t>ราคาที่ลง ยังไม่รวมภาษี</t>
        </is>
      </c>
    </row>
    <row r="663">
      <c r="B663" s="6" t="inlineStr">
        <is>
          <t xml:space="preserve">ฮาร์ด พื้นเทา Matrix MAV-4048 1L.  </t>
        </is>
      </c>
      <c r="C663" s="8" t="inlineStr">
        <is>
          <t>24 กป.</t>
        </is>
      </c>
      <c r="D663" s="9" t="n">
        <v>550</v>
      </c>
      <c r="H663" s="9" t="n">
        <v>13200</v>
      </c>
      <c r="I663" s="10" t="inlineStr">
        <is>
          <t>ทรัพย์สินไทย</t>
        </is>
      </c>
      <c r="J663" s="161" t="n">
        <v>23859</v>
      </c>
      <c r="K663" s="8" t="inlineStr">
        <is>
          <t>IV6504237</t>
        </is>
      </c>
      <c r="L663" s="8" t="inlineStr">
        <is>
          <t>ราคาที่ลง ยังไม่รวมภาษี</t>
        </is>
      </c>
    </row>
    <row r="665">
      <c r="B665" s="6" t="inlineStr">
        <is>
          <t>สีรองพื้นสีเทา Nuclear 4000</t>
        </is>
      </c>
      <c r="C665" s="8" t="n">
        <v>10</v>
      </c>
      <c r="D665" s="9" t="n">
        <v>750</v>
      </c>
      <c r="H665" s="9">
        <f>SUM(D665*C665)</f>
        <v/>
      </c>
      <c r="I665" s="10" t="inlineStr">
        <is>
          <t>PB Paint</t>
        </is>
      </c>
      <c r="J665" s="161" t="n">
        <v>24706</v>
      </c>
      <c r="K665" s="8" t="inlineStr">
        <is>
          <t>67/481</t>
        </is>
      </c>
      <c r="L665" s="8" t="inlineStr">
        <is>
          <t>ราคาที่ลง ยังไม่รวมภาษี</t>
        </is>
      </c>
    </row>
    <row r="666">
      <c r="B666" s="6" t="inlineStr">
        <is>
          <t>สีรองพื้นสีเทา Nuclear 4000</t>
        </is>
      </c>
      <c r="C666" s="8" t="n">
        <v>10</v>
      </c>
      <c r="D666" s="9" t="n">
        <v>750</v>
      </c>
      <c r="H666" s="9">
        <f>SUM(D666*C666)</f>
        <v/>
      </c>
      <c r="I666" s="10" t="inlineStr">
        <is>
          <t>PB Paint</t>
        </is>
      </c>
      <c r="J666" s="161" t="n">
        <v>24762</v>
      </c>
      <c r="K666" s="8" t="inlineStr">
        <is>
          <t>67/601</t>
        </is>
      </c>
      <c r="L666" s="8" t="inlineStr">
        <is>
          <t>ราคาที่ลง ยังไม่รวมภาษี</t>
        </is>
      </c>
    </row>
    <row r="667">
      <c r="B667" s="6" t="inlineStr">
        <is>
          <t>สีรองพื้นสีเทา Nuclear 4000</t>
        </is>
      </c>
      <c r="C667" s="8" t="n">
        <v>10</v>
      </c>
      <c r="D667" s="9" t="n">
        <v>750</v>
      </c>
      <c r="H667" s="9">
        <f>SUM(D667*C667)</f>
        <v/>
      </c>
      <c r="I667" s="10" t="inlineStr">
        <is>
          <t>PB Paint</t>
        </is>
      </c>
      <c r="J667" s="161" t="n">
        <v>24796</v>
      </c>
      <c r="K667" s="8" t="inlineStr">
        <is>
          <t>67/666</t>
        </is>
      </c>
      <c r="L667" s="8" t="inlineStr">
        <is>
          <t>ราคาที่ลง ยังไม่รวมภาษี</t>
        </is>
      </c>
    </row>
    <row r="668">
      <c r="B668" s="6" t="inlineStr">
        <is>
          <t>สีรองพื้นสีเทา Nuclear 4000</t>
        </is>
      </c>
      <c r="C668" s="8" t="n">
        <v>10</v>
      </c>
      <c r="D668" s="9" t="n">
        <v>750</v>
      </c>
      <c r="H668" s="9">
        <f>SUM(D668*C668)</f>
        <v/>
      </c>
      <c r="I668" s="10" t="inlineStr">
        <is>
          <t>PB Paint</t>
        </is>
      </c>
      <c r="J668" s="161" t="n">
        <v>24819</v>
      </c>
      <c r="K668" s="8" t="inlineStr">
        <is>
          <t>67/720</t>
        </is>
      </c>
      <c r="L668" s="8" t="inlineStr">
        <is>
          <t>ราคาที่ลง ยังไม่รวมภาษี</t>
        </is>
      </c>
    </row>
    <row r="669">
      <c r="A669" s="70" t="n"/>
      <c r="B669" s="6" t="inlineStr">
        <is>
          <t>สีรองพื้นสีเทา Nuclear-02</t>
        </is>
      </c>
      <c r="C669" s="8" t="n">
        <v>10</v>
      </c>
      <c r="D669" s="9" t="n">
        <v>802.5</v>
      </c>
      <c r="H669" s="9">
        <f>SUM(D669*C669)</f>
        <v/>
      </c>
      <c r="I669" s="10" t="inlineStr">
        <is>
          <t>PB Paint</t>
        </is>
      </c>
      <c r="J669" s="161" t="n">
        <v>24922</v>
      </c>
      <c r="K669" s="8" t="inlineStr">
        <is>
          <t>PB2025030040</t>
        </is>
      </c>
      <c r="L669" s="8" t="inlineStr">
        <is>
          <t>ราคารวม VAT แล้ว</t>
        </is>
      </c>
    </row>
    <row r="670">
      <c r="A670" s="70" t="n"/>
      <c r="B670" s="6" t="inlineStr">
        <is>
          <t>สีรองพื้นสีเทา Nuclear-02</t>
        </is>
      </c>
      <c r="C670" s="8" t="n">
        <v>20</v>
      </c>
      <c r="D670" s="9" t="n">
        <v>750</v>
      </c>
      <c r="E670" s="9">
        <f>SUM(D670*C670)</f>
        <v/>
      </c>
      <c r="F670" s="8" t="n">
        <v>0.07000000000000001</v>
      </c>
      <c r="G670" s="10" t="inlineStr">
        <is>
          <t>ราคารวมVAT =</t>
        </is>
      </c>
      <c r="H670" s="9">
        <f>SUM(E670+N670)</f>
        <v/>
      </c>
      <c r="I670" s="10" t="inlineStr">
        <is>
          <t>PB Paint</t>
        </is>
      </c>
      <c r="J670" s="161" t="n">
        <v>25005</v>
      </c>
      <c r="K670" s="8" t="inlineStr">
        <is>
          <t>PB2025060025</t>
        </is>
      </c>
      <c r="N670" s="6">
        <f>SUM(E670*F670)</f>
        <v/>
      </c>
    </row>
    <row r="671">
      <c r="A671" s="70" t="n"/>
      <c r="B671" s="6" t="inlineStr">
        <is>
          <t>สีรองพื้นสีเทา Nuclear-02</t>
        </is>
      </c>
      <c r="C671" s="8" t="n">
        <v>20</v>
      </c>
      <c r="D671" s="9" t="n">
        <v>750</v>
      </c>
      <c r="E671" s="9">
        <f>SUM(D671*C671)</f>
        <v/>
      </c>
      <c r="F671" s="8" t="n">
        <v>0.07000000000000001</v>
      </c>
      <c r="G671" s="10" t="inlineStr">
        <is>
          <t>ราคารวมVAT =</t>
        </is>
      </c>
      <c r="H671" s="9">
        <f>SUM(E671+N671)</f>
        <v/>
      </c>
      <c r="I671" s="10" t="inlineStr">
        <is>
          <t>PB Paint</t>
        </is>
      </c>
      <c r="J671" s="161" t="n">
        <v>25041</v>
      </c>
      <c r="K671" s="8" t="inlineStr">
        <is>
          <t>PB2025070040</t>
        </is>
      </c>
      <c r="N671" s="6">
        <f>SUM(E671*F671)</f>
        <v/>
      </c>
    </row>
    <row r="672" customFormat="1" s="42">
      <c r="B672" s="42" t="inlineStr">
        <is>
          <t xml:space="preserve"> ** คราวหน้าสั่งซื้อของวาที เพราะตัวเดิมที่ใช้อยู่ขัดยาก วาทีเอาของมาให้ลองแล้ววุฒิบอกว่าดีกว่า ของ PB ต้นทุน PB ชุดละ 1,100 บาท / วาที ชุดละ 750 บาท</t>
        </is>
      </c>
      <c r="C672" s="45" t="n"/>
      <c r="D672" s="16" t="n"/>
      <c r="E672" s="16" t="n"/>
      <c r="F672" s="45" t="n"/>
      <c r="G672" s="50" t="n"/>
      <c r="H672" s="16" t="n"/>
      <c r="I672" s="50" t="n"/>
      <c r="J672" s="166" t="n"/>
      <c r="K672" s="45" t="n"/>
      <c r="L672" s="45" t="n"/>
    </row>
    <row r="674">
      <c r="B674" s="6" t="inlineStr">
        <is>
          <t>ฮาร์ดเดนเนอร์ สีรองพื้นสีเทา Nuclear-02</t>
        </is>
      </c>
      <c r="C674" s="8" t="n">
        <v>10</v>
      </c>
      <c r="D674" s="9" t="n">
        <v>350</v>
      </c>
      <c r="H674" s="9">
        <f>SUM(D674*C674)</f>
        <v/>
      </c>
      <c r="I674" s="10" t="inlineStr">
        <is>
          <t>PB Paint</t>
        </is>
      </c>
      <c r="J674" s="161" t="n">
        <v>24706</v>
      </c>
      <c r="K674" s="8" t="inlineStr">
        <is>
          <t>67/481</t>
        </is>
      </c>
      <c r="L674" s="8" t="inlineStr">
        <is>
          <t>ราคาที่ลง ยังไม่รวมภาษี</t>
        </is>
      </c>
    </row>
    <row r="675">
      <c r="B675" s="6" t="inlineStr">
        <is>
          <t>ฮาร์ดเดนเนอร์ สีรองพื้นสีเทา Nuclear-02</t>
        </is>
      </c>
      <c r="C675" s="8" t="n">
        <v>10</v>
      </c>
      <c r="D675" s="9" t="n">
        <v>350</v>
      </c>
      <c r="H675" s="9">
        <f>SUM(D675*C675)</f>
        <v/>
      </c>
      <c r="I675" s="10" t="inlineStr">
        <is>
          <t>PB Paint</t>
        </is>
      </c>
      <c r="J675" s="161" t="n">
        <v>24762</v>
      </c>
      <c r="K675" s="8" t="inlineStr">
        <is>
          <t>67/601</t>
        </is>
      </c>
      <c r="L675" s="8" t="inlineStr">
        <is>
          <t>ราคาที่ลง ยังไม่รวมภาษี</t>
        </is>
      </c>
    </row>
    <row r="676">
      <c r="B676" s="6" t="inlineStr">
        <is>
          <t>ฮาร์ดเดนเนอร์ สีรองพื้นสีเทา Nuclear-02</t>
        </is>
      </c>
      <c r="C676" s="8" t="n">
        <v>10</v>
      </c>
      <c r="D676" s="9" t="n">
        <v>350</v>
      </c>
      <c r="H676" s="9">
        <f>SUM(D676*C676)</f>
        <v/>
      </c>
      <c r="I676" s="10" t="inlineStr">
        <is>
          <t>PB Paint</t>
        </is>
      </c>
      <c r="J676" s="161" t="n">
        <v>24796</v>
      </c>
      <c r="K676" s="8" t="inlineStr">
        <is>
          <t>67/666</t>
        </is>
      </c>
      <c r="L676" s="8" t="inlineStr">
        <is>
          <t>ราคาที่ลง ยังไม่รวมภาษี</t>
        </is>
      </c>
    </row>
    <row r="677">
      <c r="B677" s="6" t="inlineStr">
        <is>
          <t>ฮาร์ดเดนเนอร์ สีรองพื้นสีเทา Nuclear-02</t>
        </is>
      </c>
      <c r="C677" s="8" t="n">
        <v>10</v>
      </c>
      <c r="D677" s="9" t="n">
        <v>350</v>
      </c>
      <c r="H677" s="9">
        <f>SUM(D677*C677)</f>
        <v/>
      </c>
      <c r="I677" s="10" t="inlineStr">
        <is>
          <t>PB Paint</t>
        </is>
      </c>
      <c r="J677" s="161" t="n">
        <v>24819</v>
      </c>
      <c r="K677" s="8" t="inlineStr">
        <is>
          <t>67/720</t>
        </is>
      </c>
      <c r="L677" s="8" t="inlineStr">
        <is>
          <t>ราคาที่ลง ยังไม่รวมภาษี</t>
        </is>
      </c>
    </row>
    <row r="678">
      <c r="A678" s="70" t="n"/>
      <c r="B678" s="6" t="inlineStr">
        <is>
          <t>ฮาร์ดเดนเนอร์ สีรองพื้นสีเทา Nuclear-02</t>
        </is>
      </c>
      <c r="C678" s="8" t="n">
        <v>10</v>
      </c>
      <c r="D678" s="9" t="n">
        <v>374.5</v>
      </c>
      <c r="H678" s="9">
        <f>SUM(D678*C678)</f>
        <v/>
      </c>
      <c r="I678" s="10" t="inlineStr">
        <is>
          <t>PB Paint</t>
        </is>
      </c>
      <c r="J678" s="161" t="n">
        <v>24922</v>
      </c>
      <c r="K678" s="8" t="inlineStr">
        <is>
          <t>PB2025030040</t>
        </is>
      </c>
      <c r="L678" s="8" t="inlineStr">
        <is>
          <t>ราคารวม VAT แล้ว</t>
        </is>
      </c>
    </row>
    <row r="679">
      <c r="A679" s="70" t="n"/>
      <c r="B679" s="6" t="inlineStr">
        <is>
          <t>ฮาร์ดเดนเนอร์ สีรองพื้นสีเทา Nuclear-02</t>
        </is>
      </c>
      <c r="C679" s="8" t="n">
        <v>20</v>
      </c>
      <c r="D679" s="9" t="n">
        <v>350</v>
      </c>
      <c r="E679" s="9">
        <f>SUM(D679*C679)</f>
        <v/>
      </c>
      <c r="F679" s="8" t="n">
        <v>0.07000000000000001</v>
      </c>
      <c r="G679" s="10" t="inlineStr">
        <is>
          <t>ราคารวมVAT =</t>
        </is>
      </c>
      <c r="H679" s="9">
        <f>SUM(E679+N679)</f>
        <v/>
      </c>
      <c r="I679" s="10" t="inlineStr">
        <is>
          <t>PB Paint</t>
        </is>
      </c>
      <c r="J679" s="161" t="n">
        <v>25005</v>
      </c>
      <c r="K679" s="8" t="inlineStr">
        <is>
          <t>PB2025060025</t>
        </is>
      </c>
      <c r="N679" s="6">
        <f>SUM(E679*F679)</f>
        <v/>
      </c>
    </row>
    <row r="680">
      <c r="A680" s="70" t="n"/>
      <c r="B680" s="6" t="inlineStr">
        <is>
          <t>ฮาร์ดเดนเนอร์ สีรองพื้นสีเทา Nuclear-02</t>
        </is>
      </c>
      <c r="C680" s="8" t="n">
        <v>20</v>
      </c>
      <c r="D680" s="9" t="n">
        <v>350</v>
      </c>
      <c r="E680" s="9">
        <f>SUM(D680*C680)</f>
        <v/>
      </c>
      <c r="F680" s="8" t="n">
        <v>0.07000000000000001</v>
      </c>
      <c r="G680" s="10" t="inlineStr">
        <is>
          <t>ราคารวมVAT =</t>
        </is>
      </c>
      <c r="H680" s="9">
        <f>SUM(E680+N680)</f>
        <v/>
      </c>
      <c r="I680" s="10" t="inlineStr">
        <is>
          <t>PB Paint</t>
        </is>
      </c>
      <c r="J680" s="161" t="n">
        <v>25041</v>
      </c>
      <c r="K680" s="8" t="inlineStr">
        <is>
          <t>PB2025070040</t>
        </is>
      </c>
      <c r="N680" s="6">
        <f>SUM(E680*F680)</f>
        <v/>
      </c>
    </row>
    <row r="681">
      <c r="B681" s="6" t="inlineStr">
        <is>
          <t>ฮาร์ดเดนเนอร์ สีรองพื้นสีเทา Nuclear-02</t>
        </is>
      </c>
      <c r="C681" s="8" t="n">
        <v>2</v>
      </c>
      <c r="D681" s="9" t="n">
        <v>350</v>
      </c>
      <c r="E681" s="9">
        <f>SUM(D681*C681)</f>
        <v/>
      </c>
      <c r="G681" s="10" t="inlineStr">
        <is>
          <t>ราคารวม VAT =</t>
        </is>
      </c>
      <c r="H681" s="9">
        <f>SUM(E681*O681/N681)</f>
        <v/>
      </c>
      <c r="I681" s="10" t="inlineStr">
        <is>
          <t>PB Paint</t>
        </is>
      </c>
      <c r="J681" s="161" t="n">
        <v>25098</v>
      </c>
      <c r="K681" s="8" t="inlineStr">
        <is>
          <t>PB2025090039</t>
        </is>
      </c>
      <c r="L681" s="8" t="inlineStr">
        <is>
          <t>ราคารวม VAT แล้ว</t>
        </is>
      </c>
      <c r="N681" s="6" t="n">
        <v>100</v>
      </c>
      <c r="O681" s="6" t="n">
        <v>107</v>
      </c>
    </row>
    <row r="682">
      <c r="B682" s="6" t="inlineStr">
        <is>
          <t>ฮาร์ดเดนเนอร์ สีรองพื้นสีเทา Nuclear-- สูตรของร้าน PB</t>
        </is>
      </c>
      <c r="C682" s="8" t="n">
        <v>2</v>
      </c>
      <c r="D682" s="9" t="n">
        <v>300</v>
      </c>
      <c r="E682" s="9">
        <f>SUM(D682*C682)</f>
        <v/>
      </c>
      <c r="G682" s="10" t="inlineStr">
        <is>
          <t>ราคารวม VAT =</t>
        </is>
      </c>
      <c r="H682" s="9">
        <f>SUM(E682*O682/N682)</f>
        <v/>
      </c>
      <c r="I682" s="10" t="inlineStr">
        <is>
          <t>บจก. วีที คัลเลอร์ โปร</t>
        </is>
      </c>
      <c r="J682" s="161" t="n">
        <v>25156</v>
      </c>
      <c r="K682" s="8" t="inlineStr">
        <is>
          <t>IV6811111</t>
        </is>
      </c>
      <c r="L682" s="8" t="inlineStr">
        <is>
          <t>ราคารวม VAT แล้ว</t>
        </is>
      </c>
      <c r="N682" s="6" t="n">
        <v>100</v>
      </c>
      <c r="O682" s="6" t="n">
        <v>107</v>
      </c>
    </row>
    <row r="684">
      <c r="A684" s="70" t="n"/>
      <c r="B684" s="6" t="inlineStr">
        <is>
          <t>สีรองพื้นสีเทาชนิดความเข้มข้นสูง 2K 4:1 LEZZON P-2617  -- พร้อมฮาร์ดเดนเนอร์ สีพื้นกลบลอย LEZZON H-4400</t>
        </is>
      </c>
      <c r="C684" s="8" t="inlineStr">
        <is>
          <t>24ชุด</t>
        </is>
      </c>
      <c r="D684" s="9" t="n">
        <v>1100</v>
      </c>
      <c r="H684" s="9" t="n">
        <v>26400</v>
      </c>
      <c r="I684" s="10" t="inlineStr">
        <is>
          <t>บจก. วีที คัลเลอร์ โปร</t>
        </is>
      </c>
      <c r="J684" s="161" t="n">
        <v>23978</v>
      </c>
      <c r="K684" s="8" t="inlineStr">
        <is>
          <t>IV147-65</t>
        </is>
      </c>
      <c r="L684" s="8" t="inlineStr">
        <is>
          <t>ราคาที่ลง ยังไม่รวมภาษี</t>
        </is>
      </c>
    </row>
    <row r="686">
      <c r="A686" s="67" t="inlineStr">
        <is>
          <t>1ลัง = 4กป.</t>
        </is>
      </c>
      <c r="B686" s="6" t="inlineStr">
        <is>
          <t>สีรองพื้นสีเทาชนิดความเข้มข้นสูง 2K 4:1 LEZZON P-2617</t>
        </is>
      </c>
      <c r="C686" s="8" t="inlineStr">
        <is>
          <t>24กล.</t>
        </is>
      </c>
      <c r="D686" s="9" t="n">
        <v>620</v>
      </c>
      <c r="H686" s="9" t="n">
        <v>14880</v>
      </c>
      <c r="I686" s="10" t="inlineStr">
        <is>
          <t>บจก. วีที คัลเลอร์ โปร</t>
        </is>
      </c>
      <c r="J686" s="161" t="n">
        <v>24040</v>
      </c>
      <c r="K686" s="8" t="inlineStr">
        <is>
          <t>IV227-65</t>
        </is>
      </c>
      <c r="L686" s="8" t="inlineStr">
        <is>
          <t>ราคาที่ลง ยังไม่รวมภาษี</t>
        </is>
      </c>
    </row>
    <row r="687">
      <c r="B687" s="6" t="inlineStr">
        <is>
          <t>สีรองพื้นสีเทาชนิดความเข้มข้นสูง 2K 4:1 LEZZON P-2617</t>
        </is>
      </c>
      <c r="C687" s="8" t="inlineStr">
        <is>
          <t>20กล.</t>
        </is>
      </c>
      <c r="D687" s="9" t="n">
        <v>800</v>
      </c>
      <c r="H687" s="9" t="n">
        <v>16000</v>
      </c>
      <c r="I687" s="10" t="inlineStr">
        <is>
          <t>บจก. วีที คัลเลอร์ โปร</t>
        </is>
      </c>
      <c r="J687" s="161" t="n">
        <v>24069</v>
      </c>
      <c r="K687" s="8" t="inlineStr">
        <is>
          <t>IV275-65</t>
        </is>
      </c>
      <c r="L687" s="8" t="inlineStr">
        <is>
          <t>ราคาที่ลง ยังไม่รวมภาษี</t>
        </is>
      </c>
    </row>
    <row r="688">
      <c r="B688" s="6" t="inlineStr">
        <is>
          <t>สีรองพื้นสีเทาชนิดความเข้มข้นสูง 2K 4:1 LEZZON P-2617</t>
        </is>
      </c>
      <c r="C688" s="8" t="inlineStr">
        <is>
          <t>20กล.</t>
        </is>
      </c>
      <c r="D688" s="9" t="n">
        <v>800</v>
      </c>
      <c r="H688" s="9" t="n">
        <v>16000</v>
      </c>
      <c r="I688" s="10" t="inlineStr">
        <is>
          <t>บจก. วีที คัลเลอร์ โปร</t>
        </is>
      </c>
      <c r="J688" s="161" t="n">
        <v>24160</v>
      </c>
      <c r="K688" s="8" t="inlineStr">
        <is>
          <t>IV114-66</t>
        </is>
      </c>
      <c r="L688" s="8" t="inlineStr">
        <is>
          <t>ราคาที่ลง ยังไม่รวมภาษี</t>
        </is>
      </c>
    </row>
    <row r="689">
      <c r="B689" s="6" t="inlineStr">
        <is>
          <t>สีรองพื้นสีเทาชนิดความเข้มข้นสูง 2K 4:1 LEZZON P-2617</t>
        </is>
      </c>
      <c r="C689" s="8" t="inlineStr">
        <is>
          <t>20กล.</t>
        </is>
      </c>
      <c r="D689" s="9" t="n">
        <v>800</v>
      </c>
      <c r="H689" s="9" t="n">
        <v>16000</v>
      </c>
      <c r="I689" s="10" t="inlineStr">
        <is>
          <t>บจก. วีที คัลเลอร์ โปร</t>
        </is>
      </c>
      <c r="J689" s="161" t="n">
        <v>24189</v>
      </c>
      <c r="K689" s="8" t="inlineStr">
        <is>
          <t>IV177-66</t>
        </is>
      </c>
      <c r="L689" s="8" t="inlineStr">
        <is>
          <t>ราคาที่ลง ยังไม่รวมภาษี</t>
        </is>
      </c>
    </row>
    <row r="690">
      <c r="B690" s="6" t="inlineStr">
        <is>
          <t>สีรองพื้นสีเทาชนิดความเข้มข้นสูง 2K 4:1 LEZZON P-2617</t>
        </is>
      </c>
      <c r="C690" s="8" t="n">
        <v>24</v>
      </c>
      <c r="D690" s="9" t="n">
        <v>800</v>
      </c>
      <c r="H690" s="9">
        <f>SUM(D690*C690)</f>
        <v/>
      </c>
      <c r="I690" s="10" t="inlineStr">
        <is>
          <t>บจก. วีที คัลเลอร์ โปร</t>
        </is>
      </c>
      <c r="J690" s="161" t="n">
        <v>24340</v>
      </c>
      <c r="K690" s="8" t="inlineStr">
        <is>
          <t>IV470-66</t>
        </is>
      </c>
      <c r="L690" s="8" t="inlineStr">
        <is>
          <t>ราคาที่ลง ยังไม่รวมภาษี</t>
        </is>
      </c>
    </row>
    <row r="691">
      <c r="B691" s="6" t="inlineStr">
        <is>
          <t>สีรองพื้นสีเทาชนิดความเข้มข้นสูง 2K 4:1 LEZZON P-2617</t>
        </is>
      </c>
      <c r="C691" s="8" t="n">
        <v>16</v>
      </c>
      <c r="D691" s="9" t="n">
        <v>800</v>
      </c>
      <c r="H691" s="9">
        <f>SUM(D691*C691)</f>
        <v/>
      </c>
      <c r="I691" s="10" t="inlineStr">
        <is>
          <t>บจก. วีที คัลเลอร์ โปร</t>
        </is>
      </c>
      <c r="J691" s="161" t="n">
        <v>24404</v>
      </c>
      <c r="K691" s="8" t="inlineStr">
        <is>
          <t>IV620-66</t>
        </is>
      </c>
      <c r="L691" s="8" t="inlineStr">
        <is>
          <t>ราคาที่ลง ยังไม่รวมภาษี</t>
        </is>
      </c>
    </row>
    <row r="692">
      <c r="B692" s="6" t="inlineStr">
        <is>
          <t>สีรองพื้นสีเทาชนิดความเข้มข้นสูง 2K 4:1 LEZZON P-2617</t>
        </is>
      </c>
      <c r="C692" s="8" t="n">
        <v>20</v>
      </c>
      <c r="D692" s="9" t="n">
        <v>800</v>
      </c>
      <c r="H692" s="9">
        <f>SUM(D692*C692)</f>
        <v/>
      </c>
      <c r="I692" s="10" t="inlineStr">
        <is>
          <t>บจก. วีที คัลเลอร์ โปร</t>
        </is>
      </c>
      <c r="J692" s="161" t="n">
        <v>24462</v>
      </c>
      <c r="K692" s="8" t="inlineStr">
        <is>
          <t>IV764-66</t>
        </is>
      </c>
      <c r="L692" s="8" t="inlineStr">
        <is>
          <t>ราคาที่ลง ยังไม่รวมภาษี</t>
        </is>
      </c>
    </row>
    <row r="693">
      <c r="B693" s="6" t="inlineStr">
        <is>
          <t>สีรองพื้นสีเทาชนิดความเข้มข้นสูง 2K 4:1 LEZZON P-2617</t>
        </is>
      </c>
      <c r="C693" s="8" t="n">
        <v>12</v>
      </c>
      <c r="D693" s="9" t="n">
        <v>800</v>
      </c>
      <c r="H693" s="9">
        <f>SUM(D693*C693)</f>
        <v/>
      </c>
      <c r="I693" s="10" t="inlineStr">
        <is>
          <t>บจก. วีที คัลเลอร์ โปร</t>
        </is>
      </c>
      <c r="J693" s="161" t="n">
        <v>24496</v>
      </c>
      <c r="K693" s="8" t="inlineStr">
        <is>
          <t>IV6701080</t>
        </is>
      </c>
      <c r="L693" s="8" t="inlineStr">
        <is>
          <t>ราคาที่ลง ยังไม่รวมภาษี</t>
        </is>
      </c>
    </row>
    <row r="694">
      <c r="B694" s="6" t="inlineStr">
        <is>
          <t>สีรองพื้นสีเทาชนิดความเข้มข้นสูง 2K 4:1 LEZZON P-2617</t>
        </is>
      </c>
      <c r="C694" s="8" t="n">
        <v>12</v>
      </c>
      <c r="D694" s="9" t="n">
        <v>800</v>
      </c>
      <c r="H694" s="9">
        <f>SUM(D694*C694)</f>
        <v/>
      </c>
      <c r="I694" s="10" t="inlineStr">
        <is>
          <t>บจก. วีที คัลเลอร์ โปร</t>
        </is>
      </c>
      <c r="J694" s="161" t="n">
        <v>24529</v>
      </c>
      <c r="K694" s="8" t="inlineStr">
        <is>
          <t>IV6702104</t>
        </is>
      </c>
      <c r="L694" s="8" t="inlineStr">
        <is>
          <t>ราคาที่ลง ยังไม่รวมภาษี</t>
        </is>
      </c>
    </row>
    <row r="695">
      <c r="B695" s="6" t="inlineStr">
        <is>
          <t>สีรองพื้นสีเทาชนิดความเข้มข้นสูง 2K 4:1 LEZZON P-2617</t>
        </is>
      </c>
      <c r="C695" s="8" t="n">
        <v>12</v>
      </c>
      <c r="D695" s="9" t="n">
        <v>800</v>
      </c>
      <c r="H695" s="9">
        <f>SUM(D695*C695)</f>
        <v/>
      </c>
      <c r="I695" s="10" t="inlineStr">
        <is>
          <t>บจก. วีที คัลเลอร์ โปร</t>
        </is>
      </c>
      <c r="J695" s="161" t="n">
        <v>24550</v>
      </c>
      <c r="K695" s="8" t="inlineStr">
        <is>
          <t>IV6703087</t>
        </is>
      </c>
      <c r="L695" s="8" t="inlineStr">
        <is>
          <t>ราคาที่ลง ยังไม่รวมภาษี</t>
        </is>
      </c>
    </row>
    <row r="696">
      <c r="B696" s="6" t="inlineStr">
        <is>
          <t>สีรองพื้นสีเทาชนิดความเข้มข้นสูง 2K 4:1 LEZZON P-2617</t>
        </is>
      </c>
      <c r="C696" s="8" t="n">
        <v>24</v>
      </c>
      <c r="D696" s="9" t="n">
        <v>800</v>
      </c>
      <c r="H696" s="9">
        <f>SUM(D696*C696)</f>
        <v/>
      </c>
      <c r="I696" s="10" t="inlineStr">
        <is>
          <t>บจก. วีที คัลเลอร์ โปร</t>
        </is>
      </c>
      <c r="J696" s="161" t="n">
        <v>24584</v>
      </c>
      <c r="K696" s="8" t="inlineStr">
        <is>
          <t>IV6704071</t>
        </is>
      </c>
      <c r="L696" s="8" t="inlineStr">
        <is>
          <t>ราคาที่ลง ยังไม่รวมภาษี</t>
        </is>
      </c>
    </row>
    <row r="697">
      <c r="B697" s="6" t="inlineStr">
        <is>
          <t>สีรองพื้นสีเทาชนิดความเข้มข้นสูง 2K 4:1 LEZZON P-2617</t>
        </is>
      </c>
      <c r="C697" s="8" t="n">
        <v>12</v>
      </c>
      <c r="D697" s="9" t="n">
        <v>580</v>
      </c>
      <c r="E697" s="9">
        <f>SUM(C697*D697)</f>
        <v/>
      </c>
      <c r="H697" s="9">
        <f>SUM(E697*O697/N697)</f>
        <v/>
      </c>
      <c r="I697" s="10" t="inlineStr">
        <is>
          <t>บจก. วีที คัลเลอร์ โปร</t>
        </is>
      </c>
      <c r="J697" s="161" t="n">
        <v>24929</v>
      </c>
      <c r="K697" s="8" t="inlineStr">
        <is>
          <t>IV6804015</t>
        </is>
      </c>
      <c r="N697" s="6" t="n">
        <v>100</v>
      </c>
      <c r="O697" s="6" t="n">
        <v>107</v>
      </c>
    </row>
    <row r="698">
      <c r="B698" s="6" t="inlineStr">
        <is>
          <t>สีรองพื้นสีเทาชนิดความเข้มข้นสูง 2K 4:1 LEZZON P-2617</t>
        </is>
      </c>
      <c r="C698" s="8" t="n">
        <v>12</v>
      </c>
      <c r="D698" s="9" t="n">
        <v>580</v>
      </c>
      <c r="E698" s="9">
        <f>SUM(C698*D698)</f>
        <v/>
      </c>
      <c r="G698" s="10" t="inlineStr">
        <is>
          <t>ยอดรวม VAT =</t>
        </is>
      </c>
      <c r="H698" s="9">
        <f>SUM(E698*O698/N698)</f>
        <v/>
      </c>
      <c r="I698" s="10" t="inlineStr">
        <is>
          <t>บจก. วีที คัลเลอร์ โปร</t>
        </is>
      </c>
      <c r="J698" s="161" t="n">
        <v>25069</v>
      </c>
      <c r="K698" s="8" t="inlineStr">
        <is>
          <t>IV6808112</t>
        </is>
      </c>
      <c r="N698" s="6" t="n">
        <v>100</v>
      </c>
      <c r="O698" s="6" t="n">
        <v>107</v>
      </c>
    </row>
    <row r="699">
      <c r="B699" s="6" t="inlineStr">
        <is>
          <t>สีรองพื้นสีเทาชนิดความเข้มข้นสูง 2K 4:1 LEZZON P-2617</t>
        </is>
      </c>
      <c r="C699" s="8" t="n">
        <v>20</v>
      </c>
      <c r="D699" s="9" t="n">
        <v>580</v>
      </c>
      <c r="E699" s="9">
        <f>SUM(C699*D699)</f>
        <v/>
      </c>
      <c r="G699" s="10" t="inlineStr">
        <is>
          <t>ยอดรวม VAT =</t>
        </is>
      </c>
      <c r="H699" s="9">
        <f>SUM(E699*O699/N699)</f>
        <v/>
      </c>
      <c r="I699" s="10" t="inlineStr">
        <is>
          <t>บจก. วีที คัลเลอร์ โปร</t>
        </is>
      </c>
      <c r="J699" s="161" t="n">
        <v>25098</v>
      </c>
      <c r="K699" s="8" t="inlineStr">
        <is>
          <t>IV6809124</t>
        </is>
      </c>
      <c r="N699" s="6" t="n">
        <v>100</v>
      </c>
      <c r="O699" s="6" t="n">
        <v>107</v>
      </c>
    </row>
    <row r="700" customFormat="1" s="42">
      <c r="A700" s="45" t="n"/>
      <c r="B700" s="42" t="inlineStr">
        <is>
          <t xml:space="preserve"> ** เมื่อ 22/2/69 วาทีแจ้งปรับลดราคา เหลือ กล. ละ 560 บาท</t>
        </is>
      </c>
      <c r="C700" s="45" t="n"/>
      <c r="D700" s="16" t="n"/>
      <c r="E700" s="16" t="n"/>
      <c r="F700" s="45" t="n"/>
      <c r="G700" s="50" t="n"/>
      <c r="H700" s="16" t="n"/>
      <c r="I700" s="50" t="n"/>
      <c r="J700" s="166" t="n"/>
      <c r="K700" s="45" t="n"/>
      <c r="L700" s="45" t="n"/>
    </row>
    <row r="702">
      <c r="A702" s="67" t="inlineStr">
        <is>
          <t>1ลัง = 6กป.</t>
        </is>
      </c>
      <c r="B702" s="6" t="inlineStr">
        <is>
          <t>ฮาร์ดเดนเนอร์สีรองพื้นสีเทา LEZZON 4122</t>
        </is>
      </c>
      <c r="C702" s="8" t="n">
        <v>12</v>
      </c>
      <c r="D702" s="9" t="n">
        <v>220</v>
      </c>
      <c r="E702" s="9">
        <f>SUM(C702*D702)</f>
        <v/>
      </c>
      <c r="G702" s="10" t="inlineStr">
        <is>
          <t>ยอดรวม VAT =</t>
        </is>
      </c>
      <c r="H702" s="9">
        <f>SUM(E702*O702/N702)</f>
        <v/>
      </c>
      <c r="I702" s="10" t="inlineStr">
        <is>
          <t>บจก. วีที คัลเลอร์ โปร</t>
        </is>
      </c>
      <c r="J702" s="161" t="n">
        <v>25069</v>
      </c>
      <c r="K702" s="8" t="inlineStr">
        <is>
          <t>IV6808112</t>
        </is>
      </c>
      <c r="N702" s="6" t="n">
        <v>100</v>
      </c>
      <c r="O702" s="6" t="n">
        <v>107</v>
      </c>
    </row>
    <row r="703">
      <c r="B703" s="6" t="inlineStr">
        <is>
          <t>ฮาร์ดเดนเนอร์สีรองพื้นสีเทา LEZZON 4122</t>
        </is>
      </c>
      <c r="C703" s="8" t="n">
        <v>20</v>
      </c>
      <c r="D703" s="9" t="n">
        <v>220</v>
      </c>
      <c r="E703" s="9">
        <f>SUM(C703*D703)</f>
        <v/>
      </c>
      <c r="G703" s="10" t="inlineStr">
        <is>
          <t>ยอดรวม VAT =</t>
        </is>
      </c>
      <c r="H703" s="9">
        <f>SUM(E703*O703/N703)</f>
        <v/>
      </c>
      <c r="I703" s="10" t="inlineStr">
        <is>
          <t>บจก. วีที คัลเลอร์ โปร</t>
        </is>
      </c>
      <c r="J703" s="161" t="n">
        <v>25098</v>
      </c>
      <c r="K703" s="8" t="inlineStr">
        <is>
          <t>IV6809124</t>
        </is>
      </c>
      <c r="N703" s="6" t="n">
        <v>100</v>
      </c>
      <c r="O703" s="6" t="n">
        <v>107</v>
      </c>
    </row>
    <row r="706">
      <c r="A706" s="66" t="inlineStr">
        <is>
          <t>Extra Slow</t>
        </is>
      </c>
      <c r="B706" s="6" t="inlineStr">
        <is>
          <t>ทินเนอร์ Extra Slow New 5L. (ใส่ผสมกับทินเนอร์)</t>
        </is>
      </c>
      <c r="C706" s="8" t="inlineStr">
        <is>
          <t>6 กล.</t>
        </is>
      </c>
      <c r="D706" s="9" t="n">
        <v>660</v>
      </c>
      <c r="H706" s="9" t="n">
        <v>3960</v>
      </c>
      <c r="I706" s="10" t="inlineStr">
        <is>
          <t>ทรัพย์สินไทย</t>
        </is>
      </c>
      <c r="J706" s="161" t="n">
        <v>22790</v>
      </c>
      <c r="L706" s="8" t="inlineStr">
        <is>
          <t>ราคาที่ลง ยังไม่รวมภาษี</t>
        </is>
      </c>
    </row>
    <row r="707">
      <c r="A707" s="70" t="n"/>
      <c r="B707" s="6" t="inlineStr">
        <is>
          <t>ทินเนอร์ Extra Slow New 5L. (ใส่ผสมกับทินเนอร์)</t>
        </is>
      </c>
      <c r="C707" s="8" t="inlineStr">
        <is>
          <t>12 กล.</t>
        </is>
      </c>
      <c r="D707" s="9" t="n">
        <v>660</v>
      </c>
      <c r="H707" s="9" t="n">
        <v>7920</v>
      </c>
      <c r="I707" s="10" t="inlineStr">
        <is>
          <t>ทรัพย์สินไทย</t>
        </is>
      </c>
      <c r="J707" s="161" t="n">
        <v>22821</v>
      </c>
      <c r="L707" s="8" t="inlineStr">
        <is>
          <t>ราคาที่ลง ยังไม่รวมภาษี</t>
        </is>
      </c>
    </row>
    <row r="708">
      <c r="A708" s="70" t="n"/>
      <c r="B708" s="6" t="inlineStr">
        <is>
          <t>ทินเนอร์ Extra Slow New 5L. (ใส่ผสมกับทินเนอร์)</t>
        </is>
      </c>
      <c r="C708" s="8" t="inlineStr">
        <is>
          <t>12 กล.</t>
        </is>
      </c>
      <c r="D708" s="9" t="n">
        <v>660</v>
      </c>
      <c r="H708" s="9" t="n">
        <v>7920</v>
      </c>
      <c r="I708" s="10" t="inlineStr">
        <is>
          <t>ทรัพย์สินไทย</t>
        </is>
      </c>
      <c r="J708" s="161" t="n">
        <v>22851</v>
      </c>
      <c r="L708" s="8" t="inlineStr">
        <is>
          <t>ราคาที่ลง ยังไม่รวมภาษี</t>
        </is>
      </c>
    </row>
    <row r="709">
      <c r="A709" s="70" t="n"/>
      <c r="B709" s="6" t="inlineStr">
        <is>
          <t>ทินเนอร์ Extra Slow New 5L. (ใส่ผสมกับทินเนอร์)</t>
        </is>
      </c>
      <c r="C709" s="8" t="inlineStr">
        <is>
          <t>18 กล.</t>
        </is>
      </c>
      <c r="D709" s="9" t="n">
        <v>660</v>
      </c>
      <c r="H709" s="9" t="n">
        <v>11880</v>
      </c>
      <c r="I709" s="10" t="inlineStr">
        <is>
          <t>ทรัพย์สินไทย</t>
        </is>
      </c>
      <c r="J709" s="161" t="n">
        <v>22913</v>
      </c>
      <c r="L709" s="8" t="inlineStr">
        <is>
          <t>ราคาที่ลง ยังไม่รวมภาษี</t>
        </is>
      </c>
    </row>
    <row r="710">
      <c r="A710" s="70" t="n"/>
      <c r="B710" s="6" t="inlineStr">
        <is>
          <t>ทินเนอร์ Extra Slow New 5L. (ใส่ผสมกับทินเนอร์)</t>
        </is>
      </c>
      <c r="C710" s="8" t="inlineStr">
        <is>
          <t>12 กล.</t>
        </is>
      </c>
      <c r="D710" s="9" t="n">
        <v>660</v>
      </c>
      <c r="H710" s="9" t="n">
        <v>7920</v>
      </c>
      <c r="I710" s="10" t="inlineStr">
        <is>
          <t>ทรัพย์สินไทย</t>
        </is>
      </c>
      <c r="J710" s="161" t="n">
        <v>23062</v>
      </c>
      <c r="L710" s="8" t="inlineStr">
        <is>
          <t>ราคาที่ลง ยังไม่รวมภาษี</t>
        </is>
      </c>
    </row>
    <row r="711">
      <c r="A711" s="70" t="n"/>
      <c r="B711" s="6" t="inlineStr">
        <is>
          <t>ทินเนอร์ Extra Slow New 5L. (ใส่ผสมกับทินเนอร์)</t>
        </is>
      </c>
      <c r="C711" s="8" t="inlineStr">
        <is>
          <t>12 กล.</t>
        </is>
      </c>
      <c r="D711" s="9" t="n">
        <v>660</v>
      </c>
      <c r="H711" s="9" t="n">
        <v>7920</v>
      </c>
      <c r="I711" s="10" t="inlineStr">
        <is>
          <t>ทรัพย์สินไทย</t>
        </is>
      </c>
      <c r="J711" s="161" t="n">
        <v>23216</v>
      </c>
      <c r="L711" s="8" t="inlineStr">
        <is>
          <t>ราคาที่ลง ยังไม่รวมภาษี</t>
        </is>
      </c>
    </row>
    <row r="712">
      <c r="A712" s="70" t="n"/>
      <c r="B712" s="6" t="inlineStr">
        <is>
          <t>ทินเนอร์ Extra Slow New 5L. (ใส่ผสมกับทินเนอร์)</t>
        </is>
      </c>
      <c r="C712" s="8" t="inlineStr">
        <is>
          <t>12 กล.</t>
        </is>
      </c>
      <c r="D712" s="9" t="n">
        <v>660</v>
      </c>
      <c r="H712" s="9" t="n">
        <v>7920</v>
      </c>
      <c r="I712" s="10" t="inlineStr">
        <is>
          <t>ทรัพย์สินไทย</t>
        </is>
      </c>
      <c r="J712" s="161" t="n">
        <v>23247</v>
      </c>
      <c r="L712" s="8" t="inlineStr">
        <is>
          <t>ราคาที่ลง ยังไม่รวมภาษี</t>
        </is>
      </c>
    </row>
    <row r="713">
      <c r="A713" s="70" t="n"/>
      <c r="B713" s="6" t="inlineStr">
        <is>
          <t>ทินเนอร์ Extra Slow New 5L. (ใส่ผสมกับทินเนอร์)</t>
        </is>
      </c>
      <c r="C713" s="8" t="inlineStr">
        <is>
          <t>12 กล.</t>
        </is>
      </c>
      <c r="D713" s="9" t="n">
        <v>660</v>
      </c>
      <c r="H713" s="9" t="n">
        <v>7920</v>
      </c>
      <c r="I713" s="10" t="inlineStr">
        <is>
          <t>ทรัพย์สินไทย</t>
        </is>
      </c>
      <c r="J713" s="161" t="n">
        <v>23337</v>
      </c>
      <c r="L713" s="8" t="inlineStr">
        <is>
          <t>ราคาที่ลง ยังไม่รวมภาษี</t>
        </is>
      </c>
    </row>
    <row r="714">
      <c r="A714" s="70" t="n"/>
      <c r="B714" s="6" t="inlineStr">
        <is>
          <t>ทินเนอร์ Extra Slow New 5L. (ใส่ผสมกับทินเนอร์)</t>
        </is>
      </c>
      <c r="C714" s="8" t="inlineStr">
        <is>
          <t>8 กล.</t>
        </is>
      </c>
      <c r="D714" s="9" t="n">
        <v>660</v>
      </c>
      <c r="H714" s="9" t="n">
        <v>5280</v>
      </c>
      <c r="I714" s="10" t="inlineStr">
        <is>
          <t>ทรัพย์สินไทย</t>
        </is>
      </c>
      <c r="J714" s="161" t="n">
        <v>23340</v>
      </c>
      <c r="L714" s="8" t="inlineStr">
        <is>
          <t>ราคาที่ลง ยังไม่รวมภาษี</t>
        </is>
      </c>
    </row>
    <row r="715">
      <c r="A715" s="70" t="n"/>
      <c r="B715" s="6" t="inlineStr">
        <is>
          <t>ทินเนอร์ Extra Slow New 5L. (ใส่ผสมกับทินเนอร์)</t>
        </is>
      </c>
      <c r="C715" s="8" t="inlineStr">
        <is>
          <t>12 กล.</t>
        </is>
      </c>
      <c r="D715" s="9" t="n">
        <v>660</v>
      </c>
      <c r="H715" s="9" t="n">
        <v>7920</v>
      </c>
      <c r="I715" s="10" t="inlineStr">
        <is>
          <t>ทรัพย์สินไทย</t>
        </is>
      </c>
      <c r="J715" s="161" t="n">
        <v>23366</v>
      </c>
      <c r="L715" s="8" t="inlineStr">
        <is>
          <t>ราคาที่ลง ยังไม่รวมภาษี</t>
        </is>
      </c>
    </row>
    <row r="716">
      <c r="A716" s="70" t="n"/>
      <c r="B716" s="6" t="inlineStr">
        <is>
          <t>ทินเนอร์ Extra Slow New 5L. (ใส่ผสมกับทินเนอร์)</t>
        </is>
      </c>
      <c r="C716" s="8" t="inlineStr">
        <is>
          <t>12 กล.</t>
        </is>
      </c>
      <c r="D716" s="9" t="n">
        <v>660</v>
      </c>
      <c r="H716" s="9" t="n">
        <v>7920</v>
      </c>
      <c r="I716" s="10" t="inlineStr">
        <is>
          <t>ทรัพย์สินไทย</t>
        </is>
      </c>
      <c r="J716" s="161" t="n">
        <v>23433</v>
      </c>
      <c r="L716" s="8" t="inlineStr">
        <is>
          <t>ราคาที่ลง ยังไม่รวมภาษี</t>
        </is>
      </c>
    </row>
    <row r="717">
      <c r="A717" s="70" t="n"/>
      <c r="B717" s="6" t="inlineStr">
        <is>
          <t>ทินเนอร์ Extra Slow New 5L. (ใส่ผสมกับทินเนอร์)</t>
        </is>
      </c>
      <c r="C717" s="8" t="inlineStr">
        <is>
          <t>12 กล.</t>
        </is>
      </c>
      <c r="D717" s="9" t="n">
        <v>660</v>
      </c>
      <c r="H717" s="9" t="n">
        <v>7920</v>
      </c>
      <c r="I717" s="10" t="inlineStr">
        <is>
          <t>ทรัพย์สินไทย</t>
        </is>
      </c>
      <c r="J717" s="161" t="n">
        <v>23460</v>
      </c>
      <c r="L717" s="8" t="inlineStr">
        <is>
          <t>ราคาที่ลง ยังไม่รวมภาษี</t>
        </is>
      </c>
    </row>
    <row r="718">
      <c r="A718" s="70" t="n"/>
      <c r="B718" s="6" t="inlineStr">
        <is>
          <t>ทินเนอร์ Extra Slow New 5L. (ใส่ผสมกับทินเนอร์)</t>
        </is>
      </c>
      <c r="C718" s="8" t="inlineStr">
        <is>
          <t>12 กล.</t>
        </is>
      </c>
      <c r="D718" s="9" t="n">
        <v>660</v>
      </c>
      <c r="H718" s="9" t="n">
        <v>7920</v>
      </c>
      <c r="I718" s="10" t="inlineStr">
        <is>
          <t>ทรัพย์สินไทย</t>
        </is>
      </c>
      <c r="J718" s="161" t="n">
        <v>23546</v>
      </c>
      <c r="L718" s="8" t="inlineStr">
        <is>
          <t>ราคาที่ลง ยังไม่รวมภาษี</t>
        </is>
      </c>
    </row>
    <row r="719">
      <c r="A719" s="70" t="n"/>
      <c r="B719" s="6" t="inlineStr">
        <is>
          <t>ทินเนอร์ Extra Slow New 5L. (ใส่ผสมกับทินเนอร์)</t>
        </is>
      </c>
      <c r="C719" s="8" t="inlineStr">
        <is>
          <t>12 กล.</t>
        </is>
      </c>
      <c r="D719" s="9" t="n">
        <v>660</v>
      </c>
      <c r="H719" s="9" t="n">
        <v>7920</v>
      </c>
      <c r="I719" s="10" t="inlineStr">
        <is>
          <t>ทรัพย์สินไทย</t>
        </is>
      </c>
      <c r="J719" s="161" t="n">
        <v>23615</v>
      </c>
      <c r="L719" s="8" t="inlineStr">
        <is>
          <t>ราคาที่ลง ยังไม่รวมภาษี</t>
        </is>
      </c>
    </row>
    <row r="720">
      <c r="A720" s="70" t="n"/>
      <c r="B720" s="6" t="inlineStr">
        <is>
          <t>ทินเนอร์ Extra Slow New 5L. (ใส่ผสมกับทินเนอร์)</t>
        </is>
      </c>
      <c r="C720" s="8" t="inlineStr">
        <is>
          <t>12 กล.</t>
        </is>
      </c>
      <c r="D720" s="9" t="n">
        <v>660</v>
      </c>
      <c r="H720" s="9" t="n">
        <v>7920</v>
      </c>
      <c r="I720" s="10" t="inlineStr">
        <is>
          <t>ทรัพย์สินไทย</t>
        </is>
      </c>
      <c r="J720" s="161" t="n">
        <v>23704</v>
      </c>
      <c r="K720" s="8" t="inlineStr">
        <is>
          <t>IV6411321</t>
        </is>
      </c>
      <c r="L720" s="8" t="inlineStr">
        <is>
          <t>ราคาที่ลง ยังไม่รวมภาษี</t>
        </is>
      </c>
    </row>
    <row r="721">
      <c r="A721" s="70" t="n"/>
      <c r="B721" s="6" t="inlineStr">
        <is>
          <t>ทินเนอร์ Extra Slow New 5L. (ใส่ผสมกับทินเนอร์)</t>
        </is>
      </c>
      <c r="C721" s="8" t="inlineStr">
        <is>
          <t>12 กล.</t>
        </is>
      </c>
      <c r="D721" s="9" t="n">
        <v>660</v>
      </c>
      <c r="H721" s="9" t="n">
        <v>7920</v>
      </c>
      <c r="I721" s="10" t="inlineStr">
        <is>
          <t>ทรัพย์สินไทย</t>
        </is>
      </c>
      <c r="J721" s="161" t="n">
        <v>23733</v>
      </c>
      <c r="K721" s="8" t="inlineStr">
        <is>
          <t>IV6412301</t>
        </is>
      </c>
      <c r="L721" s="8" t="inlineStr">
        <is>
          <t>ราคาที่ลง ยังไม่รวมภาษี</t>
        </is>
      </c>
    </row>
    <row r="722">
      <c r="A722" s="70" t="n"/>
      <c r="B722" s="6" t="inlineStr">
        <is>
          <t>ทินเนอร์ Extra Slow New 5L. (ใส่ผสมกับทินเนอร์)</t>
        </is>
      </c>
      <c r="C722" s="8" t="inlineStr">
        <is>
          <t>8 กล.</t>
        </is>
      </c>
      <c r="D722" s="9" t="n">
        <v>660</v>
      </c>
      <c r="H722" s="9" t="n">
        <v>5280</v>
      </c>
      <c r="I722" s="10" t="inlineStr">
        <is>
          <t>ทรัพย์สินไทย</t>
        </is>
      </c>
      <c r="J722" s="161" t="n">
        <v>23763</v>
      </c>
      <c r="K722" s="8" t="inlineStr">
        <is>
          <t>IV6501226</t>
        </is>
      </c>
      <c r="L722" s="8" t="inlineStr">
        <is>
          <t>ราคาที่ลง ยังไม่รวมภาษี</t>
        </is>
      </c>
    </row>
    <row r="723">
      <c r="A723" s="70" t="n"/>
      <c r="B723" s="6" t="inlineStr">
        <is>
          <t>ทินเนอร์ Extra Slow New 5L. (ใส่ผสมกับทินเนอร์)</t>
        </is>
      </c>
      <c r="C723" s="8" t="inlineStr">
        <is>
          <t>8 กล.</t>
        </is>
      </c>
      <c r="D723" s="9" t="n">
        <v>660</v>
      </c>
      <c r="H723" s="9" t="n">
        <v>5280</v>
      </c>
      <c r="I723" s="10" t="inlineStr">
        <is>
          <t>ทรัพย์สินไทย</t>
        </is>
      </c>
      <c r="J723" s="161" t="n">
        <v>23795</v>
      </c>
      <c r="K723" s="8" t="inlineStr">
        <is>
          <t>IV6502260</t>
        </is>
      </c>
      <c r="L723" s="8" t="inlineStr">
        <is>
          <t>ราคาที่ลง ยังไม่รวมภาษี</t>
        </is>
      </c>
    </row>
    <row r="724">
      <c r="A724" s="70" t="n"/>
      <c r="B724" s="6" t="inlineStr">
        <is>
          <t>ทินเนอร์ Extra Slow New 5L. (ใส่ผสมกับทินเนอร์)</t>
        </is>
      </c>
      <c r="C724" s="8" t="inlineStr">
        <is>
          <t>4 กล.</t>
        </is>
      </c>
      <c r="D724" s="9" t="n">
        <v>660</v>
      </c>
      <c r="H724" s="9" t="n">
        <v>2640</v>
      </c>
      <c r="I724" s="10" t="inlineStr">
        <is>
          <t>ทรัพย์สินไทย</t>
        </is>
      </c>
      <c r="J724" s="161" t="n">
        <v>23819</v>
      </c>
      <c r="K724" s="8" t="inlineStr">
        <is>
          <t>IV6503254</t>
        </is>
      </c>
      <c r="L724" s="8" t="inlineStr">
        <is>
          <t>ราคาที่ลง ยังไม่รวมภาษี</t>
        </is>
      </c>
    </row>
    <row r="725">
      <c r="A725" s="70" t="n"/>
      <c r="B725" s="6" t="inlineStr">
        <is>
          <t>ทินเนอร์ Extra Slow New 5L. (ใส่ผสมกับทินเนอร์)</t>
        </is>
      </c>
      <c r="C725" s="8" t="inlineStr">
        <is>
          <t>8 กล.</t>
        </is>
      </c>
      <c r="D725" s="9" t="n">
        <v>660</v>
      </c>
      <c r="H725" s="9" t="n">
        <v>7920</v>
      </c>
      <c r="I725" s="10" t="inlineStr">
        <is>
          <t>ทรัพย์สินไทย</t>
        </is>
      </c>
      <c r="J725" s="161" t="n">
        <v>23824</v>
      </c>
      <c r="K725" s="8" t="inlineStr">
        <is>
          <t>IV6503299</t>
        </is>
      </c>
      <c r="L725" s="8" t="inlineStr">
        <is>
          <t>ราคาที่ลง ยังไม่รวมภาษี</t>
        </is>
      </c>
    </row>
    <row r="726">
      <c r="A726" s="70" t="n"/>
      <c r="B726" s="6" t="inlineStr">
        <is>
          <t>ทินเนอร์ Extra Slow New 5L. (ใส่ผสมกับทินเนอร์)</t>
        </is>
      </c>
      <c r="C726" s="8" t="inlineStr">
        <is>
          <t>8 กล.</t>
        </is>
      </c>
      <c r="D726" s="9" t="n">
        <v>660</v>
      </c>
      <c r="H726" s="9" t="n">
        <v>5280</v>
      </c>
      <c r="I726" s="10" t="inlineStr">
        <is>
          <t>ทรัพย์สินไทย</t>
        </is>
      </c>
      <c r="J726" s="161" t="n">
        <v>23859</v>
      </c>
      <c r="K726" s="8" t="inlineStr">
        <is>
          <t>IV6504237</t>
        </is>
      </c>
      <c r="L726" s="8" t="inlineStr">
        <is>
          <t>ราคาที่ลง ยังไม่รวมภาษี</t>
        </is>
      </c>
    </row>
    <row r="727">
      <c r="A727" s="70" t="n"/>
      <c r="B727" s="6" t="inlineStr">
        <is>
          <t>ทินเนอร์ Extra Slow New 5L. (ใส่ผสมกับทินเนอร์)</t>
        </is>
      </c>
      <c r="C727" s="8" t="inlineStr">
        <is>
          <t>12 กล.</t>
        </is>
      </c>
      <c r="D727" s="9" t="n">
        <v>740</v>
      </c>
      <c r="H727" s="9" t="n">
        <v>8880</v>
      </c>
      <c r="I727" s="10" t="inlineStr">
        <is>
          <t>ทรัพย์สินไทย</t>
        </is>
      </c>
      <c r="J727" s="161" t="n">
        <v>23887</v>
      </c>
      <c r="K727" s="8" t="inlineStr">
        <is>
          <t>IV6505292</t>
        </is>
      </c>
      <c r="L727" s="8" t="inlineStr">
        <is>
          <t>ราคาที่ลง ยังไม่รวมภาษี</t>
        </is>
      </c>
    </row>
    <row r="730">
      <c r="A730" s="66" t="inlineStr">
        <is>
          <t>ยาขัด</t>
        </is>
      </c>
      <c r="B730" s="6" t="inlineStr">
        <is>
          <t>ยาขัดสีแห้งช้า Lezzon Extre 100 กล.</t>
        </is>
      </c>
      <c r="C730" s="8" t="inlineStr">
        <is>
          <t>8กล.</t>
        </is>
      </c>
      <c r="D730" s="9" t="n">
        <v>815</v>
      </c>
      <c r="F730" s="8" t="n">
        <v>20</v>
      </c>
      <c r="H730" s="9" t="n">
        <v>5216</v>
      </c>
      <c r="I730" s="10" t="inlineStr">
        <is>
          <t>ไทยนคร</t>
        </is>
      </c>
      <c r="J730" s="161" t="n">
        <v>22341</v>
      </c>
      <c r="L730" s="8" t="inlineStr">
        <is>
          <t>ราคาที่ระบุเป็นก่อนหักส่วนลด</t>
        </is>
      </c>
    </row>
    <row r="731">
      <c r="B731" s="6" t="inlineStr">
        <is>
          <t>ยาขัดสีแห้งช้า Lezzon Extre 100 กล.</t>
        </is>
      </c>
      <c r="C731" s="8" t="inlineStr">
        <is>
          <t>8กล.</t>
        </is>
      </c>
      <c r="D731" s="9" t="n">
        <v>815</v>
      </c>
      <c r="F731" s="8" t="n">
        <v>20</v>
      </c>
      <c r="H731" s="9" t="n">
        <v>5216</v>
      </c>
      <c r="I731" s="10" t="inlineStr">
        <is>
          <t>ไทยนคร</t>
        </is>
      </c>
      <c r="J731" s="161" t="n">
        <v>22376</v>
      </c>
      <c r="L731" s="8" t="inlineStr">
        <is>
          <t>ราคาที่ระบุเป็นก่อนหักส่วนลด</t>
        </is>
      </c>
    </row>
    <row r="732">
      <c r="B732" s="6" t="inlineStr">
        <is>
          <t>ยาขัดสีแห้งช้า Lezzon Extre 100 กล.</t>
        </is>
      </c>
      <c r="C732" s="8" t="inlineStr">
        <is>
          <t>4กล.</t>
        </is>
      </c>
      <c r="D732" s="9" t="n">
        <v>815</v>
      </c>
      <c r="F732" s="8" t="n">
        <v>20</v>
      </c>
      <c r="H732" s="9" t="n">
        <v>3260</v>
      </c>
      <c r="I732" s="10" t="inlineStr">
        <is>
          <t>ไทยนคร</t>
        </is>
      </c>
      <c r="J732" s="161" t="n">
        <v>22415</v>
      </c>
      <c r="L732" s="8" t="inlineStr">
        <is>
          <t>ราคาที่ระบุเป็นก่อนหักส่วนลด</t>
        </is>
      </c>
    </row>
    <row r="733">
      <c r="B733" s="6" t="inlineStr">
        <is>
          <t>ยาขัดสีแห้งช้า Lezzon Extre 100 กล.</t>
        </is>
      </c>
      <c r="C733" s="8" t="inlineStr">
        <is>
          <t>4กล.</t>
        </is>
      </c>
      <c r="D733" s="9" t="n">
        <v>815</v>
      </c>
      <c r="F733" s="8" t="n">
        <v>20</v>
      </c>
      <c r="H733" s="9" t="n">
        <v>3260</v>
      </c>
      <c r="I733" s="10" t="inlineStr">
        <is>
          <t>ไทยนคร</t>
        </is>
      </c>
      <c r="J733" s="161" t="n">
        <v>22467</v>
      </c>
      <c r="L733" s="8" t="inlineStr">
        <is>
          <t>ราคาที่ระบุเป็นก่อนหักส่วนลด</t>
        </is>
      </c>
    </row>
    <row r="735">
      <c r="B735" s="6" t="inlineStr">
        <is>
          <t>ยาขัดเงา 6064</t>
        </is>
      </c>
      <c r="C735" s="8" t="inlineStr">
        <is>
          <t>3ขวด</t>
        </is>
      </c>
      <c r="D735" s="9" t="n">
        <v>635</v>
      </c>
      <c r="H735" s="9" t="n">
        <v>1905</v>
      </c>
      <c r="I735" s="10" t="inlineStr">
        <is>
          <t>ทาเลนท์</t>
        </is>
      </c>
      <c r="J735" s="161" t="n">
        <v>22871</v>
      </c>
      <c r="L735" s="8" t="inlineStr">
        <is>
          <t>ราคาที่ลง ยังไม่รวมภาษี</t>
        </is>
      </c>
    </row>
    <row r="736">
      <c r="B736" s="6" t="inlineStr">
        <is>
          <t>ยาขัดเงา 6064</t>
        </is>
      </c>
      <c r="C736" s="8" t="inlineStr">
        <is>
          <t>3ขวด</t>
        </is>
      </c>
      <c r="D736" s="9" t="n">
        <v>635</v>
      </c>
      <c r="H736" s="9" t="n">
        <v>1905</v>
      </c>
      <c r="I736" s="10" t="inlineStr">
        <is>
          <t>ทาเลนท์</t>
        </is>
      </c>
      <c r="J736" s="161" t="n">
        <v>22941</v>
      </c>
      <c r="L736" s="8" t="inlineStr">
        <is>
          <t>ราคาที่ลง ยังไม่รวมภาษี</t>
        </is>
      </c>
    </row>
    <row r="737">
      <c r="B737" s="6" t="inlineStr">
        <is>
          <t>ยาขัดเงา 6064</t>
        </is>
      </c>
      <c r="C737" s="8" t="inlineStr">
        <is>
          <t>2ขวด</t>
        </is>
      </c>
      <c r="D737" s="9" t="n">
        <v>635</v>
      </c>
      <c r="H737" s="9" t="n">
        <v>1270</v>
      </c>
      <c r="I737" s="10" t="inlineStr">
        <is>
          <t>ทาเลนท์</t>
        </is>
      </c>
      <c r="J737" s="161" t="n">
        <v>23331</v>
      </c>
      <c r="L737" s="8" t="inlineStr">
        <is>
          <t>ราคาที่ลง ยังไม่รวมภาษี</t>
        </is>
      </c>
    </row>
    <row r="739">
      <c r="B739" s="6" t="inlineStr">
        <is>
          <t>ยาขัดเงาแห้งช้า 3M เบอร์ 13084</t>
        </is>
      </c>
      <c r="C739" s="8" t="inlineStr">
        <is>
          <t>11ขวด</t>
        </is>
      </c>
      <c r="D739" s="9" t="n">
        <v>290</v>
      </c>
      <c r="H739" s="9" t="n">
        <v>3190</v>
      </c>
      <c r="I739" s="10" t="inlineStr">
        <is>
          <t>ไทยนคร</t>
        </is>
      </c>
      <c r="J739" s="161" t="n">
        <v>22341</v>
      </c>
      <c r="L739" s="8" t="inlineStr">
        <is>
          <t>แถม 1 ขวด</t>
        </is>
      </c>
    </row>
    <row r="740">
      <c r="B740" s="6" t="inlineStr">
        <is>
          <t>ยาขัดเงาแห้งช้า 3M เบอร์ 13084</t>
        </is>
      </c>
      <c r="C740" s="8" t="inlineStr">
        <is>
          <t>11ขวด</t>
        </is>
      </c>
      <c r="D740" s="9" t="n">
        <v>290</v>
      </c>
      <c r="H740" s="9" t="n">
        <v>3190</v>
      </c>
      <c r="I740" s="10" t="inlineStr">
        <is>
          <t>ไทยนคร</t>
        </is>
      </c>
      <c r="J740" s="161" t="n">
        <v>22376</v>
      </c>
      <c r="L740" s="8" t="inlineStr">
        <is>
          <t>แถม 1 ขวด</t>
        </is>
      </c>
    </row>
    <row r="741">
      <c r="B741" s="6" t="inlineStr">
        <is>
          <t>ยาขัดเงาแห้งช้า 3M เบอร์ 13084</t>
        </is>
      </c>
      <c r="C741" s="8" t="inlineStr">
        <is>
          <t>11ขวด</t>
        </is>
      </c>
      <c r="D741" s="9" t="n">
        <v>290</v>
      </c>
      <c r="H741" s="9" t="n">
        <v>3190</v>
      </c>
      <c r="I741" s="10" t="inlineStr">
        <is>
          <t>ไทยนคร</t>
        </is>
      </c>
      <c r="J741" s="161" t="n">
        <v>22415</v>
      </c>
      <c r="L741" s="8" t="inlineStr">
        <is>
          <t>แถม 1 ขวด</t>
        </is>
      </c>
    </row>
    <row r="742">
      <c r="B742" s="6" t="inlineStr">
        <is>
          <t>ยาขัดเงาแห้งช้า 3M เบอร์ 13084</t>
        </is>
      </c>
      <c r="C742" s="8" t="inlineStr">
        <is>
          <t>11ขวด</t>
        </is>
      </c>
      <c r="D742" s="9" t="n">
        <v>290</v>
      </c>
      <c r="H742" s="9" t="n">
        <v>3190</v>
      </c>
      <c r="I742" s="10" t="inlineStr">
        <is>
          <t>ไทยนคร</t>
        </is>
      </c>
      <c r="J742" s="161" t="n">
        <v>22467</v>
      </c>
      <c r="L742" s="8" t="inlineStr">
        <is>
          <t>แถม 1 ขวด</t>
        </is>
      </c>
    </row>
    <row r="744">
      <c r="B744" s="6" t="inlineStr">
        <is>
          <t>ยาขัดเงาฝาแดง 3M</t>
        </is>
      </c>
      <c r="C744" s="8" t="inlineStr">
        <is>
          <t>12ขวด</t>
        </is>
      </c>
      <c r="D744" s="9" t="n">
        <v>265</v>
      </c>
      <c r="H744" s="9" t="n">
        <v>3180</v>
      </c>
      <c r="I744" s="10" t="inlineStr">
        <is>
          <t>ทาเลนท์</t>
        </is>
      </c>
      <c r="J744" s="161" t="n">
        <v>23094</v>
      </c>
      <c r="L744" s="8" t="inlineStr">
        <is>
          <t>ราคายังไม่รวม VAT 7%</t>
        </is>
      </c>
    </row>
    <row r="745">
      <c r="B745" s="6" t="inlineStr">
        <is>
          <t>ยาขัดเงาฝาแดง 3M</t>
        </is>
      </c>
      <c r="C745" s="8" t="inlineStr">
        <is>
          <t>6ขวด</t>
        </is>
      </c>
      <c r="D745" s="9" t="n">
        <v>235</v>
      </c>
      <c r="H745" s="9" t="n">
        <v>1410</v>
      </c>
      <c r="I745" s="10" t="inlineStr">
        <is>
          <t>ทาเลนท์</t>
        </is>
      </c>
      <c r="J745" s="161" t="n">
        <v>23125</v>
      </c>
      <c r="L745" s="8" t="inlineStr">
        <is>
          <t>ราคายังไม่รวม VAT 7%</t>
        </is>
      </c>
    </row>
    <row r="746">
      <c r="B746" s="6" t="inlineStr">
        <is>
          <t>ยาขัดเงาฝาแดง 3M</t>
        </is>
      </c>
      <c r="C746" s="8" t="inlineStr">
        <is>
          <t>6ขวด</t>
        </is>
      </c>
      <c r="D746" s="9" t="n">
        <v>235</v>
      </c>
      <c r="H746" s="9" t="n">
        <v>1410</v>
      </c>
      <c r="I746" s="10" t="inlineStr">
        <is>
          <t>ทาเลนท์</t>
        </is>
      </c>
      <c r="J746" s="161" t="n">
        <v>23212</v>
      </c>
      <c r="L746" s="8" t="inlineStr">
        <is>
          <t>ราคายังไม่รวม VAT 7%</t>
        </is>
      </c>
    </row>
    <row r="747">
      <c r="B747" s="6" t="inlineStr">
        <is>
          <t>ยาขัดเงาฝาแดง 3M</t>
        </is>
      </c>
      <c r="C747" s="8" t="inlineStr">
        <is>
          <t>6ขวด</t>
        </is>
      </c>
      <c r="D747" s="9" t="n">
        <v>235</v>
      </c>
      <c r="H747" s="9" t="n">
        <v>1410</v>
      </c>
      <c r="I747" s="10" t="inlineStr">
        <is>
          <t>ทาเลนท์</t>
        </is>
      </c>
      <c r="J747" s="161" t="n">
        <v>23244</v>
      </c>
      <c r="L747" s="8" t="inlineStr">
        <is>
          <t>ราคายังไม่รวม VAT 7%</t>
        </is>
      </c>
    </row>
    <row r="748">
      <c r="B748" s="6" t="inlineStr">
        <is>
          <t>ยาขัดเงาฝาแดง 3M</t>
        </is>
      </c>
      <c r="C748" s="8" t="inlineStr">
        <is>
          <t>6ขวด</t>
        </is>
      </c>
      <c r="D748" s="9" t="n">
        <v>235</v>
      </c>
      <c r="H748" s="9" t="n">
        <v>1410</v>
      </c>
      <c r="I748" s="10" t="inlineStr">
        <is>
          <t>ทาเลนท์</t>
        </is>
      </c>
      <c r="J748" s="161" t="n">
        <v>23272</v>
      </c>
      <c r="L748" s="8" t="inlineStr">
        <is>
          <t>ราคายังไม่รวม VAT 7%</t>
        </is>
      </c>
    </row>
    <row r="749">
      <c r="B749" s="6" t="inlineStr">
        <is>
          <t>ยาขัดเงาฝาแดง 3M</t>
        </is>
      </c>
      <c r="C749" s="8" t="inlineStr">
        <is>
          <t>6ขวด</t>
        </is>
      </c>
      <c r="D749" s="9" t="n">
        <v>235</v>
      </c>
      <c r="H749" s="9" t="n">
        <v>1410</v>
      </c>
      <c r="I749" s="10" t="inlineStr">
        <is>
          <t>ทาเลนท์</t>
        </is>
      </c>
      <c r="J749" s="161" t="n">
        <v>23349</v>
      </c>
      <c r="L749" s="8" t="inlineStr">
        <is>
          <t>ราคายังไม่รวม VAT 7%</t>
        </is>
      </c>
    </row>
    <row r="750">
      <c r="B750" s="6" t="inlineStr">
        <is>
          <t>ยาขัดเงาฝาแดง 3M</t>
        </is>
      </c>
      <c r="C750" s="8" t="inlineStr">
        <is>
          <t>12ขวด</t>
        </is>
      </c>
      <c r="D750" s="9" t="n">
        <v>235</v>
      </c>
      <c r="H750" s="9" t="n">
        <v>2820</v>
      </c>
      <c r="I750" s="10" t="inlineStr">
        <is>
          <t>ทาเลนท์</t>
        </is>
      </c>
      <c r="J750" s="161" t="n">
        <v>23409</v>
      </c>
      <c r="L750" s="8" t="inlineStr">
        <is>
          <t>ราคายังไม่รวม VAT 7%</t>
        </is>
      </c>
    </row>
    <row r="751">
      <c r="B751" s="6" t="inlineStr">
        <is>
          <t>ยาขัดเงาฝาแดง 3M</t>
        </is>
      </c>
      <c r="C751" s="8" t="inlineStr">
        <is>
          <t>6ขวด</t>
        </is>
      </c>
      <c r="D751" s="9" t="n">
        <v>235</v>
      </c>
      <c r="H751" s="9" t="n">
        <v>1410</v>
      </c>
      <c r="I751" s="10" t="inlineStr">
        <is>
          <t>ทาเลนท์</t>
        </is>
      </c>
      <c r="J751" s="161" t="n">
        <v>23409</v>
      </c>
      <c r="L751" s="8" t="inlineStr">
        <is>
          <t>ราคายังไม่รวม VAT 7%</t>
        </is>
      </c>
    </row>
    <row r="752">
      <c r="B752" s="6" t="inlineStr">
        <is>
          <t>ยาขัดเงาฝาแดง 3M</t>
        </is>
      </c>
      <c r="C752" s="8" t="inlineStr">
        <is>
          <t>6ขวด</t>
        </is>
      </c>
      <c r="D752" s="9" t="n">
        <v>235</v>
      </c>
      <c r="H752" s="9" t="n">
        <v>1410</v>
      </c>
      <c r="I752" s="10" t="inlineStr">
        <is>
          <t>ทาเลนท์</t>
        </is>
      </c>
      <c r="J752" s="161" t="n">
        <v>23545</v>
      </c>
      <c r="K752" s="8" t="inlineStr">
        <is>
          <t>IV6406631</t>
        </is>
      </c>
      <c r="L752" s="8" t="inlineStr">
        <is>
          <t>ราคายังไม่รวม VAT 7%</t>
        </is>
      </c>
    </row>
    <row r="753">
      <c r="B753" s="6" t="inlineStr">
        <is>
          <t xml:space="preserve">ยาขัดเงาฝาแดง 3M </t>
        </is>
      </c>
      <c r="C753" s="8" t="inlineStr">
        <is>
          <t>12ขวด</t>
        </is>
      </c>
      <c r="D753" s="9" t="n">
        <v>235</v>
      </c>
      <c r="H753" s="9" t="n">
        <v>2820</v>
      </c>
      <c r="I753" s="10" t="inlineStr">
        <is>
          <t>ทาเลนท์</t>
        </is>
      </c>
      <c r="J753" s="161" t="n">
        <v>23658</v>
      </c>
      <c r="K753" s="8" t="inlineStr">
        <is>
          <t>IV6413092</t>
        </is>
      </c>
      <c r="L753" s="8" t="inlineStr">
        <is>
          <t>ราคายังไม่รวม VAT 7%</t>
        </is>
      </c>
    </row>
    <row r="754">
      <c r="B754" s="6" t="inlineStr">
        <is>
          <t xml:space="preserve">ยาขัดเงาฝาแดง 3M </t>
        </is>
      </c>
      <c r="C754" s="8" t="inlineStr">
        <is>
          <t>12ขวด</t>
        </is>
      </c>
      <c r="D754" s="9" t="n">
        <v>235</v>
      </c>
      <c r="H754" s="9" t="n">
        <v>2820</v>
      </c>
      <c r="I754" s="10" t="inlineStr">
        <is>
          <t>ทาเลนท์</t>
        </is>
      </c>
      <c r="J754" s="161" t="n">
        <v>23775</v>
      </c>
      <c r="K754" s="8" t="inlineStr">
        <is>
          <t>IV6502098</t>
        </is>
      </c>
      <c r="L754" s="8" t="inlineStr">
        <is>
          <t>ราคายังไม่รวม VAT 7%</t>
        </is>
      </c>
    </row>
    <row r="755">
      <c r="B755" s="6" t="inlineStr">
        <is>
          <t xml:space="preserve">ยาขัดเงาฝาแดง 3M </t>
        </is>
      </c>
      <c r="C755" s="8" t="inlineStr">
        <is>
          <t>6ขวด</t>
        </is>
      </c>
      <c r="D755" s="9" t="n">
        <v>235</v>
      </c>
      <c r="H755" s="9" t="n">
        <v>1410</v>
      </c>
      <c r="I755" s="10" t="inlineStr">
        <is>
          <t>ทาเลนท์</t>
        </is>
      </c>
      <c r="J755" s="161" t="n">
        <v>23829</v>
      </c>
      <c r="K755" s="8" t="inlineStr">
        <is>
          <t>IV6505825</t>
        </is>
      </c>
      <c r="L755" s="8" t="inlineStr">
        <is>
          <t>ราคายังไม่รวม VAT 7%</t>
        </is>
      </c>
    </row>
    <row r="756">
      <c r="B756" s="6" t="inlineStr">
        <is>
          <t xml:space="preserve">ยาขัดเงาฝาแดง 3M </t>
        </is>
      </c>
      <c r="C756" s="8" t="inlineStr">
        <is>
          <t>6ขวด</t>
        </is>
      </c>
      <c r="D756" s="9" t="n">
        <v>236</v>
      </c>
      <c r="H756" s="9" t="n">
        <v>1416</v>
      </c>
      <c r="I756" s="10" t="inlineStr">
        <is>
          <t>ทาเลนท์</t>
        </is>
      </c>
      <c r="J756" s="161" t="n">
        <v>23878</v>
      </c>
      <c r="K756" s="8" t="inlineStr">
        <is>
          <t>IB3000910</t>
        </is>
      </c>
      <c r="L756" s="8" t="inlineStr">
        <is>
          <t>ราคายังไม่รวม VAT 7%</t>
        </is>
      </c>
    </row>
    <row r="757">
      <c r="B757" s="6" t="inlineStr">
        <is>
          <t xml:space="preserve">ยาขัดเงาฝาแดง 3M </t>
        </is>
      </c>
      <c r="C757" s="8" t="inlineStr">
        <is>
          <t>12ขวด</t>
        </is>
      </c>
      <c r="D757" s="9" t="n">
        <v>248</v>
      </c>
      <c r="H757" s="9" t="n">
        <v>2976</v>
      </c>
      <c r="I757" s="10" t="inlineStr">
        <is>
          <t>ทาเลนท์</t>
        </is>
      </c>
      <c r="J757" s="161" t="n">
        <v>23930</v>
      </c>
      <c r="K757" s="8" t="inlineStr">
        <is>
          <t>IB3003750</t>
        </is>
      </c>
      <c r="L757" s="8" t="inlineStr">
        <is>
          <t>ราคายังไม่รวม VAT 7%</t>
        </is>
      </c>
    </row>
    <row r="758">
      <c r="B758" s="6" t="inlineStr">
        <is>
          <t xml:space="preserve">ยาขัดเงาฝาแดง 3M </t>
        </is>
      </c>
      <c r="C758" s="8" t="inlineStr">
        <is>
          <t>12ขวด</t>
        </is>
      </c>
      <c r="D758" s="9" t="n">
        <v>248</v>
      </c>
      <c r="H758" s="9" t="n">
        <v>2976</v>
      </c>
      <c r="I758" s="10" t="inlineStr">
        <is>
          <t>ทาเลนท์</t>
        </is>
      </c>
      <c r="J758" s="161" t="n">
        <v>24004</v>
      </c>
      <c r="K758" s="8" t="inlineStr">
        <is>
          <t>IV2204141</t>
        </is>
      </c>
      <c r="L758" s="8" t="inlineStr">
        <is>
          <t>ราคายังไม่รวม VAT 7%</t>
        </is>
      </c>
    </row>
    <row r="759">
      <c r="B759" s="6" t="inlineStr">
        <is>
          <t xml:space="preserve">ยาขัดเงาฝาแดง 3M </t>
        </is>
      </c>
      <c r="C759" s="8" t="inlineStr">
        <is>
          <t>12ขวด</t>
        </is>
      </c>
      <c r="D759" s="9" t="n">
        <v>273</v>
      </c>
      <c r="H759" s="9" t="n">
        <v>3276</v>
      </c>
      <c r="I759" s="10" t="inlineStr">
        <is>
          <t>ทาเลนท์</t>
        </is>
      </c>
      <c r="J759" s="161" t="n">
        <v>24082</v>
      </c>
      <c r="K759" s="8" t="inlineStr">
        <is>
          <t>IV2207853</t>
        </is>
      </c>
      <c r="L759" s="8" t="inlineStr">
        <is>
          <t>ราคายังไม่รวม VAT 7%</t>
        </is>
      </c>
    </row>
    <row r="760">
      <c r="B760" s="6" t="inlineStr">
        <is>
          <t xml:space="preserve">ยาขัดเงาฝาแดง 3M </t>
        </is>
      </c>
      <c r="C760" s="8" t="inlineStr">
        <is>
          <t>6ขวด</t>
        </is>
      </c>
      <c r="D760" s="9" t="n">
        <v>273</v>
      </c>
      <c r="H760" s="9" t="n">
        <v>1638</v>
      </c>
      <c r="I760" s="10" t="inlineStr">
        <is>
          <t>ทาเลนท์</t>
        </is>
      </c>
      <c r="J760" s="161" t="n">
        <v>24126</v>
      </c>
      <c r="K760" s="8" t="inlineStr">
        <is>
          <t>IB3005285</t>
        </is>
      </c>
      <c r="L760" s="8" t="inlineStr">
        <is>
          <t>ราคายังไม่รวม VAT 7%</t>
        </is>
      </c>
    </row>
    <row r="761">
      <c r="B761" s="6" t="inlineStr">
        <is>
          <t xml:space="preserve">ยาขัดเงาฝาแดง 3M </t>
        </is>
      </c>
      <c r="C761" s="8" t="inlineStr">
        <is>
          <t>12ขวด</t>
        </is>
      </c>
      <c r="D761" s="9" t="n">
        <v>273</v>
      </c>
      <c r="H761" s="9" t="n">
        <v>3276</v>
      </c>
      <c r="I761" s="10" t="inlineStr">
        <is>
          <t>ทาเลนท์</t>
        </is>
      </c>
      <c r="J761" s="161" t="n">
        <v>24250</v>
      </c>
      <c r="K761" s="8" t="inlineStr">
        <is>
          <t>IV2212637</t>
        </is>
      </c>
      <c r="L761" s="8" t="inlineStr">
        <is>
          <t>ราคายังไม่รวม VAT 7%</t>
        </is>
      </c>
    </row>
    <row r="762">
      <c r="B762" s="6" t="inlineStr">
        <is>
          <t xml:space="preserve">ยาขัดเงาฝาแดง 3M </t>
        </is>
      </c>
      <c r="C762" s="8" t="inlineStr">
        <is>
          <t>12ขวด</t>
        </is>
      </c>
      <c r="D762" s="9" t="n">
        <v>273</v>
      </c>
      <c r="H762" s="9" t="n">
        <v>3276</v>
      </c>
      <c r="I762" s="10" t="inlineStr">
        <is>
          <t>ทาเลนท์</t>
        </is>
      </c>
      <c r="J762" s="161" t="n">
        <v>24179</v>
      </c>
      <c r="K762" s="8" t="inlineStr">
        <is>
          <t>IB3008531</t>
        </is>
      </c>
      <c r="L762" s="8" t="inlineStr">
        <is>
          <t>ราคายังไม่รวม VAT 7%</t>
        </is>
      </c>
    </row>
    <row r="763">
      <c r="B763" s="6" t="inlineStr">
        <is>
          <t xml:space="preserve">ยาขัดเงาฝาแดง 3M </t>
        </is>
      </c>
      <c r="C763" s="8" t="inlineStr">
        <is>
          <t>6ขวด</t>
        </is>
      </c>
      <c r="D763" s="9" t="n">
        <v>273</v>
      </c>
      <c r="H763" s="9" t="n">
        <v>1638</v>
      </c>
      <c r="I763" s="10" t="inlineStr">
        <is>
          <t>ทาเลนท์</t>
        </is>
      </c>
      <c r="J763" s="161" t="n">
        <v>24229</v>
      </c>
      <c r="K763" s="8" t="inlineStr">
        <is>
          <t>IV2211226</t>
        </is>
      </c>
      <c r="L763" s="8" t="inlineStr">
        <is>
          <t>ราคายังไม่รวม VAT 7%</t>
        </is>
      </c>
    </row>
    <row r="764">
      <c r="B764" s="6" t="inlineStr">
        <is>
          <t xml:space="preserve">ยาขัดเงาฝาแดง 3M </t>
        </is>
      </c>
      <c r="C764" s="8" t="inlineStr">
        <is>
          <t>12ขวด</t>
        </is>
      </c>
      <c r="D764" s="9" t="n">
        <v>273</v>
      </c>
      <c r="H764" s="9" t="n">
        <v>3276</v>
      </c>
      <c r="I764" s="10" t="inlineStr">
        <is>
          <t>ทาเลนท์</t>
        </is>
      </c>
      <c r="J764" s="161" t="n">
        <v>24251</v>
      </c>
      <c r="K764" s="8" t="inlineStr">
        <is>
          <t>IV2212728</t>
        </is>
      </c>
      <c r="L764" s="8" t="inlineStr">
        <is>
          <t>ราคายังไม่รวม VAT 7%</t>
        </is>
      </c>
    </row>
    <row r="765">
      <c r="B765" s="6" t="inlineStr">
        <is>
          <t xml:space="preserve">ยาขัดเงาฝาแดง 3M </t>
        </is>
      </c>
      <c r="C765" s="8" t="inlineStr">
        <is>
          <t>24ขวด</t>
        </is>
      </c>
      <c r="D765" s="9" t="n">
        <v>275</v>
      </c>
      <c r="H765" s="9" t="n">
        <v>6600</v>
      </c>
      <c r="I765" s="10" t="inlineStr">
        <is>
          <t xml:space="preserve">บจก. วีที คัลเลอร์ โปร </t>
        </is>
      </c>
      <c r="J765" s="161" t="n">
        <v>24359</v>
      </c>
      <c r="K765" s="43" t="inlineStr">
        <is>
          <t>**โป๊วเจ้าอื่นมาให้ เลยขอเก็บเงินสด</t>
        </is>
      </c>
    </row>
    <row r="766">
      <c r="B766" s="6" t="inlineStr">
        <is>
          <t xml:space="preserve">ยาขัดเงาฝาแดง 3M </t>
        </is>
      </c>
      <c r="C766" s="8" t="n">
        <v>12</v>
      </c>
      <c r="D766" s="9" t="n">
        <v>273</v>
      </c>
      <c r="H766" s="9">
        <f>SUM(D766*C766)</f>
        <v/>
      </c>
      <c r="I766" s="10" t="inlineStr">
        <is>
          <t>ทาเลนท์</t>
        </is>
      </c>
      <c r="J766" s="161" t="n">
        <v>24525</v>
      </c>
      <c r="K766" s="36" t="inlineStr">
        <is>
          <t>IV2229289</t>
        </is>
      </c>
      <c r="L766" s="8" t="inlineStr">
        <is>
          <t>ราคายังไม่รวม VAT 7%</t>
        </is>
      </c>
    </row>
    <row r="767">
      <c r="B767" s="6" t="inlineStr">
        <is>
          <t xml:space="preserve">ยาขัดเงาฝาแดง 3M </t>
        </is>
      </c>
      <c r="C767" s="8" t="n">
        <v>12</v>
      </c>
      <c r="D767" s="9" t="n">
        <v>285</v>
      </c>
      <c r="H767" s="9">
        <f>SUM(D767*C767)</f>
        <v/>
      </c>
      <c r="I767" s="10" t="inlineStr">
        <is>
          <t>ทาเลนท์</t>
        </is>
      </c>
      <c r="J767" s="161" t="n">
        <v>24599</v>
      </c>
      <c r="K767" s="36" t="inlineStr">
        <is>
          <t>IV2233057</t>
        </is>
      </c>
      <c r="L767" s="8" t="inlineStr">
        <is>
          <t>ราคายังไม่รวม VAT 7%</t>
        </is>
      </c>
    </row>
    <row r="768">
      <c r="K768" s="36" t="n"/>
    </row>
    <row r="769">
      <c r="B769" s="6" t="inlineStr">
        <is>
          <t>ยาขัด Professional 905 3in1 (ขวดสีดำ/ป้ายน้ำเงิน) ขนาด 500ml.</t>
        </is>
      </c>
      <c r="C769" s="8" t="n">
        <v>6</v>
      </c>
      <c r="D769" s="9" t="n">
        <v>280</v>
      </c>
      <c r="H769" s="9">
        <f>SUM(D769*C769)</f>
        <v/>
      </c>
      <c r="I769" s="10" t="inlineStr">
        <is>
          <t xml:space="preserve">บจก. วีที คัลเลอร์ โปร </t>
        </is>
      </c>
      <c r="J769" s="161" t="n">
        <v>24729</v>
      </c>
      <c r="K769" s="36" t="inlineStr">
        <is>
          <t>IV6709078</t>
        </is>
      </c>
      <c r="L769" s="8" t="inlineStr">
        <is>
          <t>ราคายังไม่รวม VAT 7%</t>
        </is>
      </c>
    </row>
    <row r="770">
      <c r="B770" s="6" t="inlineStr">
        <is>
          <t>ยาขัด Professional 905 3in1 (ขวดสีดำ/ป้ายน้ำเงิน) ขนาด 500ml.</t>
        </is>
      </c>
      <c r="C770" s="8" t="n">
        <v>12</v>
      </c>
      <c r="D770" s="9" t="n">
        <v>280</v>
      </c>
      <c r="H770" s="9">
        <f>SUM(D770*C770)</f>
        <v/>
      </c>
      <c r="I770" s="10" t="inlineStr">
        <is>
          <t xml:space="preserve">บจก. วีที คัลเลอร์ โปร </t>
        </is>
      </c>
      <c r="J770" s="161" t="n">
        <v>24818</v>
      </c>
      <c r="K770" s="36" t="inlineStr">
        <is>
          <t>IV6712064</t>
        </is>
      </c>
      <c r="L770" s="8" t="inlineStr">
        <is>
          <t>ราคายังไม่รวม VAT 7%</t>
        </is>
      </c>
    </row>
    <row r="771">
      <c r="B771" s="6" t="inlineStr">
        <is>
          <t>ยาขัด Professional 905 3in1 (ขวดสีดำ/ป้ายน้ำเงิน) ขนาด 500ml.</t>
        </is>
      </c>
      <c r="C771" s="8" t="n">
        <v>6</v>
      </c>
      <c r="D771" s="9" t="n">
        <v>280</v>
      </c>
      <c r="E771" s="9">
        <f>SUM(C771*D771)</f>
        <v/>
      </c>
      <c r="H771" s="9">
        <f>SUM(E771*O771/N771)</f>
        <v/>
      </c>
      <c r="I771" s="10" t="inlineStr">
        <is>
          <t>บมจ. วีที คัลเลอร์ โปร</t>
        </is>
      </c>
      <c r="J771" s="161" t="n">
        <v>25014</v>
      </c>
      <c r="K771" s="8" t="inlineStr">
        <is>
          <t>IV6806162</t>
        </is>
      </c>
      <c r="N771" s="6" t="n">
        <v>100</v>
      </c>
      <c r="O771" s="6" t="n">
        <v>107</v>
      </c>
    </row>
    <row r="772">
      <c r="B772" s="6" t="inlineStr">
        <is>
          <t>ยาขัด Professional 905 3in1 (ขวดสีดำ/ป้ายน้ำเงิน) ขนาด 500ml.</t>
        </is>
      </c>
      <c r="C772" s="8" t="n">
        <v>4</v>
      </c>
      <c r="D772" s="9" t="n">
        <v>280</v>
      </c>
      <c r="E772" s="9">
        <f>SUM(C772*D772)</f>
        <v/>
      </c>
      <c r="H772" s="9">
        <f>SUM(E772*O772/N772)</f>
        <v/>
      </c>
      <c r="I772" s="10" t="inlineStr">
        <is>
          <t>บมจ. วีที คัลเลอร์ โปร</t>
        </is>
      </c>
      <c r="J772" s="161" t="n">
        <v>25092</v>
      </c>
      <c r="K772" s="8" t="inlineStr">
        <is>
          <t>IV6809080</t>
        </is>
      </c>
      <c r="N772" s="6" t="n">
        <v>100</v>
      </c>
      <c r="O772" s="6" t="n">
        <v>107</v>
      </c>
    </row>
    <row r="773">
      <c r="B773" s="6" t="inlineStr">
        <is>
          <t>ยาขัด Professional 905 3in1 (ขวดสีดำ/ป้ายน้ำเงิน) ขนาด 500ml.</t>
        </is>
      </c>
      <c r="C773" s="8" t="n">
        <v>6</v>
      </c>
      <c r="D773" s="9" t="n">
        <v>280</v>
      </c>
      <c r="E773" s="9">
        <f>SUM(C773*D773)</f>
        <v/>
      </c>
      <c r="H773" s="9">
        <f>SUM(E773*O773/N773)</f>
        <v/>
      </c>
      <c r="I773" s="10" t="inlineStr">
        <is>
          <t>บมจ. วีที คัลเลอร์ โปร</t>
        </is>
      </c>
      <c r="J773" s="161" t="n">
        <v>25138</v>
      </c>
      <c r="K773" s="8" t="inlineStr">
        <is>
          <t>IV6810167</t>
        </is>
      </c>
      <c r="N773" s="6" t="n">
        <v>100</v>
      </c>
      <c r="O773" s="6" t="n">
        <v>107</v>
      </c>
    </row>
    <row r="775">
      <c r="B775" s="6" t="inlineStr">
        <is>
          <t>ยาขัด Professional 905 3in1 (ขวดสีแดง/ป้ายสีแดง) ขนาด 500ml.</t>
        </is>
      </c>
      <c r="C775" s="8" t="n">
        <v>6</v>
      </c>
      <c r="D775" s="9" t="n">
        <v>280</v>
      </c>
      <c r="E775" s="9">
        <f>SUM(C775*D775)</f>
        <v/>
      </c>
      <c r="H775" s="9">
        <f>SUM(E775*O775/N775)</f>
        <v/>
      </c>
      <c r="I775" s="10" t="inlineStr">
        <is>
          <t>บมจ. วีที คัลเลอร์ โปร</t>
        </is>
      </c>
      <c r="J775" s="161" t="n">
        <v>25014</v>
      </c>
      <c r="K775" s="8" t="inlineStr">
        <is>
          <t>IV6806162</t>
        </is>
      </c>
      <c r="N775" s="6" t="n">
        <v>100</v>
      </c>
      <c r="O775" s="6" t="n">
        <v>107</v>
      </c>
    </row>
    <row r="776">
      <c r="B776" s="6" t="inlineStr">
        <is>
          <t>ยาขัด Professional 905 3in1 (ขวดสีแดง/ป้ายสีแดง) ขนาด 500ml.</t>
        </is>
      </c>
      <c r="C776" s="8" t="n">
        <v>2</v>
      </c>
      <c r="D776" s="9" t="n">
        <v>280</v>
      </c>
      <c r="E776" s="9">
        <f>SUM(C776*D776)</f>
        <v/>
      </c>
      <c r="H776" s="9">
        <f>SUM(E776*O776/N776)</f>
        <v/>
      </c>
      <c r="I776" s="10" t="inlineStr">
        <is>
          <t>บมจ. วีที คัลเลอร์ โปร</t>
        </is>
      </c>
      <c r="J776" s="161" t="n">
        <v>25092</v>
      </c>
      <c r="K776" s="8" t="inlineStr">
        <is>
          <t>IV6809080</t>
        </is>
      </c>
      <c r="N776" s="6" t="n">
        <v>100</v>
      </c>
      <c r="O776" s="6" t="n">
        <v>107</v>
      </c>
    </row>
    <row r="777">
      <c r="B777" s="6" t="inlineStr">
        <is>
          <t>ยาขัด Professional 905 3in1 (ขวดสีแดง/ป้ายสีแดง) ขนาด 500ml.</t>
        </is>
      </c>
      <c r="C777" s="8" t="n">
        <v>4</v>
      </c>
      <c r="D777" s="9" t="n">
        <v>280</v>
      </c>
      <c r="E777" s="9">
        <f>SUM(C777*D777)</f>
        <v/>
      </c>
      <c r="H777" s="9">
        <f>SUM(E777*O777/N777)</f>
        <v/>
      </c>
      <c r="I777" s="10" t="inlineStr">
        <is>
          <t>บมจ. วีที คัลเลอร์ โปร</t>
        </is>
      </c>
      <c r="J777" s="161" t="n">
        <v>25138</v>
      </c>
      <c r="K777" s="8" t="inlineStr">
        <is>
          <t>IV6810167</t>
        </is>
      </c>
      <c r="N777" s="6" t="n">
        <v>100</v>
      </c>
      <c r="O777" s="6" t="n">
        <v>107</v>
      </c>
    </row>
    <row r="779">
      <c r="B779" s="6" t="inlineStr">
        <is>
          <t>ยาขัดหยาบขาว ปีเตอร์ เบอร์ 202 กล.</t>
        </is>
      </c>
      <c r="C779" s="8" t="inlineStr">
        <is>
          <t>4กล.</t>
        </is>
      </c>
      <c r="D779" s="9" t="n">
        <v>220</v>
      </c>
      <c r="H779" s="9" t="n">
        <v>880</v>
      </c>
      <c r="I779" s="10" t="inlineStr">
        <is>
          <t>ไทยนคร</t>
        </is>
      </c>
      <c r="J779" s="161" t="n">
        <v>22415</v>
      </c>
    </row>
    <row r="780">
      <c r="B780" s="6" t="inlineStr">
        <is>
          <t>ยาขัดหยาบขาว ปีเตอร์ เบอร์ 202 กล.</t>
        </is>
      </c>
      <c r="C780" s="8" t="inlineStr">
        <is>
          <t>2กล.</t>
        </is>
      </c>
      <c r="D780" s="9" t="n">
        <v>220</v>
      </c>
      <c r="H780" s="9" t="n">
        <v>440</v>
      </c>
      <c r="I780" s="10" t="inlineStr">
        <is>
          <t>ไทยนคร</t>
        </is>
      </c>
      <c r="J780" s="161" t="n">
        <v>22802</v>
      </c>
    </row>
    <row r="781">
      <c r="B781" s="6" t="inlineStr">
        <is>
          <t>ยาขัดหยาบขาว ปีเตอร์ เบอร์ 202 กล.</t>
        </is>
      </c>
      <c r="C781" s="8" t="inlineStr">
        <is>
          <t>2กล.</t>
        </is>
      </c>
      <c r="D781" s="9" t="n">
        <v>250</v>
      </c>
      <c r="H781" s="9" t="n">
        <v>500</v>
      </c>
      <c r="I781" s="10" t="inlineStr">
        <is>
          <t>ไทยนคร</t>
        </is>
      </c>
      <c r="J781" s="161" t="n">
        <v>23040</v>
      </c>
    </row>
    <row r="782">
      <c r="B782" s="6" t="inlineStr">
        <is>
          <t>ยาขัดหยาบขาว ปีเตอร์ เบอร์ 202 กล.</t>
        </is>
      </c>
      <c r="C782" s="8" t="inlineStr">
        <is>
          <t>2กล.</t>
        </is>
      </c>
      <c r="D782" s="9" t="n">
        <v>250</v>
      </c>
      <c r="H782" s="9" t="n">
        <v>500</v>
      </c>
      <c r="I782" s="10" t="inlineStr">
        <is>
          <t>ไทยนคร</t>
        </is>
      </c>
      <c r="J782" s="161" t="n">
        <v>23108</v>
      </c>
    </row>
    <row r="784">
      <c r="B784" s="6" t="inlineStr">
        <is>
          <t>ยาขัดหยาบ Matrix -- แถม 1กล.+ผ้าคลุมรถ 5ผืน</t>
        </is>
      </c>
      <c r="C784" s="8" t="inlineStr">
        <is>
          <t>7กล.</t>
        </is>
      </c>
      <c r="D784" s="9" t="n">
        <v>780</v>
      </c>
      <c r="H784" s="9" t="n">
        <v>5460</v>
      </c>
      <c r="I784" s="10" t="inlineStr">
        <is>
          <t>ทรัพย์สิน</t>
        </is>
      </c>
      <c r="J784" s="161" t="n">
        <v>22790</v>
      </c>
      <c r="L784" s="8" t="inlineStr">
        <is>
          <t>ราคาที่ลง ยังไม่รวมภาษี</t>
        </is>
      </c>
    </row>
    <row r="785">
      <c r="B785" s="6" t="inlineStr">
        <is>
          <t>ยาขัดหยาบ Matrix -- แถม 1กล.+ผ้าคลุมรถ 5ผืน</t>
        </is>
      </c>
      <c r="C785" s="8" t="inlineStr">
        <is>
          <t>7กล.</t>
        </is>
      </c>
      <c r="D785" s="9" t="n">
        <v>780</v>
      </c>
      <c r="H785" s="9" t="n">
        <v>5460</v>
      </c>
      <c r="I785" s="10" t="inlineStr">
        <is>
          <t>ทรัพย์สิน</t>
        </is>
      </c>
      <c r="J785" s="161" t="n">
        <v>22851</v>
      </c>
      <c r="L785" s="8" t="inlineStr">
        <is>
          <t>ราคาที่ลง ยังไม่รวมภาษี</t>
        </is>
      </c>
    </row>
    <row r="786">
      <c r="B786" s="6" t="inlineStr">
        <is>
          <t>ยาขัดหยาบ Matrix -- แถม 1กล.</t>
        </is>
      </c>
      <c r="C786" s="8" t="inlineStr">
        <is>
          <t>7กล.</t>
        </is>
      </c>
      <c r="D786" s="9" t="n">
        <v>780</v>
      </c>
      <c r="H786" s="9" t="n">
        <v>5460</v>
      </c>
      <c r="I786" s="10" t="inlineStr">
        <is>
          <t>ทรัพย์สิน</t>
        </is>
      </c>
      <c r="J786" s="161" t="n">
        <v>23062</v>
      </c>
      <c r="L786" s="8" t="inlineStr">
        <is>
          <t>ราคาที่ลง ยังไม่รวมภาษี</t>
        </is>
      </c>
    </row>
    <row r="787">
      <c r="B787" s="6" t="inlineStr">
        <is>
          <t>ยาขัดหยาบ Matrix -- แถม 1กล.</t>
        </is>
      </c>
      <c r="C787" s="8" t="inlineStr">
        <is>
          <t>7กล.</t>
        </is>
      </c>
      <c r="D787" s="9" t="n">
        <v>780</v>
      </c>
      <c r="H787" s="9" t="n">
        <v>5460</v>
      </c>
      <c r="I787" s="10" t="inlineStr">
        <is>
          <t>ทรัพย์สิน</t>
        </is>
      </c>
      <c r="J787" s="161" t="n">
        <v>23095</v>
      </c>
      <c r="L787" s="8" t="inlineStr">
        <is>
          <t>ราคาที่ลง ยังไม่รวมภาษี</t>
        </is>
      </c>
    </row>
    <row r="788">
      <c r="B788" s="6" t="inlineStr">
        <is>
          <t>ยาขัดหยาบ Matrix -- แถม 1กล.</t>
        </is>
      </c>
      <c r="C788" s="8" t="inlineStr">
        <is>
          <t>7กล.</t>
        </is>
      </c>
      <c r="D788" s="9" t="n">
        <v>780</v>
      </c>
      <c r="H788" s="9" t="n">
        <v>5460</v>
      </c>
      <c r="I788" s="10" t="inlineStr">
        <is>
          <t>ทรัพย์สิน</t>
        </is>
      </c>
      <c r="J788" s="161" t="n">
        <v>23163</v>
      </c>
      <c r="L788" s="8" t="inlineStr">
        <is>
          <t>ราคาที่ลง ยังไม่รวมภาษี</t>
        </is>
      </c>
    </row>
    <row r="789">
      <c r="B789" s="6" t="inlineStr">
        <is>
          <t>ยาขัดหยาบ Matrix -- แถม 1กล.</t>
        </is>
      </c>
      <c r="C789" s="8" t="inlineStr">
        <is>
          <t>7กล.</t>
        </is>
      </c>
      <c r="D789" s="9" t="n">
        <v>780</v>
      </c>
      <c r="H789" s="9" t="n">
        <v>5460</v>
      </c>
      <c r="I789" s="10" t="inlineStr">
        <is>
          <t>ทรัพย์สิน</t>
        </is>
      </c>
      <c r="J789" s="161" t="n">
        <v>23221</v>
      </c>
      <c r="L789" s="8" t="inlineStr">
        <is>
          <t>ราคาที่ลง ยังไม่รวมภาษี</t>
        </is>
      </c>
    </row>
    <row r="790">
      <c r="B790" s="6" t="inlineStr">
        <is>
          <t>ยาขัดหยาบ Matrix -- แถม 1กล.</t>
        </is>
      </c>
      <c r="C790" s="8" t="inlineStr">
        <is>
          <t>7กล.</t>
        </is>
      </c>
      <c r="D790" s="9" t="n">
        <v>780</v>
      </c>
      <c r="H790" s="9" t="n">
        <v>5460</v>
      </c>
      <c r="I790" s="10" t="inlineStr">
        <is>
          <t>ทรัพย์สิน</t>
        </is>
      </c>
      <c r="J790" s="161" t="n">
        <v>23311</v>
      </c>
      <c r="L790" s="8" t="inlineStr">
        <is>
          <t>ราคาที่ลง ยังไม่รวมภาษี</t>
        </is>
      </c>
    </row>
    <row r="791">
      <c r="B791" s="6" t="inlineStr">
        <is>
          <t>ยาขัดหยาบ Matrix -- แถม 1กล.+ผ้าคลุมรถ 5ผืน (ขัดสีใหม่)</t>
        </is>
      </c>
      <c r="C791" s="8" t="inlineStr">
        <is>
          <t>7กล.</t>
        </is>
      </c>
      <c r="D791" s="9" t="n">
        <v>780</v>
      </c>
      <c r="H791" s="9" t="n">
        <v>5460</v>
      </c>
      <c r="I791" s="10" t="inlineStr">
        <is>
          <t>ทรัพย์สิน</t>
        </is>
      </c>
      <c r="J791" s="161" t="n">
        <v>23430</v>
      </c>
      <c r="L791" s="8" t="inlineStr">
        <is>
          <t>ราคาที่ลง ยังไม่รวมภาษี</t>
        </is>
      </c>
    </row>
    <row r="792">
      <c r="B792" s="6" t="inlineStr">
        <is>
          <t>ยาขัดหยาบ Matrix -- แถม 1กล.+ผ้าคลุมรถ 5ผืน (ขัดสีใหม่)</t>
        </is>
      </c>
      <c r="C792" s="8" t="inlineStr">
        <is>
          <t>7กล.</t>
        </is>
      </c>
      <c r="D792" s="9" t="n">
        <v>780</v>
      </c>
      <c r="H792" s="9" t="n">
        <v>5460</v>
      </c>
      <c r="I792" s="10" t="inlineStr">
        <is>
          <t>ทรัพย์สิน</t>
        </is>
      </c>
      <c r="J792" s="161" t="n">
        <v>23570</v>
      </c>
      <c r="L792" s="8" t="inlineStr">
        <is>
          <t>ราคาที่ลง ยังไม่รวมภาษี</t>
        </is>
      </c>
    </row>
    <row r="793">
      <c r="B793" s="6" t="inlineStr">
        <is>
          <t>ยาขัดหยาบ Matrix -- แถม 1กล.+ผ้าคลุมรถ 5ผืน (ขัดสีใหม่)</t>
        </is>
      </c>
      <c r="C793" s="8" t="inlineStr">
        <is>
          <t>7กล.</t>
        </is>
      </c>
      <c r="D793" s="9" t="n">
        <v>780</v>
      </c>
      <c r="H793" s="9" t="n">
        <v>5460</v>
      </c>
      <c r="I793" s="10" t="inlineStr">
        <is>
          <t>ทรัพย์สิน</t>
        </is>
      </c>
      <c r="J793" s="161" t="n">
        <v>23696</v>
      </c>
      <c r="K793" s="8" t="inlineStr">
        <is>
          <t>IV6411213</t>
        </is>
      </c>
      <c r="L793" s="8" t="inlineStr">
        <is>
          <t>ราคาที่ลง ยังไม่รวมภาษี</t>
        </is>
      </c>
    </row>
    <row r="794">
      <c r="B794" s="6" t="inlineStr">
        <is>
          <t>ยาขัดหยาบ Matrix -- แถม 1กล.+ผ้าคลุมรถ 5ผืน (ขัดสีใหม่)</t>
        </is>
      </c>
      <c r="C794" s="8" t="inlineStr">
        <is>
          <t>7กล.</t>
        </is>
      </c>
      <c r="D794" s="9" t="n">
        <v>780</v>
      </c>
      <c r="H794" s="9" t="n">
        <v>5460</v>
      </c>
      <c r="I794" s="10" t="inlineStr">
        <is>
          <t>ทรัพย์สิน</t>
        </is>
      </c>
      <c r="J794" s="161" t="n">
        <v>23860</v>
      </c>
      <c r="K794" s="8" t="inlineStr">
        <is>
          <t>IV6504246</t>
        </is>
      </c>
      <c r="L794" s="8" t="inlineStr">
        <is>
          <t>ราคาที่ลง ยังไม่รวมภาษี</t>
        </is>
      </c>
    </row>
    <row r="795">
      <c r="B795" s="6" t="inlineStr">
        <is>
          <t>ยาขัดหยาบ Matrix -- แถม 1กล.+ผ้าคลุมรถ 5ผืน (ขัดสีใหม่)</t>
        </is>
      </c>
      <c r="C795" s="8" t="inlineStr">
        <is>
          <t>7กล.</t>
        </is>
      </c>
      <c r="D795" s="9" t="n">
        <v>780</v>
      </c>
      <c r="H795" s="9" t="n">
        <v>5460</v>
      </c>
      <c r="I795" s="10" t="inlineStr">
        <is>
          <t>ทรัพย์สิน</t>
        </is>
      </c>
      <c r="J795" s="161" t="n">
        <v>23936</v>
      </c>
      <c r="K795" s="8" t="inlineStr">
        <is>
          <t>IV6507157</t>
        </is>
      </c>
      <c r="L795" s="8" t="inlineStr">
        <is>
          <t>ราคาที่ลง ยังไม่รวมภาษี</t>
        </is>
      </c>
    </row>
    <row r="797">
      <c r="B797" s="6" t="inlineStr">
        <is>
          <t>ยาขัดหยาบ POWER (ยาขัดสีเก่า/แกลลอนสีเหลือง)</t>
        </is>
      </c>
      <c r="C797" s="8" t="inlineStr">
        <is>
          <t>1กล.</t>
        </is>
      </c>
      <c r="D797" s="9" t="n">
        <v>690</v>
      </c>
      <c r="H797" s="9" t="n">
        <v>690</v>
      </c>
      <c r="I797" s="10" t="inlineStr">
        <is>
          <t>ทาเลนท์</t>
        </is>
      </c>
      <c r="J797" s="161" t="n">
        <v>23354</v>
      </c>
      <c r="L797" s="8" t="inlineStr">
        <is>
          <t>ราคาที่ลง ยังไม่รวมภาษี</t>
        </is>
      </c>
    </row>
    <row r="798">
      <c r="B798" s="6" t="inlineStr">
        <is>
          <t>ยาขัดหยาบ POWER (ยาขัดสีเก่า/แกลลอนสีเหลือง)</t>
        </is>
      </c>
      <c r="C798" s="8" t="inlineStr">
        <is>
          <t>2กล.</t>
        </is>
      </c>
      <c r="D798" s="9" t="n">
        <v>690</v>
      </c>
      <c r="H798" s="9" t="n">
        <v>1380</v>
      </c>
      <c r="I798" s="10" t="inlineStr">
        <is>
          <t>ทาเลนท์</t>
        </is>
      </c>
      <c r="J798" s="161" t="n">
        <v>23392</v>
      </c>
      <c r="L798" s="8" t="inlineStr">
        <is>
          <t>ราคาที่ลง ยังไม่รวมภาษี</t>
        </is>
      </c>
    </row>
    <row r="799">
      <c r="B799" s="6" t="inlineStr">
        <is>
          <t>ยาขัดหยาบ POWER (ยาขัดสีเก่า/แกลลอนสีเหลือง)</t>
        </is>
      </c>
      <c r="C799" s="8" t="inlineStr">
        <is>
          <t>2กล.</t>
        </is>
      </c>
      <c r="D799" s="9" t="n">
        <v>690</v>
      </c>
      <c r="H799" s="9" t="n">
        <v>1380</v>
      </c>
      <c r="I799" s="10" t="inlineStr">
        <is>
          <t>ทาเลนท์</t>
        </is>
      </c>
      <c r="J799" s="161" t="n">
        <v>23545</v>
      </c>
      <c r="K799" s="8" t="inlineStr">
        <is>
          <t>IV6406631</t>
        </is>
      </c>
      <c r="L799" s="8" t="inlineStr">
        <is>
          <t>ราคาที่ลง ยังไม่รวมภาษี</t>
        </is>
      </c>
    </row>
    <row r="800">
      <c r="B800" s="6" t="inlineStr">
        <is>
          <t>ยาขัดหยาบ POWER (ยาขัดสีเก่า/แกลลอนสีเหลือง)</t>
        </is>
      </c>
      <c r="C800" s="8" t="inlineStr">
        <is>
          <t>2กล.</t>
        </is>
      </c>
      <c r="D800" s="9" t="n">
        <v>690</v>
      </c>
      <c r="H800" s="9" t="n">
        <v>1380</v>
      </c>
      <c r="I800" s="10" t="inlineStr">
        <is>
          <t>ทาเลนท์</t>
        </is>
      </c>
      <c r="J800" s="161" t="n">
        <v>23658</v>
      </c>
      <c r="K800" s="8" t="inlineStr">
        <is>
          <t>IV6413092</t>
        </is>
      </c>
      <c r="L800" s="8" t="inlineStr">
        <is>
          <t>ราคาที่ลง ยังไม่รวมภาษี</t>
        </is>
      </c>
    </row>
    <row r="801">
      <c r="B801" s="6" t="inlineStr">
        <is>
          <t>ยาขัดหยาบ POWER (ยาขัดสีเก่า/แกลลอนสีเหลือง)</t>
        </is>
      </c>
      <c r="C801" s="8" t="inlineStr">
        <is>
          <t>3กล.</t>
        </is>
      </c>
      <c r="D801" s="9" t="n">
        <v>690</v>
      </c>
      <c r="H801" s="9" t="n">
        <v>2070</v>
      </c>
      <c r="I801" s="10" t="inlineStr">
        <is>
          <t>ทาเลนท์</t>
        </is>
      </c>
      <c r="J801" s="161" t="n">
        <v>23714</v>
      </c>
      <c r="K801" s="8" t="inlineStr">
        <is>
          <t>IV6416686</t>
        </is>
      </c>
      <c r="L801" s="8" t="inlineStr">
        <is>
          <t>ราคาที่ลง ยังไม่รวมภาษี</t>
        </is>
      </c>
    </row>
    <row r="802">
      <c r="B802" s="6" t="inlineStr">
        <is>
          <t>ยาขัดหยาบ POWER (ยาขัดสีเก่า/แกลลอนสีเหลือง)</t>
        </is>
      </c>
      <c r="C802" s="8" t="inlineStr">
        <is>
          <t>2กล.</t>
        </is>
      </c>
      <c r="D802" s="9" t="n">
        <v>690</v>
      </c>
      <c r="H802" s="9" t="n">
        <v>1380</v>
      </c>
      <c r="I802" s="10" t="inlineStr">
        <is>
          <t>ทาเลนท์</t>
        </is>
      </c>
      <c r="J802" s="161" t="n">
        <v>23878</v>
      </c>
      <c r="K802" s="8" t="inlineStr">
        <is>
          <t>IB3000910</t>
        </is>
      </c>
      <c r="L802" s="8" t="inlineStr">
        <is>
          <t>ราคาที่ลง ยังไม่รวมภาษี</t>
        </is>
      </c>
    </row>
    <row r="803">
      <c r="B803" s="6" t="inlineStr">
        <is>
          <t>ยาขัดหยาบ POWER (ยาขัดสีเก่า/แกลลอนสีเหลือง)</t>
        </is>
      </c>
      <c r="C803" s="8" t="inlineStr">
        <is>
          <t>4กล.</t>
        </is>
      </c>
      <c r="D803" s="9" t="n">
        <v>690</v>
      </c>
      <c r="H803" s="9" t="n">
        <v>2760</v>
      </c>
      <c r="I803" s="10" t="inlineStr">
        <is>
          <t>ทาเลนท์</t>
        </is>
      </c>
      <c r="J803" s="161" t="n">
        <v>23964</v>
      </c>
      <c r="K803" s="8" t="inlineStr">
        <is>
          <t>IV2201850</t>
        </is>
      </c>
      <c r="L803" s="8" t="inlineStr">
        <is>
          <t>ราคาที่ลง ยังไม่รวมภาษี</t>
        </is>
      </c>
    </row>
    <row r="804">
      <c r="B804" s="6" t="inlineStr">
        <is>
          <t>ยาขัดหยาบ POWER (ยาขัดสีเก่า/แกลลอนสีเหลือง)</t>
        </is>
      </c>
      <c r="C804" s="8" t="inlineStr">
        <is>
          <t>2กล.</t>
        </is>
      </c>
      <c r="D804" s="9" t="n">
        <v>690</v>
      </c>
      <c r="H804" s="9" t="n">
        <v>1380</v>
      </c>
      <c r="I804" s="10" t="inlineStr">
        <is>
          <t>ทาเลนท์</t>
        </is>
      </c>
      <c r="J804" s="161" t="n">
        <v>24058</v>
      </c>
      <c r="K804" s="8" t="inlineStr">
        <is>
          <t>IV2206487</t>
        </is>
      </c>
      <c r="L804" s="8" t="inlineStr">
        <is>
          <t>ราคาที่ลง ยังไม่รวมภาษี</t>
        </is>
      </c>
    </row>
    <row r="806">
      <c r="B806" s="6" t="inlineStr">
        <is>
          <t>ยาขัดหยาบ WINSTAR (แกลลอนสีเขียว)</t>
        </is>
      </c>
      <c r="C806" s="8" t="inlineStr">
        <is>
          <t>4กล.</t>
        </is>
      </c>
      <c r="D806" s="9" t="n">
        <v>700</v>
      </c>
      <c r="H806" s="9" t="n">
        <v>2800</v>
      </c>
      <c r="I806" s="10" t="inlineStr">
        <is>
          <t>บจก. วีที คัลเลอร์ โปร</t>
        </is>
      </c>
      <c r="J806" s="161" t="n">
        <v>24061</v>
      </c>
      <c r="K806" s="8" t="inlineStr">
        <is>
          <t>IV261-65</t>
        </is>
      </c>
      <c r="L806" s="8" t="inlineStr">
        <is>
          <t>ราคาที่ลง ยังไม่รวมภาษี</t>
        </is>
      </c>
    </row>
    <row r="807">
      <c r="B807" s="6" t="inlineStr">
        <is>
          <t>ยาขัดหยาบ WINSTAR (แกลลอนสีเขียว)</t>
        </is>
      </c>
      <c r="C807" s="8" t="inlineStr">
        <is>
          <t>8กล.</t>
        </is>
      </c>
      <c r="D807" s="9" t="n">
        <v>700</v>
      </c>
      <c r="H807" s="9" t="n">
        <v>5600</v>
      </c>
      <c r="I807" s="10" t="inlineStr">
        <is>
          <t>บจก. วีที คัลเลอร์ โปร</t>
        </is>
      </c>
      <c r="J807" s="161" t="n">
        <v>24096</v>
      </c>
      <c r="K807" s="8" t="inlineStr">
        <is>
          <t>IV322-65</t>
        </is>
      </c>
      <c r="L807" s="8" t="inlineStr">
        <is>
          <t>ราคาที่ลง ยังไม่รวมภาษี</t>
        </is>
      </c>
    </row>
    <row r="808">
      <c r="B808" s="6" t="inlineStr">
        <is>
          <t>ยาขัดหยาบ WINSTAR (แกลลอนสีเขียว)</t>
        </is>
      </c>
      <c r="C808" s="8" t="inlineStr">
        <is>
          <t>8กล.</t>
        </is>
      </c>
      <c r="D808" s="9" t="n">
        <v>700</v>
      </c>
      <c r="H808" s="9" t="n">
        <v>5600</v>
      </c>
      <c r="I808" s="10" t="inlineStr">
        <is>
          <t>บจก. วีที คัลเลอร์ โปร</t>
        </is>
      </c>
      <c r="J808" s="161" t="n">
        <v>24222</v>
      </c>
      <c r="K808" s="8" t="inlineStr">
        <is>
          <t>IV230-66</t>
        </is>
      </c>
      <c r="L808" s="8" t="inlineStr">
        <is>
          <t>ราคาที่ลง ยังไม่รวมภาษี</t>
        </is>
      </c>
    </row>
    <row r="809">
      <c r="B809" s="6" t="inlineStr">
        <is>
          <t>ยาขัดหยาบ WINSTAR (แกลลอนสีเขียว)</t>
        </is>
      </c>
      <c r="C809" s="8" t="inlineStr">
        <is>
          <t>4กล.</t>
        </is>
      </c>
      <c r="D809" s="9" t="n">
        <v>700</v>
      </c>
      <c r="H809" s="9" t="n">
        <v>2800</v>
      </c>
      <c r="I809" s="10" t="inlineStr">
        <is>
          <t>บจก. วีที คัลเลอร์ โปร</t>
        </is>
      </c>
      <c r="J809" s="161" t="n">
        <v>24293</v>
      </c>
      <c r="K809" s="8" t="inlineStr">
        <is>
          <t>IV374-66</t>
        </is>
      </c>
      <c r="L809" s="8" t="inlineStr">
        <is>
          <t>ราคาที่ลง ยังไม่รวมภาษี</t>
        </is>
      </c>
    </row>
    <row r="810">
      <c r="B810" s="6" t="inlineStr">
        <is>
          <t>ยาขัดหยาบ WINSTAR (แกลลอนสีเขียว)</t>
        </is>
      </c>
      <c r="C810" s="8" t="inlineStr">
        <is>
          <t>8กล.</t>
        </is>
      </c>
      <c r="D810" s="9" t="n">
        <v>700</v>
      </c>
      <c r="H810" s="9" t="n">
        <v>5600</v>
      </c>
      <c r="I810" s="10" t="inlineStr">
        <is>
          <t>บจก. วีที คัลเลอร์ โปร</t>
        </is>
      </c>
      <c r="J810" s="161" t="n">
        <v>24315</v>
      </c>
      <c r="K810" s="8" t="inlineStr">
        <is>
          <t>IV425-66</t>
        </is>
      </c>
      <c r="L810" s="8" t="inlineStr">
        <is>
          <t>ราคาที่ลง ยังไม่รวมภาษี</t>
        </is>
      </c>
    </row>
    <row r="811">
      <c r="B811" s="6" t="inlineStr">
        <is>
          <t>ยาขัดหยาบ WINSTAR (แกลลอนสีเขียว)</t>
        </is>
      </c>
      <c r="C811" s="8" t="n">
        <v>4</v>
      </c>
      <c r="D811" s="9" t="n">
        <v>700</v>
      </c>
      <c r="H811" s="9">
        <f>SUM(D811*C811)</f>
        <v/>
      </c>
      <c r="I811" s="10" t="inlineStr">
        <is>
          <t>บจก. วีที คัลเลอร์ โปร</t>
        </is>
      </c>
      <c r="J811" s="161" t="n">
        <v>24358</v>
      </c>
      <c r="K811" s="8" t="inlineStr">
        <is>
          <t>IV516-66</t>
        </is>
      </c>
      <c r="L811" s="8" t="inlineStr">
        <is>
          <t>ราคาที่ลง ยังไม่รวมภาษี</t>
        </is>
      </c>
    </row>
    <row r="812">
      <c r="B812" s="6" t="inlineStr">
        <is>
          <t>ยาขัดหยาบ WINSTAR (แกลลอนสีเขียว)</t>
        </is>
      </c>
      <c r="C812" s="8" t="n">
        <v>6</v>
      </c>
      <c r="D812" s="9" t="n">
        <v>700</v>
      </c>
      <c r="H812" s="9">
        <f>SUM(D812*C812)</f>
        <v/>
      </c>
      <c r="I812" s="10" t="inlineStr">
        <is>
          <t>บจก. วีที คัลเลอร์ โปร</t>
        </is>
      </c>
      <c r="J812" s="161" t="n">
        <v>24407</v>
      </c>
      <c r="K812" s="8" t="inlineStr">
        <is>
          <t>IV695-66</t>
        </is>
      </c>
      <c r="L812" s="8" t="inlineStr">
        <is>
          <t>ราคาที่ลง ยังไม่รวมภาษี</t>
        </is>
      </c>
    </row>
    <row r="814">
      <c r="B814" s="6" t="inlineStr">
        <is>
          <t>ยาขัดหยาบ Cheetahs</t>
        </is>
      </c>
      <c r="C814" s="8" t="n">
        <v>4</v>
      </c>
      <c r="D814" s="9" t="n">
        <v>700</v>
      </c>
      <c r="H814" s="9">
        <f>SUM(D814*C814)</f>
        <v/>
      </c>
      <c r="I814" s="10" t="inlineStr">
        <is>
          <t>ทาเลนท์</t>
        </is>
      </c>
      <c r="J814" s="161" t="n">
        <v>24406</v>
      </c>
      <c r="K814" s="8" t="inlineStr">
        <is>
          <t>IV2222638</t>
        </is>
      </c>
      <c r="L814" s="8" t="inlineStr">
        <is>
          <t>ราคาที่ลง ยังไม่รวมภาษี</t>
        </is>
      </c>
    </row>
    <row r="815">
      <c r="B815" s="6" t="inlineStr">
        <is>
          <t>ยาขัดหยาบ HYBRID ONE</t>
        </is>
      </c>
      <c r="C815" s="8" t="n">
        <v>8</v>
      </c>
      <c r="D815" s="9" t="n">
        <v>700</v>
      </c>
      <c r="H815" s="9">
        <f>SUM(D815*C815)</f>
        <v/>
      </c>
      <c r="I815" s="10" t="inlineStr">
        <is>
          <t>บจก. วีที คัลเลอร์ โปร</t>
        </is>
      </c>
      <c r="J815" s="161" t="n">
        <v>24531</v>
      </c>
      <c r="K815" s="8" t="inlineStr">
        <is>
          <t>IV6702114</t>
        </is>
      </c>
      <c r="L815" s="8" t="inlineStr">
        <is>
          <t>ราคาที่ลง ยังไม่รวมภาษี</t>
        </is>
      </c>
    </row>
    <row r="816">
      <c r="B816" s="6" t="inlineStr">
        <is>
          <t>ยาขัดหยาบ HYBRID ONE</t>
        </is>
      </c>
      <c r="C816" s="8" t="n">
        <v>8</v>
      </c>
      <c r="D816" s="9" t="n">
        <v>700</v>
      </c>
      <c r="H816" s="9">
        <f>SUM(D816*C816)</f>
        <v/>
      </c>
      <c r="I816" s="10" t="inlineStr">
        <is>
          <t>บจก. วีที คัลเลอร์ โปร</t>
        </is>
      </c>
      <c r="J816" s="161" t="n">
        <v>24613</v>
      </c>
      <c r="K816" s="8" t="inlineStr">
        <is>
          <t>IV6705106</t>
        </is>
      </c>
      <c r="L816" s="8" t="inlineStr">
        <is>
          <t>ราคาที่ลง ยังไม่รวมภาษี</t>
        </is>
      </c>
    </row>
    <row r="817">
      <c r="B817" s="6" t="inlineStr">
        <is>
          <t>ยาขัดหยาบ HYBRID ONE</t>
        </is>
      </c>
      <c r="C817" s="8" t="n">
        <v>8</v>
      </c>
      <c r="D817" s="9" t="n">
        <v>700</v>
      </c>
      <c r="H817" s="9">
        <f>SUM(D817*C817)</f>
        <v/>
      </c>
      <c r="I817" s="10" t="inlineStr">
        <is>
          <t>บจก. วีที คัลเลอร์ โปร</t>
        </is>
      </c>
      <c r="J817" s="161" t="n">
        <v>24698</v>
      </c>
      <c r="K817" s="8" t="inlineStr">
        <is>
          <t>IV6708065</t>
        </is>
      </c>
      <c r="L817" s="8" t="inlineStr">
        <is>
          <t>ราคาที่ลง ยังไม่รวมภาษี</t>
        </is>
      </c>
    </row>
    <row r="818">
      <c r="B818" s="6" t="inlineStr">
        <is>
          <t>ยาขัดหยาบ HYBRID ONE</t>
        </is>
      </c>
      <c r="C818" s="8" t="n">
        <v>8</v>
      </c>
      <c r="D818" s="9" t="n">
        <v>700</v>
      </c>
      <c r="H818" s="9">
        <f>SUM(D818*C818)</f>
        <v/>
      </c>
      <c r="I818" s="10" t="inlineStr">
        <is>
          <t>บจก. วีที คัลเลอร์ โปร</t>
        </is>
      </c>
      <c r="J818" s="161" t="n">
        <v>24768</v>
      </c>
      <c r="K818" s="8" t="inlineStr">
        <is>
          <t>IV6710117</t>
        </is>
      </c>
      <c r="L818" s="8" t="inlineStr">
        <is>
          <t>ราคาที่ลง ยังไม่รวมภาษี</t>
        </is>
      </c>
    </row>
    <row r="819">
      <c r="B819" s="6" t="inlineStr">
        <is>
          <t>ยาขัดหยาบ HYBRID ONE</t>
        </is>
      </c>
      <c r="C819" s="8" t="n">
        <v>8</v>
      </c>
      <c r="D819" s="9" t="n">
        <v>700</v>
      </c>
      <c r="H819" s="9">
        <f>SUM(D819*C819)</f>
        <v/>
      </c>
      <c r="I819" s="10" t="inlineStr">
        <is>
          <t>บจก. วีที คัลเลอร์ โปร</t>
        </is>
      </c>
      <c r="J819" s="161" t="n">
        <v>24889</v>
      </c>
      <c r="K819" s="8" t="inlineStr">
        <is>
          <t>IV6802127</t>
        </is>
      </c>
      <c r="L819" s="8" t="inlineStr">
        <is>
          <t>ราคาที่ลง ยังไม่รวมภาษี</t>
        </is>
      </c>
    </row>
    <row r="820">
      <c r="B820" s="6" t="inlineStr">
        <is>
          <t>ยาขัดหยาบ HYBRID ONE</t>
        </is>
      </c>
      <c r="C820" s="8" t="n">
        <v>12</v>
      </c>
      <c r="D820" s="9" t="n">
        <v>700</v>
      </c>
      <c r="E820" s="9">
        <f>SUM(C820*D820)</f>
        <v/>
      </c>
      <c r="G820" s="10" t="inlineStr">
        <is>
          <t>ยอดรวม VAT =</t>
        </is>
      </c>
      <c r="H820" s="9">
        <f>SUM(E820*O820/N820)</f>
        <v/>
      </c>
      <c r="I820" s="10" t="inlineStr">
        <is>
          <t>บจก. วีที คัลเลอร์ โปร</t>
        </is>
      </c>
      <c r="J820" s="161" t="n">
        <v>24984</v>
      </c>
      <c r="K820" s="8" t="inlineStr">
        <is>
          <t>IV6805173</t>
        </is>
      </c>
      <c r="N820" s="6" t="n">
        <v>100</v>
      </c>
      <c r="O820" s="6" t="n">
        <v>107</v>
      </c>
    </row>
    <row r="821">
      <c r="B821" s="6" t="inlineStr">
        <is>
          <t>ยาขัดหยาบ HYBRID ONE</t>
        </is>
      </c>
      <c r="C821" s="8" t="n">
        <v>4</v>
      </c>
      <c r="D821" s="9" t="n">
        <v>700</v>
      </c>
      <c r="E821" s="9">
        <f>SUM(C821*D821)</f>
        <v/>
      </c>
      <c r="G821" s="10" t="inlineStr">
        <is>
          <t>ยอดรวม VAT =</t>
        </is>
      </c>
      <c r="H821" s="9">
        <f>SUM(E821*O821/N821)</f>
        <v/>
      </c>
      <c r="I821" s="10" t="inlineStr">
        <is>
          <t>บจก. วีที คัลเลอร์ โปร</t>
        </is>
      </c>
      <c r="J821" s="161" t="n">
        <v>25079</v>
      </c>
      <c r="K821" s="8" t="inlineStr">
        <is>
          <t>IV6808186</t>
        </is>
      </c>
      <c r="N821" s="6" t="n">
        <v>100</v>
      </c>
      <c r="O821" s="6" t="n">
        <v>107</v>
      </c>
    </row>
    <row r="822">
      <c r="A822" s="70" t="n"/>
      <c r="B822" s="6" t="inlineStr">
        <is>
          <t>ยาขัดหยาบ HYBRID ONE</t>
        </is>
      </c>
      <c r="C822" s="8" t="n">
        <v>8</v>
      </c>
      <c r="D822" s="9" t="n">
        <v>700</v>
      </c>
      <c r="E822" s="9">
        <f>SUM(C822*D822)</f>
        <v/>
      </c>
      <c r="H822" s="9">
        <f>SUM(E822*107/100)</f>
        <v/>
      </c>
      <c r="I822" s="10" t="inlineStr">
        <is>
          <t>บจก. วีที คัลเลอร์ โปร</t>
        </is>
      </c>
      <c r="J822" s="161" t="n">
        <v>25125</v>
      </c>
      <c r="K822" s="8" t="inlineStr">
        <is>
          <t>IV6810085</t>
        </is>
      </c>
      <c r="L822" s="8" t="inlineStr">
        <is>
          <t>ราคาที่ลง ยังไม่รวมภาษี</t>
        </is>
      </c>
    </row>
    <row r="824">
      <c r="B824" s="6" t="inlineStr">
        <is>
          <t>ยาขัดหยาบ Big Ben 2.5กิโล</t>
        </is>
      </c>
      <c r="C824" s="8" t="n">
        <v>1</v>
      </c>
      <c r="D824" s="9" t="n">
        <v>600</v>
      </c>
      <c r="H824" s="9">
        <f>SUM(D824*C824)</f>
        <v/>
      </c>
      <c r="I824" s="10" t="inlineStr">
        <is>
          <t>ร้านโชติศิริ</t>
        </is>
      </c>
      <c r="J824" s="161" t="n">
        <v>24892</v>
      </c>
    </row>
    <row r="826">
      <c r="B826" s="6" t="inlineStr">
        <is>
          <t>ยาขัดละเอียด Matrix -- แถมฟรี</t>
        </is>
      </c>
      <c r="C826" s="8" t="inlineStr">
        <is>
          <t>1กล.</t>
        </is>
      </c>
      <c r="I826" s="10" t="inlineStr">
        <is>
          <t>ทรัพย์สิน</t>
        </is>
      </c>
      <c r="J826" s="161" t="n">
        <v>23348</v>
      </c>
      <c r="L826" s="8" t="inlineStr">
        <is>
          <t>ราคาที่ลง ยังไม่รวมภาษี</t>
        </is>
      </c>
    </row>
    <row r="828">
      <c r="B828" s="6" t="inlineStr">
        <is>
          <t>ยาขัดหยาบฝาแดง 500 ml.</t>
        </is>
      </c>
      <c r="C828" s="8" t="inlineStr">
        <is>
          <t>12ขวด</t>
        </is>
      </c>
      <c r="D828" s="9" t="n">
        <v>260</v>
      </c>
      <c r="H828" s="9" t="n">
        <v>3120</v>
      </c>
      <c r="I828" s="10" t="inlineStr">
        <is>
          <t>เบรนเวิร์ค</t>
        </is>
      </c>
      <c r="J828" s="161" t="n">
        <v>22901</v>
      </c>
      <c r="L828" s="8" t="inlineStr">
        <is>
          <t>ราคาที่ลง ยังไม่รวมภาษี</t>
        </is>
      </c>
    </row>
    <row r="830">
      <c r="B830" s="6" t="inlineStr">
        <is>
          <t>ยาขัดเงา คาน่า</t>
        </is>
      </c>
      <c r="C830" s="8" t="inlineStr">
        <is>
          <t>12ตลับ</t>
        </is>
      </c>
      <c r="D830" s="9" t="n">
        <v>55</v>
      </c>
      <c r="H830" s="9" t="n">
        <v>660</v>
      </c>
      <c r="I830" s="10" t="inlineStr">
        <is>
          <t>ทาเลนท์</t>
        </is>
      </c>
      <c r="J830" s="161" t="n">
        <v>23286</v>
      </c>
      <c r="L830" s="8" t="inlineStr">
        <is>
          <t>ราคาที่ลง ยังไม่รวมภาษี</t>
        </is>
      </c>
    </row>
    <row r="831">
      <c r="B831" s="6" t="inlineStr">
        <is>
          <t>ยาขัดเงา คาน่า</t>
        </is>
      </c>
      <c r="C831" s="8" t="inlineStr">
        <is>
          <t>12ตลับ</t>
        </is>
      </c>
      <c r="D831" s="9" t="n">
        <v>60</v>
      </c>
      <c r="H831" s="9" t="n">
        <v>720</v>
      </c>
      <c r="I831" s="10" t="inlineStr">
        <is>
          <t>ทาเลนท์</t>
        </is>
      </c>
      <c r="J831" s="161" t="n">
        <v>23690</v>
      </c>
      <c r="K831" s="8" t="inlineStr">
        <is>
          <t>IV6415061</t>
        </is>
      </c>
      <c r="L831" s="8" t="inlineStr">
        <is>
          <t>ราคาที่ลง ยังไม่รวมภาษี</t>
        </is>
      </c>
    </row>
    <row r="832">
      <c r="B832" s="6" t="inlineStr">
        <is>
          <t>ยาขัดเงา คาน่า</t>
        </is>
      </c>
      <c r="C832" s="8" t="inlineStr">
        <is>
          <t>12ตลับ</t>
        </is>
      </c>
      <c r="D832" s="9" t="n">
        <v>60</v>
      </c>
      <c r="H832" s="9" t="n">
        <v>720</v>
      </c>
      <c r="I832" s="10" t="inlineStr">
        <is>
          <t>ทาเลนท์</t>
        </is>
      </c>
      <c r="J832" s="161" t="n">
        <v>23995</v>
      </c>
      <c r="K832" s="8" t="inlineStr">
        <is>
          <t>IV2203682</t>
        </is>
      </c>
      <c r="L832" s="8" t="inlineStr">
        <is>
          <t>ราคาที่ลง ยังไม่รวมภาษี</t>
        </is>
      </c>
    </row>
    <row r="834">
      <c r="A834" s="66" t="inlineStr">
        <is>
          <t>กระดาษทราย</t>
        </is>
      </c>
      <c r="B834" s="6" t="inlineStr">
        <is>
          <t>กระดาษทรายกลม Rhynogrip (แรด) 6รู เบอร์ 80</t>
        </is>
      </c>
      <c r="C834" s="8" t="inlineStr">
        <is>
          <t>100แผ่น</t>
        </is>
      </c>
      <c r="D834" s="9" t="n">
        <v>9</v>
      </c>
      <c r="H834" s="9" t="n">
        <v>900</v>
      </c>
      <c r="I834" s="10" t="inlineStr">
        <is>
          <t>ออโต้ สมาร์ท</t>
        </is>
      </c>
      <c r="J834" s="161" t="n">
        <v>22840</v>
      </c>
      <c r="L834" s="8" t="inlineStr">
        <is>
          <t>ราคาที่ลง ยังไม่รวมภาษี</t>
        </is>
      </c>
    </row>
    <row r="835">
      <c r="A835" s="71" t="inlineStr">
        <is>
          <t>**กระดาษทรายกลมไม่มีโปรแถมฟรี</t>
        </is>
      </c>
      <c r="B835" s="6" t="inlineStr">
        <is>
          <t>กระดาษทรายกลม Rhynogrip (แรด) 6รู เบอร์ 80</t>
        </is>
      </c>
      <c r="C835" s="8" t="inlineStr">
        <is>
          <t>100แผ่น</t>
        </is>
      </c>
      <c r="D835" s="9" t="n">
        <v>9</v>
      </c>
      <c r="H835" s="9" t="n">
        <v>900</v>
      </c>
      <c r="I835" s="10" t="inlineStr">
        <is>
          <t>ออโต้ สมาร์ท</t>
        </is>
      </c>
      <c r="J835" s="161" t="n">
        <v>22871</v>
      </c>
      <c r="L835" s="8" t="inlineStr">
        <is>
          <t>ราคาที่ลง ยังไม่รวมภาษี</t>
        </is>
      </c>
    </row>
    <row r="836">
      <c r="B836" s="6" t="inlineStr">
        <is>
          <t>กระดาษทรายกลม Rhynogrip (แรด) 6รู เบอร์ 80 -- แถมฟรี</t>
        </is>
      </c>
      <c r="C836" s="8" t="inlineStr">
        <is>
          <t>100แผ่น</t>
        </is>
      </c>
      <c r="I836" s="10" t="inlineStr">
        <is>
          <t>ออโต้ สมาร์ท</t>
        </is>
      </c>
      <c r="J836" s="161" t="n">
        <v>22893</v>
      </c>
      <c r="L836" s="8" t="inlineStr">
        <is>
          <t>ราคาที่ลง ยังไม่รวมภาษี</t>
        </is>
      </c>
    </row>
    <row r="837">
      <c r="B837" s="6" t="inlineStr">
        <is>
          <t>กระดาษทรายกลม Rhynogrip (แรด) 6รู เบอร์ 80</t>
        </is>
      </c>
      <c r="C837" s="8" t="inlineStr">
        <is>
          <t>100แผ่น</t>
        </is>
      </c>
      <c r="D837" s="9" t="n">
        <v>9</v>
      </c>
      <c r="H837" s="9" t="n">
        <v>900</v>
      </c>
      <c r="I837" s="10" t="inlineStr">
        <is>
          <t>ออโต้ สมาร์ท</t>
        </is>
      </c>
      <c r="J837" s="161" t="n">
        <v>22898</v>
      </c>
      <c r="L837" s="8" t="inlineStr">
        <is>
          <t>ราคาที่ลง ยังไม่รวมภาษี</t>
        </is>
      </c>
    </row>
    <row r="838">
      <c r="B838" s="6" t="inlineStr">
        <is>
          <t>กระดาษทรายกลม Rhynogrip (แรด) 6รู เบอร์ 80</t>
        </is>
      </c>
      <c r="C838" s="8" t="inlineStr">
        <is>
          <t>100แผ่น</t>
        </is>
      </c>
      <c r="D838" s="9" t="n">
        <v>9</v>
      </c>
      <c r="H838" s="9" t="n">
        <v>900</v>
      </c>
      <c r="I838" s="10" t="inlineStr">
        <is>
          <t>ออโต้ สมาร์ท</t>
        </is>
      </c>
      <c r="J838" s="161" t="n">
        <v>22997</v>
      </c>
      <c r="L838" s="8" t="inlineStr">
        <is>
          <t>ราคาที่ลง ยังไม่รวมภาษี</t>
        </is>
      </c>
    </row>
    <row r="839">
      <c r="B839" s="6" t="inlineStr">
        <is>
          <t>กระดาษทรายกลม Rhynogrip (แรด) 6รู เบอร์ 80</t>
        </is>
      </c>
      <c r="C839" s="8" t="inlineStr">
        <is>
          <t>100แผ่น</t>
        </is>
      </c>
      <c r="D839" s="9" t="n">
        <v>9</v>
      </c>
      <c r="H839" s="9" t="n">
        <v>900</v>
      </c>
      <c r="I839" s="10" t="inlineStr">
        <is>
          <t>ออโต้ สมาร์ท</t>
        </is>
      </c>
      <c r="J839" s="161" t="n">
        <v>23064</v>
      </c>
      <c r="L839" s="8" t="inlineStr">
        <is>
          <t>ราคาที่ลง ยังไม่รวมภาษี</t>
        </is>
      </c>
    </row>
    <row r="840">
      <c r="B840" s="6" t="inlineStr">
        <is>
          <t>กระดาษทรายกลม Rhynogrip (แรด) 6รู เบอร์ 80</t>
        </is>
      </c>
      <c r="C840" s="8" t="inlineStr">
        <is>
          <t>100แผ่น</t>
        </is>
      </c>
      <c r="D840" s="9" t="n">
        <v>9</v>
      </c>
      <c r="H840" s="9" t="n">
        <v>900</v>
      </c>
      <c r="I840" s="10" t="inlineStr">
        <is>
          <t>ออโต้ สมาร์ท</t>
        </is>
      </c>
      <c r="J840" s="161" t="n">
        <v>23080</v>
      </c>
      <c r="L840" s="8" t="inlineStr">
        <is>
          <t>ราคาที่ลง ยังไม่รวมภาษี</t>
        </is>
      </c>
    </row>
    <row r="841">
      <c r="B841" s="6" t="inlineStr">
        <is>
          <t>กระดาษทรายกลม Rhynogrip (แรด) 6รู เบอร์ 80</t>
        </is>
      </c>
      <c r="C841" s="8" t="inlineStr">
        <is>
          <t>100แผ่น</t>
        </is>
      </c>
      <c r="D841" s="9" t="n">
        <v>9</v>
      </c>
      <c r="H841" s="9" t="n">
        <v>900</v>
      </c>
      <c r="I841" s="10" t="inlineStr">
        <is>
          <t>ออโต้ สมาร์ท</t>
        </is>
      </c>
      <c r="J841" s="161" t="n">
        <v>23110</v>
      </c>
      <c r="L841" s="8" t="inlineStr">
        <is>
          <t>ราคาที่ลง ยังไม่รวมภาษี</t>
        </is>
      </c>
    </row>
    <row r="842">
      <c r="B842" s="6" t="inlineStr">
        <is>
          <t>กระดาษทรายกลม Rhynogrip (แรด) 6รู เบอร์ 80</t>
        </is>
      </c>
      <c r="C842" s="8" t="inlineStr">
        <is>
          <t>100แผ่น</t>
        </is>
      </c>
      <c r="D842" s="9" t="n">
        <v>9</v>
      </c>
      <c r="H842" s="9" t="n">
        <v>900</v>
      </c>
      <c r="I842" s="10" t="inlineStr">
        <is>
          <t>ออโต้ สมาร์ท</t>
        </is>
      </c>
      <c r="J842" s="161" t="n">
        <v>23172</v>
      </c>
      <c r="L842" s="8" t="inlineStr">
        <is>
          <t>ราคาที่ลง ยังไม่รวมภาษี</t>
        </is>
      </c>
    </row>
    <row r="843">
      <c r="B843" s="6" t="inlineStr">
        <is>
          <t>กระดาษทรายกลม Rhynogrip (แรด) 6รู เบอร์ 80</t>
        </is>
      </c>
      <c r="C843" s="8" t="inlineStr">
        <is>
          <t>100แผ่น</t>
        </is>
      </c>
      <c r="D843" s="9" t="n">
        <v>9</v>
      </c>
      <c r="H843" s="9" t="n">
        <v>900</v>
      </c>
      <c r="I843" s="10" t="inlineStr">
        <is>
          <t>ออโต้ สมาร์ท</t>
        </is>
      </c>
      <c r="J843" s="161" t="n">
        <v>23202</v>
      </c>
      <c r="L843" s="8" t="inlineStr">
        <is>
          <t>ราคาที่ลง ยังไม่รวมภาษี</t>
        </is>
      </c>
    </row>
    <row r="844">
      <c r="B844" s="6" t="inlineStr">
        <is>
          <t>กระดาษทรายกลม Rhynogrip (แรด) 6รู เบอร์ 80</t>
        </is>
      </c>
      <c r="C844" s="8" t="inlineStr">
        <is>
          <t>100แผ่น</t>
        </is>
      </c>
      <c r="D844" s="9" t="n">
        <v>9</v>
      </c>
      <c r="H844" s="9" t="n">
        <v>900</v>
      </c>
      <c r="I844" s="10" t="inlineStr">
        <is>
          <t>ออโต้ สมาร์ท</t>
        </is>
      </c>
      <c r="J844" s="161" t="n">
        <v>23230</v>
      </c>
      <c r="L844" s="8" t="inlineStr">
        <is>
          <t>ราคาที่ลง ยังไม่รวมภาษี</t>
        </is>
      </c>
    </row>
    <row r="845">
      <c r="B845" s="6" t="inlineStr">
        <is>
          <t>กระดาษทรายกลม Rhynogrip (แรด) 6รู เบอร์ 80</t>
        </is>
      </c>
      <c r="C845" s="8" t="inlineStr">
        <is>
          <t>100แผ่น</t>
        </is>
      </c>
      <c r="D845" s="9" t="n">
        <v>9</v>
      </c>
      <c r="H845" s="9" t="n">
        <v>900</v>
      </c>
      <c r="I845" s="10" t="inlineStr">
        <is>
          <t>ออโต้ สมาร์ท</t>
        </is>
      </c>
      <c r="J845" s="161" t="n">
        <v>23269</v>
      </c>
      <c r="L845" s="8" t="inlineStr">
        <is>
          <t>ราคาที่ลง ยังไม่รวมภาษี</t>
        </is>
      </c>
    </row>
    <row r="846">
      <c r="B846" s="6" t="inlineStr">
        <is>
          <t>กระดาษทรายกลม Rhynogrip (แรด) 6รู เบอร์ 80</t>
        </is>
      </c>
      <c r="C846" s="8" t="inlineStr">
        <is>
          <t>100แผ่น</t>
        </is>
      </c>
      <c r="D846" s="9" t="n">
        <v>9</v>
      </c>
      <c r="H846" s="9" t="n">
        <v>900</v>
      </c>
      <c r="I846" s="10" t="inlineStr">
        <is>
          <t>ออโต้ สมาร์ท</t>
        </is>
      </c>
      <c r="J846" s="161" t="n">
        <v>23293</v>
      </c>
      <c r="L846" s="8" t="inlineStr">
        <is>
          <t>ราคาที่ลง ยังไม่รวมภาษี</t>
        </is>
      </c>
    </row>
    <row r="847">
      <c r="B847" s="6" t="inlineStr">
        <is>
          <t>กระดาษทรายกลม Rhynogrip (แรด) 6รู เบอร์ 80</t>
        </is>
      </c>
      <c r="C847" s="8" t="inlineStr">
        <is>
          <t>100แผ่น</t>
        </is>
      </c>
      <c r="D847" s="9" t="n">
        <v>9</v>
      </c>
      <c r="H847" s="9" t="n">
        <v>900</v>
      </c>
      <c r="I847" s="10" t="inlineStr">
        <is>
          <t>ออโต้ สมาร์ท</t>
        </is>
      </c>
      <c r="J847" s="161" t="n">
        <v>23335</v>
      </c>
      <c r="L847" s="8" t="inlineStr">
        <is>
          <t>ราคาที่ลง ยังไม่รวมภาษี</t>
        </is>
      </c>
    </row>
    <row r="848">
      <c r="B848" s="6" t="inlineStr">
        <is>
          <t>กระดาษทรายกลม Rhynogrip (แรด) 6รู เบอร์ 80</t>
        </is>
      </c>
      <c r="C848" s="8" t="inlineStr">
        <is>
          <t>100แผ่น</t>
        </is>
      </c>
      <c r="D848" s="9" t="n">
        <v>9</v>
      </c>
      <c r="H848" s="9" t="n">
        <v>900</v>
      </c>
      <c r="I848" s="10" t="inlineStr">
        <is>
          <t>ออโต้ สมาร์ท</t>
        </is>
      </c>
      <c r="J848" s="161" t="n">
        <v>23349</v>
      </c>
      <c r="L848" s="8" t="inlineStr">
        <is>
          <t>ราคาที่ลง ยังไม่รวมภาษี</t>
        </is>
      </c>
    </row>
    <row r="849">
      <c r="B849" s="6" t="inlineStr">
        <is>
          <t>กระดาษทรายกลม Rhynogrip (แรด) 6รู เบอร์ 80</t>
        </is>
      </c>
      <c r="C849" s="8" t="inlineStr">
        <is>
          <t>100แผ่น</t>
        </is>
      </c>
      <c r="D849" s="9" t="n">
        <v>9</v>
      </c>
      <c r="H849" s="9" t="n">
        <v>900</v>
      </c>
      <c r="I849" s="10" t="inlineStr">
        <is>
          <t>ออโต้ สมาร์ท</t>
        </is>
      </c>
      <c r="J849" s="161" t="n">
        <v>23411</v>
      </c>
      <c r="L849" s="8" t="inlineStr">
        <is>
          <t>ราคาที่ลง ยังไม่รวมภาษี</t>
        </is>
      </c>
    </row>
    <row r="850">
      <c r="B850" s="6" t="inlineStr">
        <is>
          <t>กระดาษทรายกลม Rhynogrip (แรด) 6รู เบอร์ 80</t>
        </is>
      </c>
      <c r="C850" s="8" t="inlineStr">
        <is>
          <t>100แผ่น</t>
        </is>
      </c>
      <c r="D850" s="9" t="n">
        <v>9</v>
      </c>
      <c r="H850" s="9" t="n">
        <v>900</v>
      </c>
      <c r="I850" s="10" t="inlineStr">
        <is>
          <t>ออโต้ สมาร์ท</t>
        </is>
      </c>
      <c r="J850" s="161" t="n">
        <v>23455</v>
      </c>
      <c r="L850" s="8" t="inlineStr">
        <is>
          <t>ราคาที่ลง ยังไม่รวมภาษี</t>
        </is>
      </c>
    </row>
    <row r="851">
      <c r="B851" s="6" t="inlineStr">
        <is>
          <t>กระดาษทรายกลม Rhynogrip (แรด) 6รู เบอร์ 80</t>
        </is>
      </c>
      <c r="C851" s="8" t="inlineStr">
        <is>
          <t>100แผ่น</t>
        </is>
      </c>
      <c r="D851" s="9" t="n">
        <v>9</v>
      </c>
      <c r="H851" s="9" t="n">
        <v>900</v>
      </c>
      <c r="I851" s="10" t="inlineStr">
        <is>
          <t>ออโต้ สมาร์ท</t>
        </is>
      </c>
      <c r="J851" s="161" t="n">
        <v>23577</v>
      </c>
      <c r="L851" s="8" t="inlineStr">
        <is>
          <t>ราคาที่ลง ยังไม่รวมภาษี</t>
        </is>
      </c>
    </row>
    <row r="852">
      <c r="B852" s="6" t="inlineStr">
        <is>
          <t>กระดาษทรายกลม Rhynogrip (แรด) 6รู เบอร์ 80</t>
        </is>
      </c>
      <c r="C852" s="8" t="inlineStr">
        <is>
          <t>100แผ่น</t>
        </is>
      </c>
      <c r="D852" s="9" t="n">
        <v>9</v>
      </c>
      <c r="H852" s="9" t="n">
        <v>900</v>
      </c>
      <c r="I852" s="10" t="inlineStr">
        <is>
          <t>ออโต้ สมาร์ท</t>
        </is>
      </c>
      <c r="J852" s="161" t="n">
        <v>23598</v>
      </c>
      <c r="L852" s="8" t="inlineStr">
        <is>
          <t>ราคาที่ลง ยังไม่รวมภาษี</t>
        </is>
      </c>
    </row>
    <row r="853">
      <c r="B853" s="6" t="inlineStr">
        <is>
          <t>กระดาษทรายกลม Rhynogrip (แรด) 6รู เบอร์ 80</t>
        </is>
      </c>
      <c r="C853" s="8" t="inlineStr">
        <is>
          <t>100แผ่น</t>
        </is>
      </c>
      <c r="D853" s="9" t="n">
        <v>9</v>
      </c>
      <c r="H853" s="9" t="n">
        <v>900</v>
      </c>
      <c r="I853" s="10" t="inlineStr">
        <is>
          <t>ออโต้ สมาร์ท</t>
        </is>
      </c>
      <c r="J853" s="161" t="n">
        <v>23620</v>
      </c>
      <c r="K853" s="8" t="n">
        <v>202108203</v>
      </c>
      <c r="L853" s="8" t="inlineStr">
        <is>
          <t>ราคาที่ลง ยังไม่รวมภาษี</t>
        </is>
      </c>
    </row>
    <row r="854">
      <c r="B854" s="6" t="inlineStr">
        <is>
          <t>กระดาษทรายกลม Rhynogrip (แรด) 6รู เบอร์ 80</t>
        </is>
      </c>
      <c r="C854" s="8" t="inlineStr">
        <is>
          <t>100แผ่น</t>
        </is>
      </c>
      <c r="D854" s="9" t="n">
        <v>9</v>
      </c>
      <c r="H854" s="9" t="n">
        <v>900</v>
      </c>
      <c r="I854" s="10" t="inlineStr">
        <is>
          <t>ออโต้ สมาร์ท</t>
        </is>
      </c>
      <c r="J854" s="161" t="n">
        <v>23643</v>
      </c>
      <c r="K854" s="8" t="n">
        <v>202109165</v>
      </c>
      <c r="L854" s="8" t="inlineStr">
        <is>
          <t>ราคาที่ลง ยังไม่รวมภาษี</t>
        </is>
      </c>
    </row>
    <row r="855">
      <c r="B855" s="6" t="inlineStr">
        <is>
          <t>กระดาษทรายกลม Rhynogrip (แรด) 6รู เบอร์ 80</t>
        </is>
      </c>
      <c r="C855" s="8" t="inlineStr">
        <is>
          <t>100แผ่น</t>
        </is>
      </c>
      <c r="D855" s="9" t="n">
        <v>9</v>
      </c>
      <c r="H855" s="9" t="n">
        <v>900</v>
      </c>
      <c r="I855" s="10" t="inlineStr">
        <is>
          <t>ออโต้ สมาร์ท</t>
        </is>
      </c>
      <c r="J855" s="161" t="n">
        <v>23718</v>
      </c>
      <c r="K855" s="8" t="n">
        <v>202112058</v>
      </c>
      <c r="L855" s="8" t="inlineStr">
        <is>
          <t>ราคาที่ลง ยังไม่รวมภาษี</t>
        </is>
      </c>
    </row>
    <row r="856">
      <c r="B856" s="6" t="inlineStr">
        <is>
          <t>กระดาษทรายกลม Rhynogrip (แรด) 6รู เบอร์ 80</t>
        </is>
      </c>
      <c r="C856" s="8" t="inlineStr">
        <is>
          <t>100แผ่น</t>
        </is>
      </c>
      <c r="D856" s="9" t="n">
        <v>9</v>
      </c>
      <c r="H856" s="9" t="n">
        <v>900</v>
      </c>
      <c r="I856" s="10" t="inlineStr">
        <is>
          <t>ออโต้ สมาร์ท</t>
        </is>
      </c>
      <c r="J856" s="161" t="n">
        <v>23762</v>
      </c>
      <c r="K856" s="8" t="n">
        <v>202201143</v>
      </c>
      <c r="L856" s="8" t="inlineStr">
        <is>
          <t>ราคาที่ลง ยังไม่รวมภาษี</t>
        </is>
      </c>
    </row>
    <row r="857">
      <c r="B857" s="6" t="inlineStr">
        <is>
          <t>กระดาษทรายกลม CAPTAIN 6" 6รู เบอร์ 80</t>
        </is>
      </c>
      <c r="C857" s="8" t="inlineStr">
        <is>
          <t>100แผ่น</t>
        </is>
      </c>
      <c r="D857" s="9" t="n">
        <v>5.5</v>
      </c>
      <c r="H857" s="9" t="n">
        <v>550</v>
      </c>
      <c r="I857" s="10" t="inlineStr">
        <is>
          <t>ทาเลนท์อินเตอร์เทรด</t>
        </is>
      </c>
      <c r="J857" s="161" t="n">
        <v>23809</v>
      </c>
      <c r="K857" s="8" t="inlineStr">
        <is>
          <t>IV6504527</t>
        </is>
      </c>
      <c r="L857" s="8" t="inlineStr">
        <is>
          <t>ราคาที่ลง ยังไม่รวมภาษี</t>
        </is>
      </c>
    </row>
    <row r="858">
      <c r="A858" s="68" t="inlineStr">
        <is>
          <t>โปรซื้อ 19แถมฟรี 8</t>
        </is>
      </c>
      <c r="B858" s="6" t="inlineStr">
        <is>
          <t>กระดาษทรายกลม Rhynogrip (แรด) 6รู เบอร์ 80</t>
        </is>
      </c>
      <c r="C858" s="8" t="inlineStr">
        <is>
          <t>500แผ่น</t>
        </is>
      </c>
      <c r="D858" s="9" t="n">
        <v>5.56</v>
      </c>
      <c r="G858" s="10" t="n">
        <v>3.91</v>
      </c>
      <c r="H858" s="9" t="n">
        <v>2781.25</v>
      </c>
      <c r="I858" s="10" t="inlineStr">
        <is>
          <t>ออโต้เทรด</t>
        </is>
      </c>
      <c r="J858" s="161" t="n">
        <v>23901</v>
      </c>
      <c r="K858" s="8" t="inlineStr">
        <is>
          <t>IV1417113</t>
        </is>
      </c>
      <c r="L858" s="8" t="inlineStr">
        <is>
          <t>ราคาที่ลง ยังไม่รวมภาษี</t>
        </is>
      </c>
    </row>
    <row r="859">
      <c r="A859" s="68" t="inlineStr">
        <is>
          <t>โปรซื้อ 19แถมฟรี 8</t>
        </is>
      </c>
      <c r="B859" s="6" t="inlineStr">
        <is>
          <t>กระดาษทรายกลม Rhynogrip (แรด) 6รู เบอร์ 80</t>
        </is>
      </c>
      <c r="C859" s="8" t="inlineStr">
        <is>
          <t>2กล่อง</t>
        </is>
      </c>
      <c r="D859" s="9" t="n">
        <v>650</v>
      </c>
      <c r="H859" s="9" t="n">
        <v>1300</v>
      </c>
      <c r="I859" s="10" t="inlineStr">
        <is>
          <t>ออโต้เทรด</t>
        </is>
      </c>
      <c r="J859" s="161" t="n">
        <v>24021</v>
      </c>
      <c r="K859" s="8" t="inlineStr">
        <is>
          <t>IV1422486</t>
        </is>
      </c>
      <c r="L859" s="8" t="inlineStr">
        <is>
          <t>ราคาที่ลง ยังไม่รวมภาษี</t>
        </is>
      </c>
    </row>
    <row r="860">
      <c r="A860" s="68" t="inlineStr">
        <is>
          <t>โปรซื้อ 20แถมฟรี 10</t>
        </is>
      </c>
      <c r="B860" s="6" t="inlineStr">
        <is>
          <t>กระดาษทรายกลม Rhynogrip (แรด) 6รู เบอร์ 80</t>
        </is>
      </c>
      <c r="C860" s="8" t="inlineStr">
        <is>
          <t>2กล่อง</t>
        </is>
      </c>
      <c r="D860" s="9" t="n">
        <v>650</v>
      </c>
      <c r="H860" s="9" t="n">
        <v>1300</v>
      </c>
      <c r="I860" s="10" t="inlineStr">
        <is>
          <t>ออโต้เทรด</t>
        </is>
      </c>
      <c r="J860" s="161" t="n">
        <v>24084</v>
      </c>
      <c r="K860" s="8" t="inlineStr">
        <is>
          <t>IV1425090</t>
        </is>
      </c>
      <c r="L860" s="8" t="inlineStr">
        <is>
          <t>ราคาที่ลง ยังไม่รวมภาษี</t>
        </is>
      </c>
    </row>
    <row r="861">
      <c r="A861" s="68" t="inlineStr">
        <is>
          <t>โปรซื้อ 20แถมฟรี 10</t>
        </is>
      </c>
      <c r="B861" s="6" t="inlineStr">
        <is>
          <t>กระดาษทรายกลม Rhynogrip (แรด) 6รู เบอร์ 80</t>
        </is>
      </c>
      <c r="C861" s="8" t="inlineStr">
        <is>
          <t>1กล่อง</t>
        </is>
      </c>
      <c r="I861" s="10" t="inlineStr">
        <is>
          <t>ออโต้เทรด</t>
        </is>
      </c>
      <c r="J861" s="161" t="n">
        <v>24084</v>
      </c>
      <c r="K861" s="8" t="inlineStr">
        <is>
          <t>IV1425090</t>
        </is>
      </c>
      <c r="L861" s="8" t="inlineStr">
        <is>
          <t>ราคาที่ลง ยังไม่รวมภาษี</t>
        </is>
      </c>
    </row>
    <row r="862">
      <c r="A862" s="68" t="inlineStr">
        <is>
          <t>โปรซื้อ 19แถมฟรี 8</t>
        </is>
      </c>
      <c r="B862" s="6" t="inlineStr">
        <is>
          <t>กระดาษทรายกลม Rhynogrip (แรด) 6รู เบอร์ 80</t>
        </is>
      </c>
      <c r="C862" s="8" t="inlineStr">
        <is>
          <t>2กล่อง</t>
        </is>
      </c>
      <c r="I862" s="10" t="inlineStr">
        <is>
          <t>ออโต้เทรด</t>
        </is>
      </c>
      <c r="J862" s="161" t="n">
        <v>24144</v>
      </c>
      <c r="K862" s="8" t="inlineStr">
        <is>
          <t>IV1427558</t>
        </is>
      </c>
      <c r="L862" s="8" t="inlineStr">
        <is>
          <t>ราคาที่ลง ยังไม่รวมภาษี</t>
        </is>
      </c>
    </row>
    <row r="863">
      <c r="A863" s="68" t="inlineStr">
        <is>
          <t>โปรซื้อ 20แถมฟรี 8</t>
        </is>
      </c>
      <c r="B863" s="6" t="inlineStr">
        <is>
          <t>กระดาษทรายกลม Rhynogrip (แรด) 6รู เบอร์ 80 -- แถมฟรี</t>
        </is>
      </c>
      <c r="C863" s="8" t="inlineStr">
        <is>
          <t>6กล่อง</t>
        </is>
      </c>
      <c r="I863" s="10" t="inlineStr">
        <is>
          <t>ออโต้เทรด</t>
        </is>
      </c>
      <c r="J863" s="161" t="n">
        <v>24202</v>
      </c>
      <c r="K863" s="8" t="inlineStr">
        <is>
          <t>IV1430190</t>
        </is>
      </c>
      <c r="L863" s="8" t="inlineStr">
        <is>
          <t>ราคาที่ลง ยังไม่รวมภาษี</t>
        </is>
      </c>
    </row>
    <row r="864">
      <c r="A864" s="68" t="inlineStr">
        <is>
          <t>โปรซื้อ 20แถมฟรี 8</t>
        </is>
      </c>
      <c r="B864" s="6" t="inlineStr">
        <is>
          <t>กระดาษทรายกลม Rhynogrip (แรด) 6รู เบอร์ 80 -- แถมฟรี</t>
        </is>
      </c>
      <c r="C864" s="8" t="n">
        <v>4</v>
      </c>
      <c r="I864" s="10" t="inlineStr">
        <is>
          <t>ออโต้เทรด</t>
        </is>
      </c>
      <c r="J864" s="161" t="n">
        <v>24326</v>
      </c>
      <c r="K864" s="8" t="inlineStr">
        <is>
          <t>IV1435877</t>
        </is>
      </c>
      <c r="L864" s="8" t="inlineStr">
        <is>
          <t>ราคาที่ลง ยังไม่รวมภาษี</t>
        </is>
      </c>
    </row>
    <row r="865">
      <c r="A865" s="68" t="inlineStr">
        <is>
          <t>โปรซื้อ 20แถมฟรี 8</t>
        </is>
      </c>
      <c r="B865" s="6" t="inlineStr">
        <is>
          <t>กระดาษทรายกลม Rhynogrip (แรด) 6รู เบอร์ 80</t>
        </is>
      </c>
      <c r="C865" s="8" t="n">
        <v>4</v>
      </c>
      <c r="D865" s="9" t="n">
        <v>650</v>
      </c>
      <c r="H865" s="9">
        <f>SUM(D865*C865)</f>
        <v/>
      </c>
      <c r="I865" s="10" t="inlineStr">
        <is>
          <t>ออโต้เทรด</t>
        </is>
      </c>
      <c r="J865" s="161" t="n">
        <v>24385</v>
      </c>
      <c r="K865" s="8" t="inlineStr">
        <is>
          <t>IV1438645</t>
        </is>
      </c>
      <c r="L865" s="8" t="inlineStr">
        <is>
          <t>ราคาที่ลง ยังไม่รวมภาษี</t>
        </is>
      </c>
    </row>
    <row r="866">
      <c r="A866" s="68" t="inlineStr">
        <is>
          <t>โปรซื้อ 38แถมฟรี 14</t>
        </is>
      </c>
      <c r="B866" s="6" t="inlineStr">
        <is>
          <t>กระดาษทรายกลม Rhynogrip (แรด) 6รู เบอร์ 80</t>
        </is>
      </c>
      <c r="C866" s="8" t="n">
        <v>12</v>
      </c>
      <c r="D866" s="9" t="n">
        <v>695.5</v>
      </c>
      <c r="H866" s="9">
        <f>SUM(D866*C866)</f>
        <v/>
      </c>
      <c r="I866" s="10" t="inlineStr">
        <is>
          <t>ออโต้เทรด</t>
        </is>
      </c>
      <c r="J866" s="161" t="n">
        <v>24846</v>
      </c>
      <c r="K866" s="8" t="inlineStr">
        <is>
          <t>IV1459290</t>
        </is>
      </c>
      <c r="L866" s="8" t="inlineStr">
        <is>
          <t>ราคารวม VAT แล้ว</t>
        </is>
      </c>
    </row>
    <row r="867">
      <c r="A867" s="68" t="inlineStr">
        <is>
          <t>โปรซื้อ 24แถมฟรี 8</t>
        </is>
      </c>
      <c r="B867" s="6" t="inlineStr">
        <is>
          <t>กระดาษทรายกลม Rhynogrip (แรด) 6รู เบอร์ 80</t>
        </is>
      </c>
      <c r="C867" s="8" t="n">
        <v>12</v>
      </c>
      <c r="D867" s="9" t="n">
        <v>695.5</v>
      </c>
      <c r="H867" s="9">
        <f>SUM(D867*C867)</f>
        <v/>
      </c>
      <c r="I867" s="10" t="inlineStr">
        <is>
          <t>ออโต้เทรด</t>
        </is>
      </c>
      <c r="J867" s="161" t="n">
        <v>24516</v>
      </c>
      <c r="K867" s="8" t="inlineStr">
        <is>
          <t>IV1444437</t>
        </is>
      </c>
      <c r="L867" s="8" t="inlineStr">
        <is>
          <t>ราคารวม VAT แล้ว</t>
        </is>
      </c>
    </row>
    <row r="868">
      <c r="A868" s="68" t="n"/>
      <c r="B868" s="6" t="inlineStr">
        <is>
          <t>กระดาษทรายกลม Rhynogrip (แรด)  6รู เบอร์ 80 -- แถมฟรี</t>
        </is>
      </c>
      <c r="C868" s="8" t="n">
        <v>6</v>
      </c>
      <c r="E868" s="9">
        <f>SUM(C868*D868)</f>
        <v/>
      </c>
      <c r="G868" s="10" t="inlineStr">
        <is>
          <t>รวม VAT =</t>
        </is>
      </c>
      <c r="H868" s="9">
        <f>SUM(E868*O868/N868)</f>
        <v/>
      </c>
      <c r="I868" s="10" t="inlineStr">
        <is>
          <t>ออโต้เทรด</t>
        </is>
      </c>
      <c r="J868" s="161" t="n">
        <v>24996</v>
      </c>
      <c r="K868" s="8" t="inlineStr">
        <is>
          <t>IV1466221</t>
        </is>
      </c>
      <c r="L868" s="8" t="inlineStr">
        <is>
          <t>ราคารวม VAT แล้ว</t>
        </is>
      </c>
      <c r="N868" s="6" t="n">
        <v>100</v>
      </c>
      <c r="O868" s="6" t="n">
        <v>107</v>
      </c>
    </row>
    <row r="869">
      <c r="B869" s="6" t="inlineStr">
        <is>
          <t>กระดาษทรายกลม Rhynogrip (แรด) 6รู เบอร์ 80</t>
        </is>
      </c>
      <c r="C869" s="8" t="n">
        <v>4</v>
      </c>
      <c r="D869" s="9" t="n">
        <v>650</v>
      </c>
      <c r="F869" s="17" t="n"/>
      <c r="G869" s="10">
        <f>SUM(C869*D869)</f>
        <v/>
      </c>
      <c r="H869" s="9">
        <f>SUM(G869*107/100)</f>
        <v/>
      </c>
      <c r="I869" s="10" t="inlineStr">
        <is>
          <t>ออโต้เทรด มาร์เก็ตติ้ง</t>
        </is>
      </c>
      <c r="J869" s="161" t="n">
        <v>25135</v>
      </c>
      <c r="K869" s="8" t="inlineStr">
        <is>
          <t>IV1472726</t>
        </is>
      </c>
      <c r="L869" s="8" t="inlineStr">
        <is>
          <t>ราคาที่ลง ยังไม่รวมภาษี</t>
        </is>
      </c>
    </row>
    <row r="871">
      <c r="A871" s="72" t="inlineStr">
        <is>
          <t xml:space="preserve">** เบอร์นี้ใช้เยอะ ** </t>
        </is>
      </c>
      <c r="B871" s="6" t="inlineStr">
        <is>
          <t>กระดาษทรายกลม Oslong 6" 6รู เบอร์ 120</t>
        </is>
      </c>
      <c r="C871" s="8" t="inlineStr">
        <is>
          <t>100แผ่น</t>
        </is>
      </c>
      <c r="D871" s="9" t="n">
        <v>7.5</v>
      </c>
      <c r="H871" s="9" t="n">
        <v>750</v>
      </c>
      <c r="I871" s="10" t="inlineStr">
        <is>
          <t>เบรนเวิคส์</t>
        </is>
      </c>
      <c r="J871" s="161" t="n">
        <v>22423</v>
      </c>
      <c r="L871" s="8" t="inlineStr">
        <is>
          <t>ราคาที่ลง ยังไม่รวมภาษี</t>
        </is>
      </c>
    </row>
    <row r="872">
      <c r="B872" s="6" t="inlineStr">
        <is>
          <t>กระดาษทรายกลม Oslong 6" 6รู เบอร์ 120</t>
        </is>
      </c>
      <c r="C872" s="8" t="inlineStr">
        <is>
          <t>100แผ่น</t>
        </is>
      </c>
      <c r="D872" s="9" t="n">
        <v>7.5</v>
      </c>
      <c r="H872" s="9" t="n">
        <v>750</v>
      </c>
      <c r="I872" s="10" t="inlineStr">
        <is>
          <t>เบรนเวิคส์</t>
        </is>
      </c>
      <c r="J872" s="161" t="n">
        <v>22433</v>
      </c>
      <c r="L872" s="8" t="inlineStr">
        <is>
          <t>ราคาที่ลง ยังไม่รวมภาษี</t>
        </is>
      </c>
    </row>
    <row r="873">
      <c r="B873" s="6" t="inlineStr">
        <is>
          <t>กระดาษทรายกลม Rhynogrip (แรด) 6รู เบอร์ 120</t>
        </is>
      </c>
      <c r="C873" s="8" t="inlineStr">
        <is>
          <t>100แผ่น</t>
        </is>
      </c>
      <c r="D873" s="9" t="n">
        <v>9</v>
      </c>
      <c r="H873" s="9" t="n">
        <v>900</v>
      </c>
      <c r="I873" s="10" t="inlineStr">
        <is>
          <t>ออโต้ สมาร์ท</t>
        </is>
      </c>
      <c r="J873" s="161" t="n">
        <v>22840</v>
      </c>
      <c r="L873" s="8" t="inlineStr">
        <is>
          <t>ราคาที่ลง ยังไม่รวมภาษี</t>
        </is>
      </c>
    </row>
    <row r="874">
      <c r="B874" s="6" t="inlineStr">
        <is>
          <t>กระดาษทรายกลม Rhynogrip (แรด) 6รู เบอร์ 120</t>
        </is>
      </c>
      <c r="C874" s="8" t="inlineStr">
        <is>
          <t>100แผ่น</t>
        </is>
      </c>
      <c r="D874" s="9" t="n">
        <v>9</v>
      </c>
      <c r="H874" s="9" t="n">
        <v>900</v>
      </c>
      <c r="I874" s="10" t="inlineStr">
        <is>
          <t>ออโต้ สมาร์ท</t>
        </is>
      </c>
      <c r="J874" s="161" t="n">
        <v>22849</v>
      </c>
      <c r="L874" s="8" t="inlineStr">
        <is>
          <t>ราคาที่ลง ยังไม่รวมภาษี</t>
        </is>
      </c>
    </row>
    <row r="875">
      <c r="B875" s="6" t="inlineStr">
        <is>
          <t>กระดาษทรายกลม Rhynogrip (แรด) 6รู เบอร์ 120</t>
        </is>
      </c>
      <c r="C875" s="8" t="inlineStr">
        <is>
          <t>100แผ่น</t>
        </is>
      </c>
      <c r="D875" s="9" t="n">
        <v>9</v>
      </c>
      <c r="H875" s="9" t="n">
        <v>900</v>
      </c>
      <c r="I875" s="10" t="inlineStr">
        <is>
          <t>ออโต้ สมาร์ท</t>
        </is>
      </c>
      <c r="J875" s="161" t="n">
        <v>22863</v>
      </c>
      <c r="L875" s="8" t="inlineStr">
        <is>
          <t>ราคาที่ลง ยังไม่รวมภาษี</t>
        </is>
      </c>
    </row>
    <row r="876">
      <c r="B876" s="6" t="inlineStr">
        <is>
          <t>กระดาษทรายกลม Rhynogrip (แรด) 6รู เบอร์ 120</t>
        </is>
      </c>
      <c r="C876" s="8" t="inlineStr">
        <is>
          <t>100แผ่น</t>
        </is>
      </c>
      <c r="D876" s="9" t="n">
        <v>9</v>
      </c>
      <c r="H876" s="9" t="n">
        <v>900</v>
      </c>
      <c r="I876" s="10" t="inlineStr">
        <is>
          <t>ออโต้ สมาร์ท</t>
        </is>
      </c>
      <c r="J876" s="161" t="n">
        <v>22882</v>
      </c>
      <c r="L876" s="8" t="inlineStr">
        <is>
          <t>ราคาที่ลง ยังไม่รวมภาษี</t>
        </is>
      </c>
    </row>
    <row r="877">
      <c r="B877" s="6" t="inlineStr">
        <is>
          <t>กระดาษทรายกลม Rhynogrip (แรด) 6รู เบอร์ 120</t>
        </is>
      </c>
      <c r="C877" s="8" t="inlineStr">
        <is>
          <t>100แผ่น</t>
        </is>
      </c>
      <c r="D877" s="9" t="n">
        <v>9</v>
      </c>
      <c r="H877" s="9" t="n">
        <v>900</v>
      </c>
      <c r="I877" s="10" t="inlineStr">
        <is>
          <t>ออโต้ สมาร์ท</t>
        </is>
      </c>
      <c r="J877" s="161" t="n">
        <v>22893</v>
      </c>
      <c r="L877" s="8" t="inlineStr">
        <is>
          <t>ราคาที่ลง ยังไม่รวมภาษี</t>
        </is>
      </c>
    </row>
    <row r="878">
      <c r="B878" s="6" t="inlineStr">
        <is>
          <t>กระดาษทรายกลม Rhynogrip (แรด) 6รู เบอร์ 120</t>
        </is>
      </c>
      <c r="C878" s="8" t="inlineStr">
        <is>
          <t>200แผ่น</t>
        </is>
      </c>
      <c r="D878" s="9" t="n">
        <v>9</v>
      </c>
      <c r="H878" s="9" t="n">
        <v>1800</v>
      </c>
      <c r="I878" s="10" t="inlineStr">
        <is>
          <t>ออโต้ สมาร์ท</t>
        </is>
      </c>
      <c r="J878" s="161" t="n">
        <v>22997</v>
      </c>
      <c r="L878" s="8" t="inlineStr">
        <is>
          <t>ราคาที่ลง ยังไม่รวมภาษี</t>
        </is>
      </c>
    </row>
    <row r="879">
      <c r="B879" s="6" t="inlineStr">
        <is>
          <t>กระดาษทรายกลม Rhynogrip (แรด) 6รู เบอร์ 120</t>
        </is>
      </c>
      <c r="C879" s="8" t="inlineStr">
        <is>
          <t>200แผ่น</t>
        </is>
      </c>
      <c r="D879" s="9" t="n">
        <v>9</v>
      </c>
      <c r="H879" s="9" t="n">
        <v>1800</v>
      </c>
      <c r="I879" s="10" t="inlineStr">
        <is>
          <t>ออโต้ สมาร์ท</t>
        </is>
      </c>
      <c r="J879" s="161" t="n">
        <v>23064</v>
      </c>
      <c r="L879" s="8" t="inlineStr">
        <is>
          <t>ราคาที่ลง ยังไม่รวมภาษี</t>
        </is>
      </c>
    </row>
    <row r="880">
      <c r="B880" s="6" t="inlineStr">
        <is>
          <t>กระดาษทรายกลม Rhynogrip (แรด) 6รู เบอร์ 120</t>
        </is>
      </c>
      <c r="C880" s="8" t="inlineStr">
        <is>
          <t>100แผ่น</t>
        </is>
      </c>
      <c r="D880" s="9" t="n">
        <v>9</v>
      </c>
      <c r="H880" s="9" t="n">
        <v>900</v>
      </c>
      <c r="I880" s="10" t="inlineStr">
        <is>
          <t>ออโต้ สมาร์ท</t>
        </is>
      </c>
      <c r="J880" s="161" t="n">
        <v>23080</v>
      </c>
      <c r="L880" s="8" t="inlineStr">
        <is>
          <t>ราคาที่ลง ยังไม่รวมภาษี</t>
        </is>
      </c>
    </row>
    <row r="881">
      <c r="B881" s="6" t="inlineStr">
        <is>
          <t>กระดาษทรายกลม Rhynogrip (แรด) 6รู เบอร์ 120</t>
        </is>
      </c>
      <c r="C881" s="8" t="inlineStr">
        <is>
          <t>100แผ่น</t>
        </is>
      </c>
      <c r="D881" s="9" t="n">
        <v>9</v>
      </c>
      <c r="H881" s="9" t="n">
        <v>900</v>
      </c>
      <c r="I881" s="10" t="inlineStr">
        <is>
          <t>ออโต้ สมาร์ท</t>
        </is>
      </c>
      <c r="J881" s="161" t="n">
        <v>23087</v>
      </c>
      <c r="L881" s="8" t="inlineStr">
        <is>
          <t>ราคาที่ลง ยังไม่รวมภาษี</t>
        </is>
      </c>
    </row>
    <row r="882">
      <c r="B882" s="6" t="inlineStr">
        <is>
          <t>กระดาษทรายกลม Rhynogrip (แรด) 6รู เบอร์ 120</t>
        </is>
      </c>
      <c r="C882" s="8" t="inlineStr">
        <is>
          <t>200แผ่น</t>
        </is>
      </c>
      <c r="D882" s="9" t="n">
        <v>9</v>
      </c>
      <c r="H882" s="9" t="n">
        <v>1800</v>
      </c>
      <c r="I882" s="10" t="inlineStr">
        <is>
          <t>ออโต้ สมาร์ท</t>
        </is>
      </c>
      <c r="J882" s="161" t="n">
        <v>23095</v>
      </c>
      <c r="L882" s="8" t="inlineStr">
        <is>
          <t>ราคาที่ลง ยังไม่รวมภาษี</t>
        </is>
      </c>
    </row>
    <row r="883">
      <c r="B883" s="6" t="inlineStr">
        <is>
          <t>กระดาษทรายกลม Rhynogrip (แรด) 6รู เบอร์ 120</t>
        </is>
      </c>
      <c r="C883" s="8" t="inlineStr">
        <is>
          <t>100แผ่น</t>
        </is>
      </c>
      <c r="D883" s="9" t="n">
        <v>9</v>
      </c>
      <c r="H883" s="9" t="n">
        <v>900</v>
      </c>
      <c r="I883" s="10" t="inlineStr">
        <is>
          <t>ออโต้ สมาร์ท</t>
        </is>
      </c>
      <c r="J883" s="161" t="n">
        <v>23110</v>
      </c>
      <c r="L883" s="8" t="inlineStr">
        <is>
          <t>ราคาที่ลง ยังไม่รวมภาษี</t>
        </is>
      </c>
    </row>
    <row r="884">
      <c r="B884" s="6" t="inlineStr">
        <is>
          <t>กระดาษทรายกลม Rhynogrip (แรด) 6รู เบอร์ 120</t>
        </is>
      </c>
      <c r="C884" s="8" t="inlineStr">
        <is>
          <t>200แผ่น</t>
        </is>
      </c>
      <c r="D884" s="9" t="n">
        <v>9</v>
      </c>
      <c r="H884" s="9" t="n">
        <v>1800</v>
      </c>
      <c r="I884" s="10" t="inlineStr">
        <is>
          <t>ออโต้ สมาร์ท</t>
        </is>
      </c>
      <c r="J884" s="161" t="n">
        <v>23142</v>
      </c>
      <c r="L884" s="8" t="inlineStr">
        <is>
          <t>ราคาที่ลง ยังไม่รวมภาษี</t>
        </is>
      </c>
    </row>
    <row r="885">
      <c r="B885" s="6" t="inlineStr">
        <is>
          <t>กระดาษทรายกลม Rhynogrip (แรด) 6รู เบอร์ 120</t>
        </is>
      </c>
      <c r="C885" s="8" t="inlineStr">
        <is>
          <t>200แผ่น</t>
        </is>
      </c>
      <c r="D885" s="9" t="n">
        <v>9</v>
      </c>
      <c r="H885" s="9" t="n">
        <v>1800</v>
      </c>
      <c r="I885" s="10" t="inlineStr">
        <is>
          <t>ออโต้ สมาร์ท</t>
        </is>
      </c>
      <c r="J885" s="161" t="n">
        <v>23157</v>
      </c>
      <c r="L885" s="8" t="inlineStr">
        <is>
          <t>ราคาที่ลง ยังไม่รวมภาษี</t>
        </is>
      </c>
    </row>
    <row r="886">
      <c r="B886" s="6" t="inlineStr">
        <is>
          <t>กระดาษทรายกลม Rhynogrip (แรด) 6รู เบอร์ 120</t>
        </is>
      </c>
      <c r="C886" s="8" t="inlineStr">
        <is>
          <t>100แผ่น</t>
        </is>
      </c>
      <c r="D886" s="9" t="n">
        <v>9</v>
      </c>
      <c r="H886" s="9" t="n">
        <v>900</v>
      </c>
      <c r="I886" s="10" t="inlineStr">
        <is>
          <t>ออโต้ สมาร์ท</t>
        </is>
      </c>
      <c r="J886" s="161" t="n">
        <v>23172</v>
      </c>
      <c r="L886" s="8" t="inlineStr">
        <is>
          <t>ราคาที่ลง ยังไม่รวมภาษี</t>
        </is>
      </c>
    </row>
    <row r="887">
      <c r="B887" s="6" t="inlineStr">
        <is>
          <t>กระดาษทรายกลม Rhynogrip (แรด) 6รู เบอร์ 120</t>
        </is>
      </c>
      <c r="C887" s="8" t="inlineStr">
        <is>
          <t>200แผ่น</t>
        </is>
      </c>
      <c r="D887" s="9" t="n">
        <v>9</v>
      </c>
      <c r="H887" s="9" t="n">
        <v>1800</v>
      </c>
      <c r="I887" s="10" t="inlineStr">
        <is>
          <t>ออโต้ สมาร์ท</t>
        </is>
      </c>
      <c r="J887" s="161" t="n">
        <v>23186</v>
      </c>
      <c r="L887" s="8" t="inlineStr">
        <is>
          <t>ราคาที่ลง ยังไม่รวมภาษี</t>
        </is>
      </c>
    </row>
    <row r="888">
      <c r="B888" s="6" t="inlineStr">
        <is>
          <t>กระดาษทรายกลม Rhynogrip (แรด) 6รู เบอร์ 120</t>
        </is>
      </c>
      <c r="C888" s="8" t="inlineStr">
        <is>
          <t>100แผ่น</t>
        </is>
      </c>
      <c r="D888" s="9" t="n">
        <v>9</v>
      </c>
      <c r="H888" s="9" t="n">
        <v>900</v>
      </c>
      <c r="I888" s="10" t="inlineStr">
        <is>
          <t>ออโต้ สมาร์ท</t>
        </is>
      </c>
      <c r="J888" s="161" t="n">
        <v>23202</v>
      </c>
      <c r="L888" s="8" t="inlineStr">
        <is>
          <t>ราคาที่ลง ยังไม่รวมภาษี</t>
        </is>
      </c>
    </row>
    <row r="889">
      <c r="B889" s="6" t="inlineStr">
        <is>
          <t>กระดาษทรายกลม Rhynogrip (แรด) 6รู เบอร์ 120</t>
        </is>
      </c>
      <c r="C889" s="8" t="inlineStr">
        <is>
          <t>100แผ่น</t>
        </is>
      </c>
      <c r="D889" s="9" t="n">
        <v>9</v>
      </c>
      <c r="H889" s="9" t="n">
        <v>900</v>
      </c>
      <c r="I889" s="10" t="inlineStr">
        <is>
          <t>ออโต้ สมาร์ท</t>
        </is>
      </c>
      <c r="J889" s="161" t="n">
        <v>23212</v>
      </c>
      <c r="L889" s="8" t="inlineStr">
        <is>
          <t>ราคาที่ลง ยังไม่รวมภาษี</t>
        </is>
      </c>
    </row>
    <row r="890">
      <c r="B890" s="6" t="inlineStr">
        <is>
          <t>กระดาษทรายกลม Rhynogrip (แรด) 6รู เบอร์ 120</t>
        </is>
      </c>
      <c r="C890" s="8" t="inlineStr">
        <is>
          <t>200แผ่น</t>
        </is>
      </c>
      <c r="D890" s="9" t="n">
        <v>9</v>
      </c>
      <c r="H890" s="9" t="n">
        <v>1800</v>
      </c>
      <c r="I890" s="10" t="inlineStr">
        <is>
          <t>ออโต้ สมาร์ท</t>
        </is>
      </c>
      <c r="J890" s="161" t="n">
        <v>23230</v>
      </c>
      <c r="L890" s="8" t="inlineStr">
        <is>
          <t>ราคาที่ลง ยังไม่รวมภาษี</t>
        </is>
      </c>
    </row>
    <row r="891">
      <c r="B891" s="6" t="inlineStr">
        <is>
          <t>กระดาษทรายกลม Rhynogrip (แรด) 6รู เบอร์ 120</t>
        </is>
      </c>
      <c r="C891" s="8" t="inlineStr">
        <is>
          <t>200แผ่น</t>
        </is>
      </c>
      <c r="D891" s="9" t="n">
        <v>9</v>
      </c>
      <c r="H891" s="9" t="n">
        <v>1800</v>
      </c>
      <c r="I891" s="10" t="inlineStr">
        <is>
          <t>ออโต้ สมาร์ท</t>
        </is>
      </c>
      <c r="J891" s="161" t="n">
        <v>23254</v>
      </c>
      <c r="L891" s="8" t="inlineStr">
        <is>
          <t>ราคาที่ลง ยังไม่รวมภาษี</t>
        </is>
      </c>
    </row>
    <row r="892">
      <c r="B892" s="6" t="inlineStr">
        <is>
          <t>กระดาษทรายกลม Rhynogrip (แรด) 6รู เบอร์ 120</t>
        </is>
      </c>
      <c r="C892" s="8" t="inlineStr">
        <is>
          <t>100แผ่น</t>
        </is>
      </c>
      <c r="D892" s="9" t="n">
        <v>9</v>
      </c>
      <c r="H892" s="9" t="n">
        <v>900</v>
      </c>
      <c r="I892" s="10" t="inlineStr">
        <is>
          <t>ออโต้ สมาร์ท</t>
        </is>
      </c>
      <c r="J892" s="161" t="n">
        <v>23269</v>
      </c>
      <c r="L892" s="8" t="inlineStr">
        <is>
          <t>ราคาที่ลง ยังไม่รวมภาษี</t>
        </is>
      </c>
    </row>
    <row r="893">
      <c r="B893" s="6" t="inlineStr">
        <is>
          <t>กระดาษทรายกลม Rhynogrip (แรด) 6รู เบอร์ 120</t>
        </is>
      </c>
      <c r="C893" s="8" t="inlineStr">
        <is>
          <t>200แผ่น</t>
        </is>
      </c>
      <c r="D893" s="9" t="n">
        <v>9</v>
      </c>
      <c r="H893" s="9" t="n">
        <v>1800</v>
      </c>
      <c r="I893" s="10" t="inlineStr">
        <is>
          <t>ออโต้ สมาร์ท</t>
        </is>
      </c>
      <c r="J893" s="161" t="n">
        <v>23293</v>
      </c>
      <c r="L893" s="8" t="inlineStr">
        <is>
          <t>ราคาที่ลง ยังไม่รวมภาษี</t>
        </is>
      </c>
    </row>
    <row r="894">
      <c r="B894" s="6" t="inlineStr">
        <is>
          <t>กระดาษทรายกลม Rhynogrip (แรด) 6รู เบอร์ 120</t>
        </is>
      </c>
      <c r="C894" s="8" t="inlineStr">
        <is>
          <t>200แผ่น</t>
        </is>
      </c>
      <c r="D894" s="9" t="n">
        <v>9</v>
      </c>
      <c r="H894" s="9" t="n">
        <v>1800</v>
      </c>
      <c r="I894" s="10" t="inlineStr">
        <is>
          <t>ออโต้ สมาร์ท</t>
        </is>
      </c>
      <c r="J894" s="161" t="n">
        <v>23308</v>
      </c>
      <c r="L894" s="8" t="inlineStr">
        <is>
          <t>ราคาที่ลง ยังไม่รวมภาษี</t>
        </is>
      </c>
    </row>
    <row r="895">
      <c r="B895" s="6" t="inlineStr">
        <is>
          <t>กระดาษทรายกลม Rhynogrip (แรด) 6รู เบอร์ 120</t>
        </is>
      </c>
      <c r="C895" s="8" t="inlineStr">
        <is>
          <t>200แผ่น</t>
        </is>
      </c>
      <c r="D895" s="9" t="n">
        <v>9</v>
      </c>
      <c r="H895" s="9" t="n">
        <v>1800</v>
      </c>
      <c r="I895" s="10" t="inlineStr">
        <is>
          <t>ออโต้ สมาร์ท</t>
        </is>
      </c>
      <c r="J895" s="161" t="n">
        <v>23335</v>
      </c>
      <c r="L895" s="8" t="inlineStr">
        <is>
          <t>ราคาที่ลง ยังไม่รวมภาษี</t>
        </is>
      </c>
    </row>
    <row r="896">
      <c r="B896" s="6" t="inlineStr">
        <is>
          <t>กระดาษทรายกลม Rhynogrip (แรด) 6รู เบอร์ 120</t>
        </is>
      </c>
      <c r="C896" s="8" t="inlineStr">
        <is>
          <t>200แผ่น</t>
        </is>
      </c>
      <c r="D896" s="9" t="n">
        <v>9</v>
      </c>
      <c r="H896" s="9" t="n">
        <v>1800</v>
      </c>
      <c r="I896" s="10" t="inlineStr">
        <is>
          <t>ออโต้ สมาร์ท</t>
        </is>
      </c>
      <c r="J896" s="161" t="n">
        <v>23349</v>
      </c>
      <c r="L896" s="8" t="inlineStr">
        <is>
          <t>ราคาที่ลง ยังไม่รวมภาษี</t>
        </is>
      </c>
    </row>
    <row r="897">
      <c r="B897" s="6" t="inlineStr">
        <is>
          <t>กระดาษทรายกลม Rhynogrip (แรด) 6รู เบอร์ 120</t>
        </is>
      </c>
      <c r="C897" s="8" t="inlineStr">
        <is>
          <t>100แผ่น</t>
        </is>
      </c>
      <c r="D897" s="9" t="n">
        <v>9</v>
      </c>
      <c r="H897" s="9" t="n">
        <v>900</v>
      </c>
      <c r="I897" s="10" t="inlineStr">
        <is>
          <t>ออโต้ สมาร์ท</t>
        </is>
      </c>
      <c r="J897" s="161" t="n">
        <v>23354</v>
      </c>
      <c r="L897" s="8" t="inlineStr">
        <is>
          <t>ราคาที่ลง ยังไม่รวมภาษี</t>
        </is>
      </c>
    </row>
    <row r="898">
      <c r="B898" s="6" t="inlineStr">
        <is>
          <t>กระดาษทรายกลม Rhynogrip (แรด) 6รู เบอร์ 120</t>
        </is>
      </c>
      <c r="C898" s="8" t="inlineStr">
        <is>
          <t>100แผ่น</t>
        </is>
      </c>
      <c r="D898" s="9" t="n">
        <v>9</v>
      </c>
      <c r="H898" s="9" t="n">
        <v>900</v>
      </c>
      <c r="I898" s="10" t="inlineStr">
        <is>
          <t>ออโต้ สมาร์ท</t>
        </is>
      </c>
      <c r="J898" s="161" t="n">
        <v>23387</v>
      </c>
      <c r="L898" s="8" t="inlineStr">
        <is>
          <t>ราคาที่ลง ยังไม่รวมภาษี</t>
        </is>
      </c>
    </row>
    <row r="899">
      <c r="B899" s="6" t="inlineStr">
        <is>
          <t>กระดาษทรายกลม Rhynogrip (แรด) 6รู เบอร์ 120</t>
        </is>
      </c>
      <c r="C899" s="8" t="inlineStr">
        <is>
          <t>100แผ่น</t>
        </is>
      </c>
      <c r="D899" s="9" t="n">
        <v>9</v>
      </c>
      <c r="H899" s="9" t="n">
        <v>900</v>
      </c>
      <c r="I899" s="10" t="inlineStr">
        <is>
          <t>ออโต้ สมาร์ท</t>
        </is>
      </c>
      <c r="J899" s="161" t="n">
        <v>23399</v>
      </c>
      <c r="L899" s="8" t="inlineStr">
        <is>
          <t>ราคาที่ลง ยังไม่รวมภาษี</t>
        </is>
      </c>
    </row>
    <row r="900">
      <c r="B900" s="6" t="inlineStr">
        <is>
          <t>กระดาษทรายกลม Rhynogrip (แรด) 6รู เบอร์ 120</t>
        </is>
      </c>
      <c r="C900" s="8" t="inlineStr">
        <is>
          <t>200แผ่น</t>
        </is>
      </c>
      <c r="D900" s="9" t="n">
        <v>9</v>
      </c>
      <c r="H900" s="9" t="n">
        <v>1800</v>
      </c>
      <c r="I900" s="10" t="inlineStr">
        <is>
          <t>ออโต้ สมาร์ท</t>
        </is>
      </c>
      <c r="J900" s="161" t="n">
        <v>23411</v>
      </c>
      <c r="L900" s="8" t="inlineStr">
        <is>
          <t>ราคาที่ลง ยังไม่รวมภาษี</t>
        </is>
      </c>
    </row>
    <row r="901">
      <c r="B901" s="6" t="inlineStr">
        <is>
          <t>กระดาษทรายกลม Rhynogrip (แรด) 6รู เบอร์ 120</t>
        </is>
      </c>
      <c r="C901" s="8" t="inlineStr">
        <is>
          <t>100แผ่น</t>
        </is>
      </c>
      <c r="D901" s="9" t="n">
        <v>9</v>
      </c>
      <c r="H901" s="9" t="n">
        <v>900</v>
      </c>
      <c r="I901" s="10" t="inlineStr">
        <is>
          <t>ออโต้ สมาร์ท</t>
        </is>
      </c>
      <c r="J901" s="161" t="n">
        <v>23442</v>
      </c>
      <c r="L901" s="8" t="inlineStr">
        <is>
          <t>ราคาที่ลง ยังไม่รวมภาษี</t>
        </is>
      </c>
    </row>
    <row r="902">
      <c r="B902" s="6" t="inlineStr">
        <is>
          <t>กระดาษทรายกลม Rhynogrip (แรด) 6รู เบอร์ 120</t>
        </is>
      </c>
      <c r="C902" s="8" t="inlineStr">
        <is>
          <t>200แผ่น</t>
        </is>
      </c>
      <c r="D902" s="9" t="n">
        <v>9</v>
      </c>
      <c r="H902" s="9" t="n">
        <v>1800</v>
      </c>
      <c r="I902" s="10" t="inlineStr">
        <is>
          <t>ออโต้ สมาร์ท</t>
        </is>
      </c>
      <c r="J902" s="161" t="n">
        <v>23455</v>
      </c>
      <c r="L902" s="8" t="inlineStr">
        <is>
          <t>ราคาที่ลง ยังไม่รวมภาษี</t>
        </is>
      </c>
    </row>
    <row r="903">
      <c r="B903" s="6" t="inlineStr">
        <is>
          <t>กระดาษทรายกลม Rhynogrip (แรด) 6รู เบอร์ 120</t>
        </is>
      </c>
      <c r="C903" s="8" t="inlineStr">
        <is>
          <t>100แผ่น</t>
        </is>
      </c>
      <c r="D903" s="9" t="n">
        <v>9</v>
      </c>
      <c r="H903" s="9" t="n">
        <v>900</v>
      </c>
      <c r="I903" s="10" t="inlineStr">
        <is>
          <t>ออโต้ สมาร์ท</t>
        </is>
      </c>
      <c r="J903" s="161" t="n">
        <v>23462</v>
      </c>
      <c r="L903" s="8" t="inlineStr">
        <is>
          <t>ราคาที่ลง ยังไม่รวมภาษี</t>
        </is>
      </c>
    </row>
    <row r="904">
      <c r="B904" s="6" t="inlineStr">
        <is>
          <t>กระดาษทรายกลม Rhynogrip (แรด) 6รู เบอร์ 120</t>
        </is>
      </c>
      <c r="C904" s="8" t="inlineStr">
        <is>
          <t>100แผ่น</t>
        </is>
      </c>
      <c r="D904" s="9" t="n">
        <v>9</v>
      </c>
      <c r="H904" s="9" t="n">
        <v>900</v>
      </c>
      <c r="I904" s="10" t="inlineStr">
        <is>
          <t>ออโต้ สมาร์ท</t>
        </is>
      </c>
      <c r="J904" s="161" t="n">
        <v>23503</v>
      </c>
      <c r="L904" s="8" t="inlineStr">
        <is>
          <t>ราคาที่ลง ยังไม่รวมภาษี</t>
        </is>
      </c>
    </row>
    <row r="905">
      <c r="B905" s="6" t="inlineStr">
        <is>
          <t>กระดาษทรายกลม Rhynogrip (แรด) 6รู เบอร์ 120</t>
        </is>
      </c>
      <c r="C905" s="8" t="inlineStr">
        <is>
          <t>100แผ่น</t>
        </is>
      </c>
      <c r="D905" s="9" t="n">
        <v>9</v>
      </c>
      <c r="H905" s="9" t="n">
        <v>900</v>
      </c>
      <c r="I905" s="10" t="inlineStr">
        <is>
          <t>ออโต้ สมาร์ท</t>
        </is>
      </c>
      <c r="J905" s="161" t="n">
        <v>23571</v>
      </c>
      <c r="L905" s="8" t="inlineStr">
        <is>
          <t>ราคาที่ลง ยังไม่รวมภาษี</t>
        </is>
      </c>
    </row>
    <row r="906">
      <c r="B906" s="6" t="inlineStr">
        <is>
          <t>กระดาษทรายกลม Rhynogrip (แรด) 6รู เบอร์ 120</t>
        </is>
      </c>
      <c r="C906" s="8" t="inlineStr">
        <is>
          <t>100แผ่น</t>
        </is>
      </c>
      <c r="D906" s="9" t="n">
        <v>9</v>
      </c>
      <c r="H906" s="9" t="n">
        <v>900</v>
      </c>
      <c r="I906" s="10" t="inlineStr">
        <is>
          <t>ออโต้ สมาร์ท</t>
        </is>
      </c>
      <c r="J906" s="161" t="n">
        <v>23598</v>
      </c>
      <c r="L906" s="8" t="inlineStr">
        <is>
          <t>ราคาที่ลง ยังไม่รวมภาษี</t>
        </is>
      </c>
    </row>
    <row r="907">
      <c r="B907" s="6" t="inlineStr">
        <is>
          <t>กระดาษทรายกลม Rhynogrip (แรด) 6รู เบอร์ 120</t>
        </is>
      </c>
      <c r="C907" s="8" t="inlineStr">
        <is>
          <t>200แผ่น</t>
        </is>
      </c>
      <c r="D907" s="9" t="n">
        <v>9</v>
      </c>
      <c r="H907" s="9" t="n">
        <v>1800</v>
      </c>
      <c r="I907" s="10" t="inlineStr">
        <is>
          <t>ออโต้ สมาร์ท</t>
        </is>
      </c>
      <c r="J907" s="161" t="n">
        <v>23620</v>
      </c>
      <c r="K907" s="8" t="n">
        <v>202108203</v>
      </c>
      <c r="L907" s="8" t="inlineStr">
        <is>
          <t>ราคาที่ลง ยังไม่รวมภาษี</t>
        </is>
      </c>
    </row>
    <row r="908">
      <c r="B908" s="6" t="inlineStr">
        <is>
          <t>กระดาษทรายกลม Rhynogrip (แรด) 6รู เบอร์ 120</t>
        </is>
      </c>
      <c r="C908" s="8" t="inlineStr">
        <is>
          <t>200แผ่น</t>
        </is>
      </c>
      <c r="D908" s="9" t="n">
        <v>9</v>
      </c>
      <c r="H908" s="9" t="n">
        <v>1800</v>
      </c>
      <c r="I908" s="10" t="inlineStr">
        <is>
          <t>ออโต้ สมาร์ท</t>
        </is>
      </c>
      <c r="J908" s="161" t="n">
        <v>23643</v>
      </c>
      <c r="K908" s="8" t="n">
        <v>202109165</v>
      </c>
      <c r="L908" s="8" t="inlineStr">
        <is>
          <t>ราคาที่ลง ยังไม่รวมภาษี</t>
        </is>
      </c>
    </row>
    <row r="909">
      <c r="B909" s="6" t="inlineStr">
        <is>
          <t>กระดาษทรายกลม Rhynogrip (แรด) 6รู เบอร์ 120</t>
        </is>
      </c>
      <c r="C909" s="8" t="inlineStr">
        <is>
          <t>200แผ่น</t>
        </is>
      </c>
      <c r="D909" s="9" t="n">
        <v>9</v>
      </c>
      <c r="H909" s="9" t="n">
        <v>1800</v>
      </c>
      <c r="I909" s="10" t="inlineStr">
        <is>
          <t>ออโต้ สมาร์ท</t>
        </is>
      </c>
      <c r="J909" s="161" t="n">
        <v>23661</v>
      </c>
      <c r="K909" s="8" t="n">
        <v>202110080</v>
      </c>
      <c r="L909" s="8" t="inlineStr">
        <is>
          <t>ราคาที่ลง ยังไม่รวมภาษี</t>
        </is>
      </c>
    </row>
    <row r="910">
      <c r="B910" s="6" t="inlineStr">
        <is>
          <t>กระดาษทรายกลม Rhynogrip (แรด) 6รู เบอร์ 120</t>
        </is>
      </c>
      <c r="C910" s="8" t="inlineStr">
        <is>
          <t>200แผ่น</t>
        </is>
      </c>
      <c r="D910" s="9" t="n">
        <v>9</v>
      </c>
      <c r="H910" s="9" t="n">
        <v>1800</v>
      </c>
      <c r="I910" s="10" t="inlineStr">
        <is>
          <t>ออโต้ สมาร์ท</t>
        </is>
      </c>
      <c r="J910" s="161" t="n">
        <v>23686</v>
      </c>
      <c r="K910" s="8" t="n">
        <v>202111060</v>
      </c>
      <c r="L910" s="8" t="inlineStr">
        <is>
          <t>ราคาที่ลง ยังไม่รวมภาษี</t>
        </is>
      </c>
    </row>
    <row r="911">
      <c r="B911" s="6" t="inlineStr">
        <is>
          <t>กระดาษทรายกลม Rhynogrip (แรด) 6รู เบอร์ 120</t>
        </is>
      </c>
      <c r="C911" s="8" t="inlineStr">
        <is>
          <t>100แผ่น</t>
        </is>
      </c>
      <c r="D911" s="9" t="n">
        <v>9</v>
      </c>
      <c r="H911" s="9" t="n">
        <v>900</v>
      </c>
      <c r="I911" s="10" t="inlineStr">
        <is>
          <t>ออโต้ สมาร์ท</t>
        </is>
      </c>
      <c r="J911" s="161" t="n">
        <v>23718</v>
      </c>
      <c r="K911" s="8" t="n">
        <v>202112058</v>
      </c>
      <c r="L911" s="8" t="inlineStr">
        <is>
          <t>ราคาที่ลง ยังไม่รวมภาษี</t>
        </is>
      </c>
    </row>
    <row r="912">
      <c r="B912" s="6" t="inlineStr">
        <is>
          <t>กระดาษทรายกลม Rhynogrip (แรด) 6รู เบอร์ 120</t>
        </is>
      </c>
      <c r="C912" s="8" t="inlineStr">
        <is>
          <t>150แผ่น</t>
        </is>
      </c>
      <c r="D912" s="9" t="n">
        <v>9</v>
      </c>
      <c r="H912" s="9" t="n">
        <v>1350</v>
      </c>
      <c r="I912" s="10" t="inlineStr">
        <is>
          <t>ออโต้ สมาร์ท</t>
        </is>
      </c>
      <c r="J912" s="161" t="n">
        <v>23762</v>
      </c>
      <c r="K912" s="8" t="n">
        <v>202201143</v>
      </c>
      <c r="L912" s="8" t="inlineStr">
        <is>
          <t>ราคาที่ลง ยังไม่รวมภาษี</t>
        </is>
      </c>
    </row>
    <row r="913">
      <c r="B913" s="6" t="inlineStr">
        <is>
          <t>กระดาษทรายกลม CAPTAIN 6" 6รู เบอร์ 120</t>
        </is>
      </c>
      <c r="C913" s="8" t="inlineStr">
        <is>
          <t>300แผ่น</t>
        </is>
      </c>
      <c r="D913" s="9" t="n">
        <v>5.5</v>
      </c>
      <c r="H913" s="9" t="n">
        <v>1650</v>
      </c>
      <c r="I913" s="10" t="inlineStr">
        <is>
          <t>ทาเลนท์อินเตอร์เทรด</t>
        </is>
      </c>
      <c r="J913" s="161" t="n">
        <v>23812</v>
      </c>
      <c r="K913" s="8" t="inlineStr">
        <is>
          <t>IV6504806</t>
        </is>
      </c>
      <c r="L913" s="8" t="inlineStr">
        <is>
          <t>ราคาที่ลง ยังไม่รวมภาษี</t>
        </is>
      </c>
    </row>
    <row r="914">
      <c r="A914" s="68" t="inlineStr">
        <is>
          <t>โปรซื้อ 19แถมฟรี 8</t>
        </is>
      </c>
      <c r="B914" s="6" t="inlineStr">
        <is>
          <t>กระดาษทรายกลม Rhynogrip (แรด) 6รู เบอร์ 120</t>
        </is>
      </c>
      <c r="C914" s="8" t="inlineStr">
        <is>
          <t>600แผ่น</t>
        </is>
      </c>
      <c r="D914" s="9" t="n">
        <v>5.56</v>
      </c>
      <c r="G914" s="10" t="n">
        <v>3.91</v>
      </c>
      <c r="H914" s="9" t="n">
        <v>3337.5</v>
      </c>
      <c r="I914" s="10" t="inlineStr">
        <is>
          <t>ออโต้เทรด</t>
        </is>
      </c>
      <c r="J914" s="161" t="n">
        <v>23901</v>
      </c>
      <c r="K914" s="8" t="inlineStr">
        <is>
          <t>IV1417113</t>
        </is>
      </c>
      <c r="L914" s="8" t="inlineStr">
        <is>
          <t>ราคาที่ลง ยังไม่รวมภาษี</t>
        </is>
      </c>
    </row>
    <row r="915">
      <c r="A915" s="68" t="inlineStr">
        <is>
          <t>โปรซื้อ 19แถมฟรี 8</t>
        </is>
      </c>
      <c r="B915" s="6" t="inlineStr">
        <is>
          <t>กระดาษทรายกลม Rhynogrip (แรด) 6รู เบอร์ 120</t>
        </is>
      </c>
      <c r="C915" s="8" t="inlineStr">
        <is>
          <t>9กล่อง</t>
        </is>
      </c>
      <c r="D915" s="9" t="n">
        <v>556.25</v>
      </c>
      <c r="H915" s="9" t="n">
        <v>5006.25</v>
      </c>
      <c r="I915" s="10" t="inlineStr">
        <is>
          <t>ออโต้เทรด</t>
        </is>
      </c>
      <c r="J915" s="161" t="n">
        <v>23944</v>
      </c>
      <c r="K915" s="8" t="inlineStr">
        <is>
          <t>IV1419112</t>
        </is>
      </c>
      <c r="L915" s="8" t="inlineStr">
        <is>
          <t>ราคาที่ลง ยังไม่รวมภาษี</t>
        </is>
      </c>
    </row>
    <row r="916">
      <c r="A916" s="68" t="inlineStr">
        <is>
          <t>โปรซื้อ 19แถมฟรี 8</t>
        </is>
      </c>
      <c r="B916" s="6" t="inlineStr">
        <is>
          <t>กระดาษทรายกลม Rhynogrip (แรด) 6รู เบอร์ 120</t>
        </is>
      </c>
      <c r="C916" s="8" t="inlineStr">
        <is>
          <t>1กล่อง</t>
        </is>
      </c>
      <c r="D916" s="9" t="n">
        <v>650</v>
      </c>
      <c r="H916" s="9" t="n">
        <v>650</v>
      </c>
      <c r="I916" s="10" t="inlineStr">
        <is>
          <t>ออโต้เทรด</t>
        </is>
      </c>
      <c r="J916" s="161" t="n">
        <v>24021</v>
      </c>
      <c r="K916" s="8" t="inlineStr">
        <is>
          <t>IV1422486</t>
        </is>
      </c>
      <c r="L916" s="8" t="inlineStr">
        <is>
          <t>ราคาที่ลง ยังไม่รวมภาษี</t>
        </is>
      </c>
    </row>
    <row r="917">
      <c r="A917" s="68" t="inlineStr">
        <is>
          <t>โปรซื้อ 19แถมฟรี 8</t>
        </is>
      </c>
      <c r="B917" s="6" t="inlineStr">
        <is>
          <t>กระดาษทรายกลม Rhynogrip (แรด) 6รู เบอร์ 120</t>
        </is>
      </c>
      <c r="C917" s="8" t="inlineStr">
        <is>
          <t>9กล่อง</t>
        </is>
      </c>
      <c r="D917" s="9" t="n">
        <v>650</v>
      </c>
      <c r="H917" s="9" t="n">
        <v>5850</v>
      </c>
      <c r="I917" s="10" t="inlineStr">
        <is>
          <t>ออโต้เทรด</t>
        </is>
      </c>
      <c r="J917" s="161" t="n">
        <v>24084</v>
      </c>
      <c r="K917" s="8" t="inlineStr">
        <is>
          <t>IV1425090</t>
        </is>
      </c>
      <c r="L917" s="8" t="inlineStr">
        <is>
          <t>ราคาที่ลง ยังไม่รวมภาษี</t>
        </is>
      </c>
    </row>
    <row r="918">
      <c r="A918" s="68" t="inlineStr">
        <is>
          <t>โปรซื้อ 19แถมฟรี 8</t>
        </is>
      </c>
      <c r="B918" s="6" t="inlineStr">
        <is>
          <t>กระดาษทรายกลม Rhynogrip (แรด) 6รู เบอร์ 120 -- แถมฟรี</t>
        </is>
      </c>
      <c r="C918" s="8" t="inlineStr">
        <is>
          <t>2กล่อง</t>
        </is>
      </c>
      <c r="I918" s="10" t="inlineStr">
        <is>
          <t>ออโต้เทรด</t>
        </is>
      </c>
      <c r="J918" s="161" t="n">
        <v>24144</v>
      </c>
      <c r="K918" s="8" t="inlineStr">
        <is>
          <t>IV1427558</t>
        </is>
      </c>
      <c r="L918" s="8" t="inlineStr">
        <is>
          <t>ราคาที่ลง ยังไม่รวมภาษี</t>
        </is>
      </c>
    </row>
    <row r="919">
      <c r="A919" s="68" t="inlineStr">
        <is>
          <t>โปรซื้อ 20แถมฟรี 8</t>
        </is>
      </c>
      <c r="B919" s="6" t="inlineStr">
        <is>
          <t>กระดาษทรายกลม Rhynogrip (แรด) 6รู เบอร์ 120 -- แถมฟรี</t>
        </is>
      </c>
      <c r="C919" s="8" t="inlineStr">
        <is>
          <t>2กล่อง</t>
        </is>
      </c>
      <c r="I919" s="10" t="inlineStr">
        <is>
          <t>ออโต้เทรด</t>
        </is>
      </c>
      <c r="J919" s="161" t="n">
        <v>24202</v>
      </c>
      <c r="K919" s="8" t="inlineStr">
        <is>
          <t>IV1430190</t>
        </is>
      </c>
      <c r="L919" s="8" t="inlineStr">
        <is>
          <t>ราคาที่ลง ยังไม่รวมภาษี</t>
        </is>
      </c>
    </row>
    <row r="920">
      <c r="A920" s="68" t="inlineStr">
        <is>
          <t>โปรซื้อ 20แถมฟรี 8</t>
        </is>
      </c>
      <c r="B920" s="6" t="inlineStr">
        <is>
          <t>กระดาษทรายกลม Rhynogrip (แรด) 6รู เบอร์ 120</t>
        </is>
      </c>
      <c r="C920" s="8" t="n">
        <v>6</v>
      </c>
      <c r="D920" s="9" t="n">
        <v>650</v>
      </c>
      <c r="H920" s="9">
        <f>SUM(D920*C920)</f>
        <v/>
      </c>
      <c r="I920" s="10" t="inlineStr">
        <is>
          <t>ออโต้เทรด</t>
        </is>
      </c>
      <c r="J920" s="161" t="n">
        <v>24272</v>
      </c>
      <c r="K920" s="8" t="inlineStr">
        <is>
          <t>IV1433445</t>
        </is>
      </c>
      <c r="L920" s="8" t="inlineStr">
        <is>
          <t>ราคาที่ลง ยังไม่รวมภาษี</t>
        </is>
      </c>
    </row>
    <row r="921">
      <c r="A921" s="68" t="inlineStr">
        <is>
          <t>โปรซื้อ 20แถมฟรี 8</t>
        </is>
      </c>
      <c r="B921" s="6" t="inlineStr">
        <is>
          <t>กระดาษทรายกลม Rhynogrip (แรด) 6รู เบอร์ 120 -- แถมฟรี</t>
        </is>
      </c>
      <c r="C921" s="8" t="n">
        <v>4</v>
      </c>
      <c r="I921" s="10" t="inlineStr">
        <is>
          <t>ออโต้เทรด</t>
        </is>
      </c>
      <c r="J921" s="161" t="n">
        <v>24326</v>
      </c>
      <c r="K921" s="8" t="inlineStr">
        <is>
          <t>IV1435877</t>
        </is>
      </c>
      <c r="L921" s="8" t="inlineStr">
        <is>
          <t>ราคาที่ลง ยังไม่รวมภาษี</t>
        </is>
      </c>
    </row>
    <row r="922">
      <c r="A922" s="68" t="inlineStr">
        <is>
          <t>โปรซื้อ 20แถมฟรี 8</t>
        </is>
      </c>
      <c r="B922" s="6" t="inlineStr">
        <is>
          <t xml:space="preserve">กระดาษทรายกลม Rhynogrip (แรด) 6รู เบอร์ 120 </t>
        </is>
      </c>
      <c r="C922" s="8" t="n">
        <v>10</v>
      </c>
      <c r="D922" s="9" t="n">
        <v>650</v>
      </c>
      <c r="H922" s="9">
        <f>SUM(D922*C922)</f>
        <v/>
      </c>
      <c r="I922" s="10" t="inlineStr">
        <is>
          <t>ออโต้เทรด</t>
        </is>
      </c>
      <c r="J922" s="161" t="n">
        <v>24385</v>
      </c>
      <c r="K922" s="8" t="inlineStr">
        <is>
          <t>IV1438645</t>
        </is>
      </c>
      <c r="L922" s="8" t="inlineStr">
        <is>
          <t>ราคาที่ลง ยังไม่รวมภาษี</t>
        </is>
      </c>
    </row>
    <row r="923">
      <c r="A923" s="68" t="inlineStr">
        <is>
          <t>โปรซื้อ 24แถมฟรี 8</t>
        </is>
      </c>
      <c r="B923" s="6" t="inlineStr">
        <is>
          <t>กระดาษทรายกลม Rhynogrip (แรด) 6รู เบอร์ 120</t>
        </is>
      </c>
      <c r="C923" s="8" t="n">
        <v>12</v>
      </c>
      <c r="D923" s="9" t="n">
        <v>650</v>
      </c>
      <c r="H923" s="9">
        <f>SUM(D923*C923)</f>
        <v/>
      </c>
      <c r="I923" s="10" t="inlineStr">
        <is>
          <t>ออโต้เทรด</t>
        </is>
      </c>
      <c r="J923" s="161" t="n">
        <v>24516</v>
      </c>
      <c r="K923" s="8" t="inlineStr">
        <is>
          <t>IV1444437</t>
        </is>
      </c>
      <c r="L923" s="8" t="inlineStr">
        <is>
          <t>ราคาที่ลง ยังไม่รวมภาษี</t>
        </is>
      </c>
    </row>
    <row r="924">
      <c r="A924" s="68" t="inlineStr">
        <is>
          <t>โปรซื้อ 24แถมฟรี 8</t>
        </is>
      </c>
      <c r="B924" s="6" t="inlineStr">
        <is>
          <t>กระดาษทรายกลม Rhynogrip (แรด) 6รู เบอร์ 120 -- แถมฟรี</t>
        </is>
      </c>
      <c r="C924" s="8" t="n">
        <v>6</v>
      </c>
      <c r="I924" s="10" t="inlineStr">
        <is>
          <t>ออโต้เทรด</t>
        </is>
      </c>
      <c r="J924" s="161" t="n">
        <v>24516</v>
      </c>
      <c r="K924" s="8" t="inlineStr">
        <is>
          <t>IV1444437</t>
        </is>
      </c>
      <c r="L924" s="8" t="inlineStr">
        <is>
          <t>ราคาที่ลง ยังไม่รวมภาษี</t>
        </is>
      </c>
    </row>
    <row r="925">
      <c r="A925" s="68" t="inlineStr">
        <is>
          <t>โปรซื้อ 24แถมฟรี 8</t>
        </is>
      </c>
      <c r="B925" s="6" t="inlineStr">
        <is>
          <t>กระดาษทรายกลม Rhynogrip (แรด) 6รู เบอร์ 120</t>
        </is>
      </c>
      <c r="C925" s="8" t="n">
        <v>6</v>
      </c>
      <c r="D925" s="9" t="n">
        <v>650</v>
      </c>
      <c r="H925" s="9">
        <f>SUM(D925*C925)</f>
        <v/>
      </c>
      <c r="I925" s="10" t="inlineStr">
        <is>
          <t>ออโต้เทรด</t>
        </is>
      </c>
      <c r="J925" s="161" t="n">
        <v>24587</v>
      </c>
      <c r="K925" s="8" t="inlineStr">
        <is>
          <t>IV1447634</t>
        </is>
      </c>
      <c r="L925" s="8" t="inlineStr">
        <is>
          <t>ราคาที่ลง ยังไม่รวมภาษี</t>
        </is>
      </c>
    </row>
    <row r="926">
      <c r="A926" s="68" t="inlineStr">
        <is>
          <t>โปรซื้อ 38แถมฟรี 14</t>
        </is>
      </c>
      <c r="B926" s="6" t="inlineStr">
        <is>
          <t>กระดาษทรายกลม Rhynogrip (แรด) 6รู เบอร์ 120</t>
        </is>
      </c>
      <c r="C926" s="8" t="n">
        <v>13</v>
      </c>
      <c r="D926" s="9" t="n">
        <v>695.5</v>
      </c>
      <c r="H926" s="9">
        <f>SUM(D926*C926)</f>
        <v/>
      </c>
      <c r="I926" s="10" t="inlineStr">
        <is>
          <t>ออโต้เทรด</t>
        </is>
      </c>
      <c r="J926" s="161" t="n">
        <v>24846</v>
      </c>
      <c r="K926" s="8" t="inlineStr">
        <is>
          <t>IV1459290</t>
        </is>
      </c>
      <c r="L926" s="8" t="inlineStr">
        <is>
          <t>ราคารวม VAT แล้ว</t>
        </is>
      </c>
    </row>
    <row r="927">
      <c r="A927" s="68" t="n"/>
      <c r="B927" s="6" t="inlineStr">
        <is>
          <t>กระดาษทรายกลม Rhynogrip (แรด) 6รู เบอร์ 120</t>
        </is>
      </c>
      <c r="C927" s="8" t="n">
        <v>11</v>
      </c>
      <c r="D927" s="9" t="n">
        <v>650</v>
      </c>
      <c r="E927" s="9">
        <f>SUM(C927*D927)</f>
        <v/>
      </c>
      <c r="G927" s="10" t="inlineStr">
        <is>
          <t>รวม VAT =</t>
        </is>
      </c>
      <c r="H927" s="9">
        <f>SUM(E927*O927/N927)</f>
        <v/>
      </c>
      <c r="I927" s="10" t="inlineStr">
        <is>
          <t>ออโต้เทรด</t>
        </is>
      </c>
      <c r="J927" s="161" t="n">
        <v>24996</v>
      </c>
      <c r="K927" s="8" t="inlineStr">
        <is>
          <t>IV1466221</t>
        </is>
      </c>
      <c r="L927" s="8" t="inlineStr">
        <is>
          <t>ราคารวม VAT แล้ว</t>
        </is>
      </c>
      <c r="N927" s="6" t="n">
        <v>100</v>
      </c>
      <c r="O927" s="6" t="n">
        <v>107</v>
      </c>
    </row>
    <row r="928">
      <c r="B928" s="6" t="inlineStr">
        <is>
          <t>กระดาษทรายกลม Rhynogrip (แรด) 6รู เบอร์ 120</t>
        </is>
      </c>
      <c r="C928" s="8" t="n">
        <v>14</v>
      </c>
      <c r="D928" s="9" t="n">
        <v>650</v>
      </c>
      <c r="F928" s="17" t="n"/>
      <c r="G928" s="10">
        <f>SUM(C928*D928)</f>
        <v/>
      </c>
      <c r="H928" s="9">
        <f>SUM(G928*107/100)</f>
        <v/>
      </c>
      <c r="I928" s="10" t="inlineStr">
        <is>
          <t>ออโต้เทรด มาร์เก็ตติ้ง</t>
        </is>
      </c>
      <c r="J928" s="161" t="n">
        <v>25135</v>
      </c>
      <c r="K928" s="8" t="inlineStr">
        <is>
          <t>IV1472726</t>
        </is>
      </c>
      <c r="L928" s="8" t="inlineStr">
        <is>
          <t>ราคาที่ลง ยังไม่รวมภาษี</t>
        </is>
      </c>
    </row>
    <row r="930">
      <c r="A930" s="72" t="inlineStr">
        <is>
          <t xml:space="preserve">** เบอร์นี้ใช้เยอะ ** </t>
        </is>
      </c>
      <c r="B930" s="6" t="inlineStr">
        <is>
          <t>กระดาษทรายกลม Oslong 6" 6รู เบอร์ 320</t>
        </is>
      </c>
      <c r="C930" s="8" t="inlineStr">
        <is>
          <t>100แผ่น</t>
        </is>
      </c>
      <c r="D930" s="9" t="n">
        <v>7.5</v>
      </c>
      <c r="H930" s="9" t="n">
        <v>750</v>
      </c>
      <c r="I930" s="10" t="inlineStr">
        <is>
          <t>เบรนเวิคส์</t>
        </is>
      </c>
      <c r="J930" s="161" t="n">
        <v>22423</v>
      </c>
      <c r="L930" s="8" t="inlineStr">
        <is>
          <t>ราคาที่ลง ยังไม่รวมภาษี</t>
        </is>
      </c>
    </row>
    <row r="931">
      <c r="B931" s="6" t="inlineStr">
        <is>
          <t>กระดาษทรายกลม Oslong 6" 6รู เบอร์ 320</t>
        </is>
      </c>
      <c r="C931" s="8" t="inlineStr">
        <is>
          <t>200แผ่น</t>
        </is>
      </c>
      <c r="D931" s="9" t="n">
        <v>7.5</v>
      </c>
      <c r="H931" s="9" t="n">
        <v>1500</v>
      </c>
      <c r="I931" s="10" t="inlineStr">
        <is>
          <t>เบรนเวิคส์</t>
        </is>
      </c>
      <c r="J931" s="161" t="n">
        <v>22433</v>
      </c>
      <c r="L931" s="8" t="inlineStr">
        <is>
          <t>ราคาที่ลง ยังไม่รวมภาษี</t>
        </is>
      </c>
    </row>
    <row r="932">
      <c r="B932" s="6" t="inlineStr">
        <is>
          <t>กระดาษทรายกลม Rhynogrip (แรด)  6รู เบอร์ 320</t>
        </is>
      </c>
      <c r="C932" s="8" t="inlineStr">
        <is>
          <t>100แผ่น</t>
        </is>
      </c>
      <c r="D932" s="9" t="n">
        <v>9</v>
      </c>
      <c r="H932" s="9" t="n">
        <v>900</v>
      </c>
      <c r="I932" s="10" t="inlineStr">
        <is>
          <t>ออโต้ สมาร์ท</t>
        </is>
      </c>
      <c r="J932" s="161" t="n">
        <v>22840</v>
      </c>
      <c r="L932" s="8" t="inlineStr">
        <is>
          <t>ราคาที่ลง ยังไม่รวมภาษี</t>
        </is>
      </c>
    </row>
    <row r="933">
      <c r="B933" s="6" t="inlineStr">
        <is>
          <t>กระดาษทรายกลม Rhynogrip (แรด)  6รู เบอร์ 320</t>
        </is>
      </c>
      <c r="C933" s="8" t="inlineStr">
        <is>
          <t>100แผ่น</t>
        </is>
      </c>
      <c r="D933" s="9" t="n">
        <v>9</v>
      </c>
      <c r="H933" s="9" t="n">
        <v>900</v>
      </c>
      <c r="I933" s="10" t="inlineStr">
        <is>
          <t>ออโต้ สมาร์ท</t>
        </is>
      </c>
      <c r="J933" s="161" t="n">
        <v>22849</v>
      </c>
      <c r="L933" s="8" t="inlineStr">
        <is>
          <t>ราคาที่ลง ยังไม่รวมภาษี</t>
        </is>
      </c>
    </row>
    <row r="934">
      <c r="B934" s="6" t="inlineStr">
        <is>
          <t>กระดาษทรายกลม Rhynogrip (แรด)  6รู เบอร์ 320</t>
        </is>
      </c>
      <c r="C934" s="8" t="inlineStr">
        <is>
          <t>100แผ่น</t>
        </is>
      </c>
      <c r="D934" s="9" t="n">
        <v>9</v>
      </c>
      <c r="H934" s="9" t="n">
        <v>900</v>
      </c>
      <c r="I934" s="10" t="inlineStr">
        <is>
          <t>ออโต้ สมาร์ท</t>
        </is>
      </c>
      <c r="J934" s="161" t="n">
        <v>22863</v>
      </c>
      <c r="L934" s="8" t="inlineStr">
        <is>
          <t>ราคาที่ลง ยังไม่รวมภาษี</t>
        </is>
      </c>
    </row>
    <row r="935">
      <c r="B935" s="6" t="inlineStr">
        <is>
          <t>กระดาษทรายกลม Rhynogrip (แรด)  6รู เบอร์ 320</t>
        </is>
      </c>
      <c r="C935" s="8" t="inlineStr">
        <is>
          <t>100แผ่น</t>
        </is>
      </c>
      <c r="D935" s="9" t="n">
        <v>9</v>
      </c>
      <c r="H935" s="9" t="n">
        <v>900</v>
      </c>
      <c r="I935" s="10" t="inlineStr">
        <is>
          <t>ออโต้ สมาร์ท</t>
        </is>
      </c>
      <c r="J935" s="161" t="n">
        <v>22871</v>
      </c>
      <c r="L935" s="8" t="inlineStr">
        <is>
          <t>ราคาที่ลง ยังไม่รวมภาษี</t>
        </is>
      </c>
    </row>
    <row r="936">
      <c r="B936" s="6" t="inlineStr">
        <is>
          <t>กระดาษทรายกลม Rhynogrip (แรด)  6รู เบอร์ 320</t>
        </is>
      </c>
      <c r="C936" s="8" t="inlineStr">
        <is>
          <t>200แผ่น</t>
        </is>
      </c>
      <c r="D936" s="9" t="n">
        <v>9</v>
      </c>
      <c r="H936" s="9" t="n">
        <v>1800</v>
      </c>
      <c r="I936" s="10" t="inlineStr">
        <is>
          <t>ออโต้ สมาร์ท</t>
        </is>
      </c>
      <c r="J936" s="161" t="n">
        <v>22882</v>
      </c>
      <c r="L936" s="8" t="inlineStr">
        <is>
          <t>ราคาที่ลง ยังไม่รวมภาษี</t>
        </is>
      </c>
    </row>
    <row r="937">
      <c r="B937" s="6" t="inlineStr">
        <is>
          <t>กระดาษทรายกลม Rhynogrip (แรด)  6รู เบอร์ 320</t>
        </is>
      </c>
      <c r="C937" s="8" t="inlineStr">
        <is>
          <t>100แผ่น</t>
        </is>
      </c>
      <c r="D937" s="9" t="n">
        <v>9</v>
      </c>
      <c r="H937" s="9" t="n">
        <v>900</v>
      </c>
      <c r="I937" s="10" t="inlineStr">
        <is>
          <t>ออโต้ สมาร์ท</t>
        </is>
      </c>
      <c r="J937" s="161" t="n">
        <v>22893</v>
      </c>
      <c r="L937" s="8" t="inlineStr">
        <is>
          <t>ราคาที่ลง ยังไม่รวมภาษี</t>
        </is>
      </c>
    </row>
    <row r="938">
      <c r="B938" s="6" t="inlineStr">
        <is>
          <t>กระดาษทรายกลม Rhynogrip (แรด)  6รู เบอร์ 320</t>
        </is>
      </c>
      <c r="C938" s="8" t="inlineStr">
        <is>
          <t>200แผ่น</t>
        </is>
      </c>
      <c r="D938" s="9" t="n">
        <v>9</v>
      </c>
      <c r="H938" s="9" t="n">
        <v>1800</v>
      </c>
      <c r="I938" s="10" t="inlineStr">
        <is>
          <t>ออโต้ สมาร์ท</t>
        </is>
      </c>
      <c r="J938" s="161" t="n">
        <v>22898</v>
      </c>
      <c r="L938" s="8" t="inlineStr">
        <is>
          <t>ราคาที่ลง ยังไม่รวมภาษี</t>
        </is>
      </c>
    </row>
    <row r="939">
      <c r="B939" s="6" t="inlineStr">
        <is>
          <t>กระดาษทรายกลม Rhynogrip (แรด)  6รู เบอร์ 320</t>
        </is>
      </c>
      <c r="C939" s="8" t="inlineStr">
        <is>
          <t>200แผ่น</t>
        </is>
      </c>
      <c r="D939" s="9" t="n">
        <v>9</v>
      </c>
      <c r="H939" s="9" t="n">
        <v>1800</v>
      </c>
      <c r="I939" s="10" t="inlineStr">
        <is>
          <t>ออโต้ สมาร์ท</t>
        </is>
      </c>
      <c r="J939" s="161" t="n">
        <v>22997</v>
      </c>
      <c r="L939" s="8" t="inlineStr">
        <is>
          <t>ราคาที่ลง ยังไม่รวมภาษี</t>
        </is>
      </c>
    </row>
    <row r="940">
      <c r="B940" s="6" t="inlineStr">
        <is>
          <t>กระดาษทรายกลม Rhynogrip (แรด)  6รู เบอร์ 320</t>
        </is>
      </c>
      <c r="C940" s="8" t="inlineStr">
        <is>
          <t>200แผ่น</t>
        </is>
      </c>
      <c r="D940" s="9" t="n">
        <v>9</v>
      </c>
      <c r="H940" s="9" t="n">
        <v>1800</v>
      </c>
      <c r="I940" s="10" t="inlineStr">
        <is>
          <t>ออโต้ สมาร์ท</t>
        </is>
      </c>
      <c r="J940" s="161" t="n">
        <v>23064</v>
      </c>
      <c r="L940" s="8" t="inlineStr">
        <is>
          <t>ราคาที่ลง ยังไม่รวมภาษี</t>
        </is>
      </c>
    </row>
    <row r="941">
      <c r="B941" s="6" t="inlineStr">
        <is>
          <t>กระดาษทรายกลม Rhynogrip (แรด)  6รู เบอร์ 320</t>
        </is>
      </c>
      <c r="C941" s="8" t="inlineStr">
        <is>
          <t>100แผ่น</t>
        </is>
      </c>
      <c r="D941" s="9" t="n">
        <v>9</v>
      </c>
      <c r="H941" s="9" t="n">
        <v>900</v>
      </c>
      <c r="I941" s="10" t="inlineStr">
        <is>
          <t>ออโต้ สมาร์ท</t>
        </is>
      </c>
      <c r="J941" s="161" t="n">
        <v>23080</v>
      </c>
      <c r="L941" s="8" t="inlineStr">
        <is>
          <t>ราคาที่ลง ยังไม่รวมภาษี</t>
        </is>
      </c>
    </row>
    <row r="942">
      <c r="B942" s="6" t="inlineStr">
        <is>
          <t>กระดาษทรายกลม Rhynogrip (แรด)  6รู เบอร์ 320</t>
        </is>
      </c>
      <c r="C942" s="8" t="inlineStr">
        <is>
          <t>200แผ่น</t>
        </is>
      </c>
      <c r="D942" s="9" t="n">
        <v>9</v>
      </c>
      <c r="H942" s="9" t="n">
        <v>1800</v>
      </c>
      <c r="I942" s="10" t="inlineStr">
        <is>
          <t>ออโต้ สมาร์ท</t>
        </is>
      </c>
      <c r="J942" s="161" t="n">
        <v>23087</v>
      </c>
      <c r="L942" s="8" t="inlineStr">
        <is>
          <t>ราคาที่ลง ยังไม่รวมภาษี</t>
        </is>
      </c>
    </row>
    <row r="943">
      <c r="B943" s="6" t="inlineStr">
        <is>
          <t>กระดาษทรายกลม Rhynogrip (แรด)  6รู เบอร์ 320</t>
        </is>
      </c>
      <c r="C943" s="8" t="inlineStr">
        <is>
          <t>200แผ่น</t>
        </is>
      </c>
      <c r="D943" s="9" t="n">
        <v>9</v>
      </c>
      <c r="H943" s="9" t="n">
        <v>1800</v>
      </c>
      <c r="I943" s="10" t="inlineStr">
        <is>
          <t>ออโต้ สมาร์ท</t>
        </is>
      </c>
      <c r="J943" s="161" t="n">
        <v>23095</v>
      </c>
      <c r="L943" s="8" t="inlineStr">
        <is>
          <t>ราคาที่ลง ยังไม่รวมภาษี</t>
        </is>
      </c>
    </row>
    <row r="944">
      <c r="B944" s="6" t="inlineStr">
        <is>
          <t>กระดาษทรายกลม Rhynogrip (แรด)  6รู เบอร์ 320</t>
        </is>
      </c>
      <c r="C944" s="8" t="inlineStr">
        <is>
          <t>200แผ่น</t>
        </is>
      </c>
      <c r="D944" s="9" t="n">
        <v>9</v>
      </c>
      <c r="H944" s="9" t="n">
        <v>1800</v>
      </c>
      <c r="I944" s="10" t="inlineStr">
        <is>
          <t>ออโต้ สมาร์ท</t>
        </is>
      </c>
      <c r="J944" s="161" t="n">
        <v>23110</v>
      </c>
      <c r="L944" s="8" t="inlineStr">
        <is>
          <t>ราคาที่ลง ยังไม่รวมภาษี</t>
        </is>
      </c>
    </row>
    <row r="945">
      <c r="B945" s="6" t="inlineStr">
        <is>
          <t>กระดาษทรายกลม Rhynogrip (แรด)  6รู เบอร์ 320</t>
        </is>
      </c>
      <c r="C945" s="8" t="inlineStr">
        <is>
          <t>200แผ่น</t>
        </is>
      </c>
      <c r="D945" s="9" t="n">
        <v>9</v>
      </c>
      <c r="H945" s="9" t="n">
        <v>1800</v>
      </c>
      <c r="I945" s="10" t="inlineStr">
        <is>
          <t>ออโต้ สมาร์ท</t>
        </is>
      </c>
      <c r="J945" s="161" t="n">
        <v>23142</v>
      </c>
      <c r="L945" s="8" t="inlineStr">
        <is>
          <t>ราคาที่ลง ยังไม่รวมภาษี</t>
        </is>
      </c>
    </row>
    <row r="946">
      <c r="B946" s="6" t="inlineStr">
        <is>
          <t>กระดาษทรายกลม Rhynogrip (แรด)  6รู เบอร์ 320</t>
        </is>
      </c>
      <c r="C946" s="8" t="inlineStr">
        <is>
          <t>100แผ่น</t>
        </is>
      </c>
      <c r="D946" s="9" t="n">
        <v>9</v>
      </c>
      <c r="H946" s="9" t="n">
        <v>900</v>
      </c>
      <c r="I946" s="10" t="inlineStr">
        <is>
          <t>ออโต้ สมาร์ท</t>
        </is>
      </c>
      <c r="J946" s="161" t="n">
        <v>23151</v>
      </c>
      <c r="L946" s="8" t="inlineStr">
        <is>
          <t>ราคาที่ลง ยังไม่รวมภาษี</t>
        </is>
      </c>
    </row>
    <row r="947">
      <c r="B947" s="6" t="inlineStr">
        <is>
          <t>กระดาษทรายกลม Rhynogrip (แรด)  6รู เบอร์ 320</t>
        </is>
      </c>
      <c r="C947" s="8" t="inlineStr">
        <is>
          <t>200แผ่น</t>
        </is>
      </c>
      <c r="D947" s="9" t="n">
        <v>9</v>
      </c>
      <c r="H947" s="9" t="n">
        <v>1800</v>
      </c>
      <c r="I947" s="10" t="inlineStr">
        <is>
          <t>ออโต้ สมาร์ท</t>
        </is>
      </c>
      <c r="J947" s="161" t="n">
        <v>23157</v>
      </c>
      <c r="L947" s="8" t="inlineStr">
        <is>
          <t>ราคาที่ลง ยังไม่รวมภาษี</t>
        </is>
      </c>
    </row>
    <row r="948">
      <c r="B948" s="6" t="inlineStr">
        <is>
          <t>กระดาษทรายกลม Rhynogrip (แรด)  6รู เบอร์ 320</t>
        </is>
      </c>
      <c r="C948" s="8" t="inlineStr">
        <is>
          <t>200แผ่น</t>
        </is>
      </c>
      <c r="D948" s="9" t="n">
        <v>9</v>
      </c>
      <c r="H948" s="9" t="n">
        <v>1800</v>
      </c>
      <c r="I948" s="10" t="inlineStr">
        <is>
          <t>ออโต้ สมาร์ท</t>
        </is>
      </c>
      <c r="J948" s="161" t="n">
        <v>23172</v>
      </c>
      <c r="L948" s="8" t="inlineStr">
        <is>
          <t>ราคาที่ลง ยังไม่รวมภาษี</t>
        </is>
      </c>
    </row>
    <row r="949">
      <c r="B949" s="6" t="inlineStr">
        <is>
          <t>กระดาษทรายกลม Rhynogrip (แรด)  6รู เบอร์ 320</t>
        </is>
      </c>
      <c r="C949" s="8" t="inlineStr">
        <is>
          <t>200แผ่น</t>
        </is>
      </c>
      <c r="D949" s="9" t="n">
        <v>9</v>
      </c>
      <c r="H949" s="9" t="n">
        <v>1800</v>
      </c>
      <c r="I949" s="10" t="inlineStr">
        <is>
          <t>ออโต้ สมาร์ท</t>
        </is>
      </c>
      <c r="J949" s="161" t="n">
        <v>23186</v>
      </c>
      <c r="L949" s="8" t="inlineStr">
        <is>
          <t>ราคาที่ลง ยังไม่รวมภาษี</t>
        </is>
      </c>
    </row>
    <row r="950">
      <c r="B950" s="6" t="inlineStr">
        <is>
          <t>กระดาษทรายกลม Rhynogrip (แรด)  6รู เบอร์ 320</t>
        </is>
      </c>
      <c r="C950" s="8" t="inlineStr">
        <is>
          <t>200แผ่น</t>
        </is>
      </c>
      <c r="D950" s="9" t="n">
        <v>9</v>
      </c>
      <c r="H950" s="9" t="n">
        <v>1800</v>
      </c>
      <c r="I950" s="10" t="inlineStr">
        <is>
          <t>ออโต้ สมาร์ท</t>
        </is>
      </c>
      <c r="J950" s="161" t="n">
        <v>23202</v>
      </c>
      <c r="L950" s="8" t="inlineStr">
        <is>
          <t>ราคาที่ลง ยังไม่รวมภาษี</t>
        </is>
      </c>
    </row>
    <row r="951">
      <c r="B951" s="6" t="inlineStr">
        <is>
          <t>กระดาษทรายกลม Rhynogrip (แรด)  6รู เบอร์ 320</t>
        </is>
      </c>
      <c r="C951" s="8" t="inlineStr">
        <is>
          <t>200แผ่น</t>
        </is>
      </c>
      <c r="D951" s="9" t="n">
        <v>9</v>
      </c>
      <c r="H951" s="9" t="n">
        <v>1800</v>
      </c>
      <c r="I951" s="10" t="inlineStr">
        <is>
          <t>ออโต้ สมาร์ท</t>
        </is>
      </c>
      <c r="J951" s="161" t="n">
        <v>23212</v>
      </c>
      <c r="L951" s="8" t="inlineStr">
        <is>
          <t>ราคาที่ลง ยังไม่รวมภาษี</t>
        </is>
      </c>
    </row>
    <row r="952">
      <c r="B952" s="6" t="inlineStr">
        <is>
          <t>กระดาษทรายกลม Rhynogrip (แรด)  6รู เบอร์ 320</t>
        </is>
      </c>
      <c r="C952" s="8" t="inlineStr">
        <is>
          <t>200แผ่น</t>
        </is>
      </c>
      <c r="D952" s="9" t="n">
        <v>9</v>
      </c>
      <c r="H952" s="9" t="n">
        <v>1800</v>
      </c>
      <c r="I952" s="10" t="inlineStr">
        <is>
          <t>ออโต้ สมาร์ท</t>
        </is>
      </c>
      <c r="J952" s="161" t="n">
        <v>23230</v>
      </c>
      <c r="L952" s="8" t="inlineStr">
        <is>
          <t>ราคาที่ลง ยังไม่รวมภาษี</t>
        </is>
      </c>
    </row>
    <row r="953">
      <c r="B953" s="6" t="inlineStr">
        <is>
          <t>กระดาษทรายกลม Rhynogrip (แรด)  6รู เบอร์ 320</t>
        </is>
      </c>
      <c r="C953" s="8" t="inlineStr">
        <is>
          <t>200แผ่น</t>
        </is>
      </c>
      <c r="D953" s="9" t="n">
        <v>9</v>
      </c>
      <c r="H953" s="9" t="n">
        <v>1800</v>
      </c>
      <c r="I953" s="10" t="inlineStr">
        <is>
          <t>ออโต้ สมาร์ท</t>
        </is>
      </c>
      <c r="J953" s="161" t="n">
        <v>23254</v>
      </c>
      <c r="L953" s="8" t="inlineStr">
        <is>
          <t>ราคาที่ลง ยังไม่รวมภาษี</t>
        </is>
      </c>
    </row>
    <row r="954">
      <c r="B954" s="6" t="inlineStr">
        <is>
          <t>กระดาษทรายกลม Rhynogrip (แรด)  6รู เบอร์ 320</t>
        </is>
      </c>
      <c r="C954" s="8" t="inlineStr">
        <is>
          <t>200แผ่น</t>
        </is>
      </c>
      <c r="D954" s="9" t="n">
        <v>9</v>
      </c>
      <c r="H954" s="9" t="n">
        <v>1800</v>
      </c>
      <c r="I954" s="10" t="inlineStr">
        <is>
          <t>ออโต้ สมาร์ท</t>
        </is>
      </c>
      <c r="J954" s="161" t="n">
        <v>23269</v>
      </c>
      <c r="L954" s="8" t="inlineStr">
        <is>
          <t>ราคาที่ลง ยังไม่รวมภาษี</t>
        </is>
      </c>
    </row>
    <row r="955">
      <c r="B955" s="6" t="inlineStr">
        <is>
          <t>กระดาษทรายกลม Rhynogrip (แรด)  6รู เบอร์ 320</t>
        </is>
      </c>
      <c r="C955" s="8" t="inlineStr">
        <is>
          <t>100แผ่น</t>
        </is>
      </c>
      <c r="D955" s="9" t="n">
        <v>9</v>
      </c>
      <c r="H955" s="9" t="n">
        <v>900</v>
      </c>
      <c r="I955" s="10" t="inlineStr">
        <is>
          <t>ออโต้ สมาร์ท</t>
        </is>
      </c>
      <c r="J955" s="161" t="n">
        <v>23279</v>
      </c>
      <c r="L955" s="8" t="inlineStr">
        <is>
          <t>ราคาที่ลง ยังไม่รวมภาษี</t>
        </is>
      </c>
    </row>
    <row r="956">
      <c r="B956" s="6" t="inlineStr">
        <is>
          <t>กระดาษทรายกลม Rhynogrip (แรด)  6รู เบอร์ 320</t>
        </is>
      </c>
      <c r="C956" s="8" t="inlineStr">
        <is>
          <t>200แผ่น</t>
        </is>
      </c>
      <c r="D956" s="9" t="n">
        <v>9</v>
      </c>
      <c r="H956" s="9" t="n">
        <v>1800</v>
      </c>
      <c r="I956" s="10" t="inlineStr">
        <is>
          <t>ออโต้ สมาร์ท</t>
        </is>
      </c>
      <c r="J956" s="161" t="n">
        <v>23293</v>
      </c>
      <c r="L956" s="8" t="inlineStr">
        <is>
          <t>ราคาที่ลง ยังไม่รวมภาษี</t>
        </is>
      </c>
    </row>
    <row r="957">
      <c r="B957" s="6" t="inlineStr">
        <is>
          <t>กระดาษทรายกลม Rhynogrip (แรด)  6รู เบอร์ 320</t>
        </is>
      </c>
      <c r="C957" s="8" t="inlineStr">
        <is>
          <t>200แผ่น</t>
        </is>
      </c>
      <c r="D957" s="9" t="n">
        <v>9</v>
      </c>
      <c r="H957" s="9" t="n">
        <v>1800</v>
      </c>
      <c r="I957" s="10" t="inlineStr">
        <is>
          <t>ออโต้ สมาร์ท</t>
        </is>
      </c>
      <c r="J957" s="161" t="n">
        <v>23308</v>
      </c>
      <c r="L957" s="8" t="inlineStr">
        <is>
          <t>ราคาที่ลง ยังไม่รวมภาษี</t>
        </is>
      </c>
    </row>
    <row r="958">
      <c r="B958" s="6" t="inlineStr">
        <is>
          <t>กระดาษทรายกลม Rhynogrip (แรด)  6รู เบอร์ 320</t>
        </is>
      </c>
      <c r="C958" s="8" t="inlineStr">
        <is>
          <t>200แผ่น</t>
        </is>
      </c>
      <c r="D958" s="9" t="n">
        <v>9</v>
      </c>
      <c r="H958" s="9" t="n">
        <v>1800</v>
      </c>
      <c r="I958" s="10" t="inlineStr">
        <is>
          <t>ออโต้ สมาร์ท</t>
        </is>
      </c>
      <c r="J958" s="161" t="n">
        <v>23322</v>
      </c>
      <c r="L958" s="8" t="inlineStr">
        <is>
          <t>ราคาที่ลง ยังไม่รวมภาษี</t>
        </is>
      </c>
    </row>
    <row r="959">
      <c r="B959" s="6" t="inlineStr">
        <is>
          <t>กระดาษทรายกลม Rhynogrip (แรด)  6รู เบอร์ 320</t>
        </is>
      </c>
      <c r="C959" s="8" t="inlineStr">
        <is>
          <t>200แผ่น</t>
        </is>
      </c>
      <c r="D959" s="9" t="n">
        <v>9</v>
      </c>
      <c r="H959" s="9" t="n">
        <v>1800</v>
      </c>
      <c r="I959" s="10" t="inlineStr">
        <is>
          <t>ออโต้ สมาร์ท</t>
        </is>
      </c>
      <c r="J959" s="161" t="n">
        <v>23335</v>
      </c>
      <c r="L959" s="8" t="inlineStr">
        <is>
          <t>ราคาที่ลง ยังไม่รวมภาษี</t>
        </is>
      </c>
    </row>
    <row r="960">
      <c r="B960" s="6" t="inlineStr">
        <is>
          <t>กระดาษทรายกลม Rhynogrip (แรด)  6รู เบอร์ 320</t>
        </is>
      </c>
      <c r="C960" s="8" t="inlineStr">
        <is>
          <t>200แผ่น</t>
        </is>
      </c>
      <c r="D960" s="9" t="n">
        <v>9</v>
      </c>
      <c r="H960" s="9" t="n">
        <v>1800</v>
      </c>
      <c r="I960" s="10" t="inlineStr">
        <is>
          <t>ออโต้ สมาร์ท</t>
        </is>
      </c>
      <c r="J960" s="161" t="n">
        <v>23349</v>
      </c>
      <c r="L960" s="8" t="inlineStr">
        <is>
          <t>ราคาที่ลง ยังไม่รวมภาษี</t>
        </is>
      </c>
    </row>
    <row r="961">
      <c r="B961" s="6" t="inlineStr">
        <is>
          <t>กระดาษทรายกลม Rhynogrip (แรด)  6รู เบอร์ 320</t>
        </is>
      </c>
      <c r="C961" s="8" t="inlineStr">
        <is>
          <t>200แผ่น</t>
        </is>
      </c>
      <c r="D961" s="9" t="n">
        <v>9</v>
      </c>
      <c r="H961" s="9" t="n">
        <v>1800</v>
      </c>
      <c r="I961" s="10" t="inlineStr">
        <is>
          <t>ออโต้ สมาร์ท</t>
        </is>
      </c>
      <c r="J961" s="161" t="n">
        <v>23354</v>
      </c>
      <c r="L961" s="8" t="inlineStr">
        <is>
          <t>ราคาที่ลง ยังไม่รวมภาษี</t>
        </is>
      </c>
    </row>
    <row r="962">
      <c r="B962" s="6" t="inlineStr">
        <is>
          <t>กระดาษทรายกลม Rhynogrip (แรด)  6รู เบอร์ 320</t>
        </is>
      </c>
      <c r="C962" s="8" t="inlineStr">
        <is>
          <t>200แผ่น</t>
        </is>
      </c>
      <c r="D962" s="9" t="n">
        <v>9</v>
      </c>
      <c r="H962" s="9" t="n">
        <v>1800</v>
      </c>
      <c r="I962" s="10" t="inlineStr">
        <is>
          <t>ออโต้ สมาร์ท</t>
        </is>
      </c>
      <c r="J962" s="161" t="n">
        <v>23387</v>
      </c>
      <c r="L962" s="8" t="inlineStr">
        <is>
          <t>ราคาที่ลง ยังไม่รวมภาษี</t>
        </is>
      </c>
    </row>
    <row r="963">
      <c r="B963" s="6" t="inlineStr">
        <is>
          <t>กระดาษทรายกลม Rhynogrip (แรด)  6รู เบอร์ 320</t>
        </is>
      </c>
      <c r="C963" s="8" t="inlineStr">
        <is>
          <t>200แผ่น</t>
        </is>
      </c>
      <c r="D963" s="9" t="n">
        <v>9</v>
      </c>
      <c r="H963" s="9" t="n">
        <v>1800</v>
      </c>
      <c r="I963" s="10" t="inlineStr">
        <is>
          <t>ออโต้ สมาร์ท</t>
        </is>
      </c>
      <c r="J963" s="161" t="n">
        <v>23399</v>
      </c>
      <c r="L963" s="8" t="inlineStr">
        <is>
          <t>ราคาที่ลง ยังไม่รวมภาษี</t>
        </is>
      </c>
    </row>
    <row r="964">
      <c r="B964" s="6" t="inlineStr">
        <is>
          <t>กระดาษทรายกลม Rhynogrip (แรด)  6รู เบอร์ 320</t>
        </is>
      </c>
      <c r="C964" s="8" t="inlineStr">
        <is>
          <t>200แผ่น</t>
        </is>
      </c>
      <c r="D964" s="9" t="n">
        <v>9</v>
      </c>
      <c r="H964" s="9" t="n">
        <v>1800</v>
      </c>
      <c r="I964" s="10" t="inlineStr">
        <is>
          <t>ออโต้ สมาร์ท</t>
        </is>
      </c>
      <c r="J964" s="161" t="n">
        <v>23411</v>
      </c>
      <c r="L964" s="8" t="inlineStr">
        <is>
          <t>ราคาที่ลง ยังไม่รวมภาษี</t>
        </is>
      </c>
    </row>
    <row r="965">
      <c r="B965" s="6" t="inlineStr">
        <is>
          <t>กระดาษทรายกลม Rhynogrip (แรด)  6รู เบอร์ 320</t>
        </is>
      </c>
      <c r="C965" s="8" t="inlineStr">
        <is>
          <t>200แผ่น</t>
        </is>
      </c>
      <c r="D965" s="9" t="n">
        <v>9</v>
      </c>
      <c r="H965" s="9" t="n">
        <v>1800</v>
      </c>
      <c r="I965" s="10" t="inlineStr">
        <is>
          <t>ออโต้ สมาร์ท</t>
        </is>
      </c>
      <c r="J965" s="161" t="n">
        <v>23442</v>
      </c>
      <c r="L965" s="8" t="inlineStr">
        <is>
          <t>ราคาที่ลง ยังไม่รวมภาษี</t>
        </is>
      </c>
    </row>
    <row r="966">
      <c r="B966" s="6" t="inlineStr">
        <is>
          <t>กระดาษทรายกลม Rhynogrip (แรด)  6รู เบอร์ 320</t>
        </is>
      </c>
      <c r="C966" s="8" t="inlineStr">
        <is>
          <t>200แผ่น</t>
        </is>
      </c>
      <c r="D966" s="9" t="n">
        <v>9</v>
      </c>
      <c r="H966" s="9" t="n">
        <v>1800</v>
      </c>
      <c r="I966" s="10" t="inlineStr">
        <is>
          <t>ออโต้ สมาร์ท</t>
        </is>
      </c>
      <c r="J966" s="161" t="n">
        <v>23455</v>
      </c>
      <c r="L966" s="8" t="inlineStr">
        <is>
          <t>ราคาที่ลง ยังไม่รวมภาษี</t>
        </is>
      </c>
    </row>
    <row r="967">
      <c r="B967" s="6" t="inlineStr">
        <is>
          <t>กระดาษทรายกลม Rhynogrip (แรด)  6รู เบอร์ 320</t>
        </is>
      </c>
      <c r="C967" s="8" t="inlineStr">
        <is>
          <t>200แผ่น</t>
        </is>
      </c>
      <c r="D967" s="9" t="n">
        <v>9</v>
      </c>
      <c r="H967" s="9" t="n">
        <v>1800</v>
      </c>
      <c r="I967" s="10" t="inlineStr">
        <is>
          <t>ออโต้ สมาร์ท</t>
        </is>
      </c>
      <c r="J967" s="161" t="n">
        <v>23462</v>
      </c>
      <c r="L967" s="8" t="inlineStr">
        <is>
          <t>ราคาที่ลง ยังไม่รวมภาษี</t>
        </is>
      </c>
    </row>
    <row r="968">
      <c r="B968" s="6" t="inlineStr">
        <is>
          <t>กระดาษทรายกลม Rhynogrip (แรด)  6รู เบอร์ 320</t>
        </is>
      </c>
      <c r="C968" s="8" t="inlineStr">
        <is>
          <t>200แผ่น</t>
        </is>
      </c>
      <c r="D968" s="9" t="n">
        <v>9</v>
      </c>
      <c r="H968" s="9" t="n">
        <v>1800</v>
      </c>
      <c r="I968" s="10" t="inlineStr">
        <is>
          <t>ออโต้ สมาร์ท</t>
        </is>
      </c>
      <c r="J968" s="161" t="n">
        <v>23503</v>
      </c>
      <c r="L968" s="8" t="inlineStr">
        <is>
          <t>ราคาที่ลง ยังไม่รวมภาษี</t>
        </is>
      </c>
    </row>
    <row r="969">
      <c r="B969" s="6" t="inlineStr">
        <is>
          <t>กระดาษทรายกลม Rhynogrip (แรด)  6รู เบอร์ 320</t>
        </is>
      </c>
      <c r="C969" s="8" t="inlineStr">
        <is>
          <t>200แผ่น</t>
        </is>
      </c>
      <c r="D969" s="9" t="n">
        <v>9</v>
      </c>
      <c r="H969" s="9" t="n">
        <v>1800</v>
      </c>
      <c r="I969" s="10" t="inlineStr">
        <is>
          <t>ออโต้ สมาร์ท</t>
        </is>
      </c>
      <c r="J969" s="161" t="n">
        <v>23571</v>
      </c>
      <c r="L969" s="8" t="inlineStr">
        <is>
          <t>ราคาที่ลง ยังไม่รวมภาษี</t>
        </is>
      </c>
    </row>
    <row r="970">
      <c r="B970" s="6" t="inlineStr">
        <is>
          <t>กระดาษทรายกลม Rhynogrip (แรด)  6รู เบอร์ 320</t>
        </is>
      </c>
      <c r="C970" s="8" t="inlineStr">
        <is>
          <t>200แผ่น</t>
        </is>
      </c>
      <c r="D970" s="9" t="n">
        <v>9</v>
      </c>
      <c r="H970" s="9" t="n">
        <v>1800</v>
      </c>
      <c r="I970" s="10" t="inlineStr">
        <is>
          <t>ออโต้ สมาร์ท</t>
        </is>
      </c>
      <c r="J970" s="161" t="n">
        <v>23577</v>
      </c>
      <c r="L970" s="8" t="inlineStr">
        <is>
          <t>ราคาที่ลง ยังไม่รวมภาษี</t>
        </is>
      </c>
    </row>
    <row r="971">
      <c r="B971" s="6" t="inlineStr">
        <is>
          <t>กระดาษทรายกลม Rhynogrip (แรด)  6รู เบอร์ 320</t>
        </is>
      </c>
      <c r="C971" s="8" t="inlineStr">
        <is>
          <t>200แผ่น</t>
        </is>
      </c>
      <c r="D971" s="9" t="n">
        <v>9</v>
      </c>
      <c r="H971" s="9" t="n">
        <v>1800</v>
      </c>
      <c r="I971" s="10" t="inlineStr">
        <is>
          <t>ออโต้ สมาร์ท</t>
        </is>
      </c>
      <c r="J971" s="161" t="n">
        <v>23598</v>
      </c>
      <c r="L971" s="8" t="inlineStr">
        <is>
          <t>ราคาที่ลง ยังไม่รวมภาษี</t>
        </is>
      </c>
    </row>
    <row r="972">
      <c r="B972" s="6" t="inlineStr">
        <is>
          <t>กระดาษทรายกลม Rhynogrip (แรด)  6รู เบอร์ 320</t>
        </is>
      </c>
      <c r="C972" s="8" t="inlineStr">
        <is>
          <t>200แผ่น</t>
        </is>
      </c>
      <c r="D972" s="9" t="n">
        <v>9</v>
      </c>
      <c r="H972" s="9" t="n">
        <v>1800</v>
      </c>
      <c r="I972" s="10" t="inlineStr">
        <is>
          <t>ออโต้ สมาร์ท</t>
        </is>
      </c>
      <c r="J972" s="161" t="n">
        <v>23620</v>
      </c>
      <c r="K972" s="8" t="n">
        <v>202108203</v>
      </c>
      <c r="L972" s="8" t="inlineStr">
        <is>
          <t>ราคาที่ลง ยังไม่รวมภาษี</t>
        </is>
      </c>
    </row>
    <row r="973">
      <c r="B973" s="6" t="inlineStr">
        <is>
          <t>กระดาษทรายกลม Rhynogrip (แรด)  6รู เบอร์ 320</t>
        </is>
      </c>
      <c r="C973" s="8" t="inlineStr">
        <is>
          <t>200แผ่น</t>
        </is>
      </c>
      <c r="D973" s="9" t="n">
        <v>9</v>
      </c>
      <c r="H973" s="9" t="n">
        <v>1800</v>
      </c>
      <c r="I973" s="10" t="inlineStr">
        <is>
          <t>ออโต้ สมาร์ท</t>
        </is>
      </c>
      <c r="J973" s="161" t="n">
        <v>23643</v>
      </c>
      <c r="K973" s="8" t="n">
        <v>202109165</v>
      </c>
      <c r="L973" s="8" t="inlineStr">
        <is>
          <t>ราคาที่ลง ยังไม่รวมภาษี</t>
        </is>
      </c>
    </row>
    <row r="974">
      <c r="B974" s="6" t="inlineStr">
        <is>
          <t>กระดาษทรายกลม Rhynogrip (แรด)  6รู เบอร์ 320</t>
        </is>
      </c>
      <c r="C974" s="8" t="inlineStr">
        <is>
          <t>200แผ่น</t>
        </is>
      </c>
      <c r="D974" s="9" t="n">
        <v>9</v>
      </c>
      <c r="H974" s="9" t="n">
        <v>1800</v>
      </c>
      <c r="I974" s="10" t="inlineStr">
        <is>
          <t>ออโต้ สมาร์ท</t>
        </is>
      </c>
      <c r="J974" s="161" t="n">
        <v>23661</v>
      </c>
      <c r="K974" s="8" t="n">
        <v>202110080</v>
      </c>
      <c r="L974" s="8" t="inlineStr">
        <is>
          <t>ราคาที่ลง ยังไม่รวมภาษี</t>
        </is>
      </c>
    </row>
    <row r="975">
      <c r="B975" s="6" t="inlineStr">
        <is>
          <t>กระดาษทรายกลม Rhynogrip (แรด)  6รู เบอร์ 320</t>
        </is>
      </c>
      <c r="C975" s="8" t="inlineStr">
        <is>
          <t>200แผ่น</t>
        </is>
      </c>
      <c r="D975" s="9" t="n">
        <v>9</v>
      </c>
      <c r="H975" s="9" t="n">
        <v>1800</v>
      </c>
      <c r="I975" s="10" t="inlineStr">
        <is>
          <t>ออโต้ สมาร์ท</t>
        </is>
      </c>
      <c r="J975" s="161" t="n">
        <v>23678</v>
      </c>
      <c r="K975" s="8" t="n">
        <v>202110201</v>
      </c>
      <c r="L975" s="8" t="inlineStr">
        <is>
          <t>ราคาที่ลง ยังไม่รวมภาษี</t>
        </is>
      </c>
    </row>
    <row r="976">
      <c r="B976" s="6" t="inlineStr">
        <is>
          <t>กระดาษทรายกลม Rhynogrip (แรด)  6รู เบอร์ 320</t>
        </is>
      </c>
      <c r="C976" s="8" t="inlineStr">
        <is>
          <t>300แผ่น</t>
        </is>
      </c>
      <c r="D976" s="9" t="n">
        <v>9</v>
      </c>
      <c r="H976" s="9" t="n">
        <v>2700</v>
      </c>
      <c r="I976" s="10" t="inlineStr">
        <is>
          <t>ออโต้ สมาร์ท</t>
        </is>
      </c>
      <c r="J976" s="161" t="n">
        <v>23762</v>
      </c>
      <c r="K976" s="8" t="n">
        <v>202201143</v>
      </c>
      <c r="L976" s="8" t="inlineStr">
        <is>
          <t>ราคาที่ลง ยังไม่รวมภาษี</t>
        </is>
      </c>
    </row>
    <row r="977">
      <c r="B977" s="6" t="inlineStr">
        <is>
          <t>กระดาษทรายกลม  6รู เบอร์ 320 -- รุ่นฟิล์ม (สีเขียว) Smart Tool</t>
        </is>
      </c>
      <c r="C977" s="8" t="inlineStr">
        <is>
          <t>50แผ่น</t>
        </is>
      </c>
      <c r="D977" s="9" t="n">
        <v>7.58</v>
      </c>
      <c r="H977" s="9" t="n">
        <v>379</v>
      </c>
      <c r="I977" s="10" t="inlineStr">
        <is>
          <t>ไทยนคร</t>
        </is>
      </c>
      <c r="J977" s="161" t="n">
        <v>23784</v>
      </c>
      <c r="K977" s="8" t="inlineStr">
        <is>
          <t>INV22020466</t>
        </is>
      </c>
      <c r="L977" s="8" t="inlineStr">
        <is>
          <t>ราคาที่ลง ยังไม่รวมภาษี</t>
        </is>
      </c>
    </row>
    <row r="978">
      <c r="B978" s="6" t="inlineStr">
        <is>
          <t>กระดาษทรายกลม  6รู เบอร์ 320 -- รุ่นฟิล์ม (สีเขียว) Smart Tool</t>
        </is>
      </c>
      <c r="C978" s="8" t="inlineStr">
        <is>
          <t>50แผ่น</t>
        </is>
      </c>
      <c r="D978" s="9" t="n">
        <v>7.58</v>
      </c>
      <c r="H978" s="9" t="n">
        <v>379</v>
      </c>
      <c r="I978" s="10" t="inlineStr">
        <is>
          <t>ไทยนคร</t>
        </is>
      </c>
      <c r="J978" s="161" t="n">
        <v>23784</v>
      </c>
      <c r="K978" s="8" t="inlineStr">
        <is>
          <t>INV22020427</t>
        </is>
      </c>
      <c r="L978" s="8" t="inlineStr">
        <is>
          <t>ราคาที่ลง ยังไม่รวมภาษี</t>
        </is>
      </c>
    </row>
    <row r="979">
      <c r="B979" s="6" t="inlineStr">
        <is>
          <t>กระดาษทรายกลม CAPTAIN  6" 6รู เบอร์ 320</t>
        </is>
      </c>
      <c r="C979" s="8" t="inlineStr">
        <is>
          <t>100แผ่น</t>
        </is>
      </c>
      <c r="D979" s="9" t="n">
        <v>5.5</v>
      </c>
      <c r="H979" s="9" t="n">
        <v>550</v>
      </c>
      <c r="I979" s="10" t="inlineStr">
        <is>
          <t>ทาเลนท์อินเตอร์เทรด</t>
        </is>
      </c>
      <c r="J979" s="161" t="n">
        <v>23789</v>
      </c>
      <c r="K979" s="8" t="inlineStr">
        <is>
          <t>IV6503189</t>
        </is>
      </c>
      <c r="L979" s="8" t="inlineStr">
        <is>
          <t>ราคาที่ลง ยังไม่รวมภาษี</t>
        </is>
      </c>
    </row>
    <row r="980">
      <c r="B980" s="6" t="inlineStr">
        <is>
          <t>กระดาษทรายกลม Rhynogrip (แรด)  6รู เบอร์ 320</t>
        </is>
      </c>
      <c r="C980" s="8" t="inlineStr">
        <is>
          <t>250แผ่น</t>
        </is>
      </c>
      <c r="D980" s="9" t="n">
        <v>9</v>
      </c>
      <c r="H980" s="9" t="n">
        <v>2250</v>
      </c>
      <c r="I980" s="10" t="inlineStr">
        <is>
          <t>ออโต้ สมาร์ท</t>
        </is>
      </c>
      <c r="J980" s="161" t="n">
        <v>23868</v>
      </c>
      <c r="K980" s="8" t="n">
        <v>202205057</v>
      </c>
      <c r="L980" s="8" t="inlineStr">
        <is>
          <t>ราคาที่ลง ยังไม่รวมภาษี</t>
        </is>
      </c>
    </row>
    <row r="981">
      <c r="A981" s="68" t="inlineStr">
        <is>
          <t>โปรซื้อ 19แถมฟรี 8</t>
        </is>
      </c>
      <c r="B981" s="6" t="inlineStr">
        <is>
          <t>กระดาษทรายกลม Rhynogrip (แรด) 6รู เบอร์ 320</t>
        </is>
      </c>
      <c r="C981" s="8" t="inlineStr">
        <is>
          <t>800แผ่น</t>
        </is>
      </c>
      <c r="D981" s="9" t="n">
        <v>5.56</v>
      </c>
      <c r="G981" s="10" t="n">
        <v>3.91</v>
      </c>
      <c r="H981" s="9" t="n">
        <v>4450</v>
      </c>
      <c r="I981" s="10" t="inlineStr">
        <is>
          <t>ออโต้เทรด</t>
        </is>
      </c>
      <c r="J981" s="161" t="n">
        <v>23901</v>
      </c>
      <c r="K981" s="8" t="inlineStr">
        <is>
          <t>IV1417113</t>
        </is>
      </c>
      <c r="L981" s="8" t="inlineStr">
        <is>
          <t>ราคาที่ลง ยังไม่รวมภาษี</t>
        </is>
      </c>
    </row>
    <row r="982">
      <c r="A982" s="68" t="inlineStr">
        <is>
          <t>โปรซื้อ 19แถมฟรี 8</t>
        </is>
      </c>
      <c r="B982" s="6" t="inlineStr">
        <is>
          <t>กระดาษทรายกลม Rhynogrip (แรด)  6รู เบอร์ 320</t>
        </is>
      </c>
      <c r="C982" s="8" t="inlineStr">
        <is>
          <t>10กล่อง</t>
        </is>
      </c>
      <c r="D982" s="9" t="n">
        <v>556.25</v>
      </c>
      <c r="H982" s="9" t="n">
        <v>5562.5</v>
      </c>
      <c r="I982" s="10" t="inlineStr">
        <is>
          <t>ออโต้เทรด</t>
        </is>
      </c>
      <c r="J982" s="161" t="n">
        <v>23944</v>
      </c>
      <c r="K982" s="8" t="inlineStr">
        <is>
          <t>IV1419112</t>
        </is>
      </c>
      <c r="L982" s="8" t="inlineStr">
        <is>
          <t>ราคาที่ลง ยังไม่รวมภาษี</t>
        </is>
      </c>
    </row>
    <row r="983">
      <c r="A983" s="68" t="inlineStr">
        <is>
          <t>โปรซื้อ 19แถมฟรี 8</t>
        </is>
      </c>
      <c r="B983" s="6" t="inlineStr">
        <is>
          <t>กระดาษทรายกลม Rhynogrip (แรด)  6รู เบอร์ 320 -- แถมฟรี</t>
        </is>
      </c>
      <c r="C983" s="8" t="inlineStr">
        <is>
          <t>5กล่อง</t>
        </is>
      </c>
      <c r="I983" s="10" t="inlineStr">
        <is>
          <t>ออโต้เทรด</t>
        </is>
      </c>
      <c r="J983" s="161" t="n">
        <v>23944</v>
      </c>
      <c r="K983" s="8" t="inlineStr">
        <is>
          <t>IV1419112</t>
        </is>
      </c>
    </row>
    <row r="984">
      <c r="A984" s="68" t="inlineStr">
        <is>
          <t>โปรซื้อ 19แถมฟรี 8</t>
        </is>
      </c>
      <c r="B984" s="6" t="inlineStr">
        <is>
          <t>กระดาษทรายกลม Rhynogrip (แรด)  6รู เบอร์ 320</t>
        </is>
      </c>
      <c r="C984" s="8" t="inlineStr">
        <is>
          <t>16กล่อง</t>
        </is>
      </c>
      <c r="D984" s="9" t="n">
        <v>650</v>
      </c>
      <c r="H984" s="9" t="n">
        <v>10400</v>
      </c>
      <c r="I984" s="10" t="inlineStr">
        <is>
          <t>ออโต้เทรด</t>
        </is>
      </c>
      <c r="J984" s="161" t="n">
        <v>24021</v>
      </c>
      <c r="K984" s="8" t="inlineStr">
        <is>
          <t>IV1422486</t>
        </is>
      </c>
      <c r="L984" s="8" t="inlineStr">
        <is>
          <t>ราคาที่ลง ยังไม่รวมภาษี</t>
        </is>
      </c>
    </row>
    <row r="985">
      <c r="A985" s="68" t="inlineStr">
        <is>
          <t>โปรซื้อ 19แถมฟรี 8</t>
        </is>
      </c>
      <c r="B985" s="6" t="inlineStr">
        <is>
          <t>กระดาษทรายกลม Rhynogrip (แรด)  6รู เบอร์ 320 -- แถมฟรี</t>
        </is>
      </c>
      <c r="C985" s="8" t="inlineStr">
        <is>
          <t>3กล่อง</t>
        </is>
      </c>
      <c r="I985" s="10" t="inlineStr">
        <is>
          <t>ออโต้เทรด</t>
        </is>
      </c>
      <c r="J985" s="161" t="n">
        <v>24021</v>
      </c>
      <c r="K985" s="8" t="inlineStr">
        <is>
          <t>IV1422486</t>
        </is>
      </c>
      <c r="L985" s="8" t="inlineStr">
        <is>
          <t>ราคาที่ลง ยังไม่รวมภาษี</t>
        </is>
      </c>
    </row>
    <row r="986">
      <c r="A986" s="68" t="inlineStr">
        <is>
          <t>โปรซื้อ 19แถมฟรี 8</t>
        </is>
      </c>
      <c r="B986" s="6" t="inlineStr">
        <is>
          <t>กระดาษทรายกลม Rhynogrip (แรด)  6รู เบอร์ 320</t>
        </is>
      </c>
      <c r="C986" s="8" t="inlineStr">
        <is>
          <t>9กล่อง</t>
        </is>
      </c>
      <c r="D986" s="9" t="n">
        <v>650</v>
      </c>
      <c r="H986" s="9" t="n">
        <v>5850</v>
      </c>
      <c r="I986" s="10" t="inlineStr">
        <is>
          <t>ออโต้เทรด</t>
        </is>
      </c>
      <c r="J986" s="161" t="n">
        <v>24084</v>
      </c>
      <c r="K986" s="8" t="inlineStr">
        <is>
          <t>IV1425090</t>
        </is>
      </c>
      <c r="L986" s="8" t="inlineStr">
        <is>
          <t>ราคาที่ลง ยังไม่รวมภาษี</t>
        </is>
      </c>
    </row>
    <row r="987">
      <c r="A987" s="68" t="inlineStr">
        <is>
          <t>โปรซื้อ 19แถมฟรี 8</t>
        </is>
      </c>
      <c r="B987" s="6" t="inlineStr">
        <is>
          <t>กระดาษทรายกลม Rhynogrip (แรด)  6รู เบอร์ 320</t>
        </is>
      </c>
      <c r="C987" s="8" t="inlineStr">
        <is>
          <t>19กล่อง</t>
        </is>
      </c>
      <c r="D987" s="9" t="n">
        <v>650</v>
      </c>
      <c r="H987" s="9" t="n">
        <v>12350</v>
      </c>
      <c r="I987" s="10" t="inlineStr">
        <is>
          <t>ออโต้เทรด</t>
        </is>
      </c>
      <c r="J987" s="161" t="n">
        <v>24144</v>
      </c>
      <c r="K987" s="8" t="inlineStr">
        <is>
          <t>IV1427558</t>
        </is>
      </c>
      <c r="L987" s="8" t="inlineStr">
        <is>
          <t>ราคาที่ลง ยังไม่รวมภาษี</t>
        </is>
      </c>
    </row>
    <row r="988">
      <c r="A988" s="68" t="inlineStr">
        <is>
          <t>โปรซื้อ 19แถมฟรี 8</t>
        </is>
      </c>
      <c r="B988" s="6" t="inlineStr">
        <is>
          <t>กระดาษทรายกลม Rhynogrip (แรด)  6รู เบอร์ 320 -- แถมฟรี</t>
        </is>
      </c>
      <c r="C988" s="8" t="inlineStr">
        <is>
          <t>1กล่อง</t>
        </is>
      </c>
      <c r="I988" s="10" t="inlineStr">
        <is>
          <t>ออโต้เทรด</t>
        </is>
      </c>
      <c r="J988" s="161" t="n">
        <v>24144</v>
      </c>
      <c r="K988" s="8" t="inlineStr">
        <is>
          <t>IV1427558</t>
        </is>
      </c>
      <c r="L988" s="8" t="inlineStr">
        <is>
          <t>ราคาที่ลง ยังไม่รวมภาษี</t>
        </is>
      </c>
    </row>
    <row r="989">
      <c r="A989" s="68" t="inlineStr">
        <is>
          <t>โปรซื้อ 20แถมฟรี 8</t>
        </is>
      </c>
      <c r="B989" s="6" t="inlineStr">
        <is>
          <t>กระดาษทรายกลม Rhynogrip (แรด)  6รู เบอร์ 320</t>
        </is>
      </c>
      <c r="C989" s="8" t="inlineStr">
        <is>
          <t>20กล่อง</t>
        </is>
      </c>
      <c r="D989" s="9" t="n">
        <v>650</v>
      </c>
      <c r="H989" s="9" t="n">
        <v>13000</v>
      </c>
      <c r="I989" s="10" t="inlineStr">
        <is>
          <t>ออโต้เทรด</t>
        </is>
      </c>
      <c r="J989" s="161" t="n">
        <v>24202</v>
      </c>
      <c r="K989" s="8" t="inlineStr">
        <is>
          <t>IV1430190</t>
        </is>
      </c>
    </row>
    <row r="990">
      <c r="A990" s="68" t="inlineStr">
        <is>
          <t>โปรซื้อ 20แถมฟรี 8</t>
        </is>
      </c>
      <c r="B990" s="6" t="inlineStr">
        <is>
          <t>กระดาษทรายกลม Rhynogrip (แรด)  6รู เบอร์ 320</t>
        </is>
      </c>
      <c r="C990" s="8" t="n">
        <v>11</v>
      </c>
      <c r="D990" s="9" t="n">
        <v>650</v>
      </c>
      <c r="H990" s="9">
        <f>SUM(D990*C990)</f>
        <v/>
      </c>
      <c r="I990" s="10" t="inlineStr">
        <is>
          <t>ออโต้เทรด</t>
        </is>
      </c>
      <c r="J990" s="161" t="n">
        <v>24272</v>
      </c>
      <c r="K990" s="8" t="inlineStr">
        <is>
          <t>IV1433445</t>
        </is>
      </c>
    </row>
    <row r="991">
      <c r="A991" s="68" t="inlineStr">
        <is>
          <t>โปรซื้อ 20แถมฟรี 8</t>
        </is>
      </c>
      <c r="B991" s="6" t="inlineStr">
        <is>
          <t>กระดาษทรายกลม Rhynogrip (แรด)  6รู เบอร์ 320</t>
        </is>
      </c>
      <c r="C991" s="8" t="n">
        <v>20</v>
      </c>
      <c r="D991" s="9" t="n">
        <v>650</v>
      </c>
      <c r="H991" s="9">
        <f>SUM(D991*C991)</f>
        <v/>
      </c>
      <c r="I991" s="10" t="inlineStr">
        <is>
          <t>ออโต้เทรด</t>
        </is>
      </c>
      <c r="J991" s="161" t="n">
        <v>24326</v>
      </c>
      <c r="K991" s="8" t="inlineStr">
        <is>
          <t>IV1435877</t>
        </is>
      </c>
    </row>
    <row r="992">
      <c r="A992" s="68" t="inlineStr">
        <is>
          <t>โปรซื้อ 20แถมฟรี 8</t>
        </is>
      </c>
      <c r="B992" s="6" t="inlineStr">
        <is>
          <t>กระดาษทรายกลม Rhynogrip (แรด)  6รู เบอร์ 320</t>
        </is>
      </c>
      <c r="C992" s="8" t="n">
        <v>6</v>
      </c>
      <c r="D992" s="9" t="n">
        <v>650</v>
      </c>
      <c r="H992" s="9">
        <f>SUM(D992*C992)</f>
        <v/>
      </c>
      <c r="I992" s="10" t="inlineStr">
        <is>
          <t>ออโต้เทรด</t>
        </is>
      </c>
      <c r="J992" s="161" t="n">
        <v>24385</v>
      </c>
      <c r="K992" s="8" t="inlineStr">
        <is>
          <t>IV1438645</t>
        </is>
      </c>
    </row>
    <row r="993">
      <c r="A993" s="68" t="inlineStr">
        <is>
          <t>โปรซื้อ 20แถมฟรี 8</t>
        </is>
      </c>
      <c r="B993" s="6" t="inlineStr">
        <is>
          <t>กระดาษทรายกลม Rhynogrip (แรด)  6รู เบอร์ 320 -- แถมฟรี</t>
        </is>
      </c>
      <c r="C993" s="8" t="n">
        <v>8</v>
      </c>
      <c r="H993" s="9">
        <f>SUM(D993*C993)</f>
        <v/>
      </c>
      <c r="I993" s="10" t="inlineStr">
        <is>
          <t>ออโต้เทรด</t>
        </is>
      </c>
      <c r="J993" s="161" t="n">
        <v>24385</v>
      </c>
      <c r="K993" s="8" t="inlineStr">
        <is>
          <t>IV1438645</t>
        </is>
      </c>
    </row>
    <row r="994">
      <c r="A994" s="68" t="inlineStr">
        <is>
          <t>โปรซื้อ 20แถมฟรี 8</t>
        </is>
      </c>
      <c r="B994" s="6" t="inlineStr">
        <is>
          <t>กระดาษทรายกลม Rhynogrip (แรด)  6รู เบอร์ 320</t>
        </is>
      </c>
      <c r="C994" s="8" t="n">
        <v>20</v>
      </c>
      <c r="D994" s="9" t="n">
        <v>650</v>
      </c>
      <c r="H994" s="9">
        <f>SUM(D994*C994)</f>
        <v/>
      </c>
      <c r="I994" s="10" t="inlineStr">
        <is>
          <t>ออโต้เทรด</t>
        </is>
      </c>
      <c r="J994" s="161" t="n">
        <v>24439</v>
      </c>
      <c r="K994" s="8" t="inlineStr">
        <is>
          <t>IV1441081</t>
        </is>
      </c>
    </row>
    <row r="995">
      <c r="A995" s="68" t="inlineStr">
        <is>
          <t>โปรซื้อ 20แถมฟรี 8</t>
        </is>
      </c>
      <c r="B995" s="6" t="inlineStr">
        <is>
          <t>กระดาษทรายกลม Rhynogrip (แรด)  6รู เบอร์ 320 -- แถมฟรี</t>
        </is>
      </c>
      <c r="C995" s="8" t="n">
        <v>8</v>
      </c>
      <c r="H995" s="9">
        <f>SUM(D995*C995)</f>
        <v/>
      </c>
      <c r="I995" s="10" t="inlineStr">
        <is>
          <t>ออโต้เทรด</t>
        </is>
      </c>
      <c r="J995" s="161" t="n">
        <v>24439</v>
      </c>
      <c r="K995" s="8" t="inlineStr">
        <is>
          <t>IV1441081</t>
        </is>
      </c>
    </row>
    <row r="996">
      <c r="A996" s="68" t="inlineStr">
        <is>
          <t>โปรซื้อ 20แถมฟรี 8</t>
        </is>
      </c>
      <c r="B996" s="6" t="inlineStr">
        <is>
          <t>กระดาษทรายกลม Rhynogrip (แรด)  6รู เบอร์ 320</t>
        </is>
      </c>
      <c r="C996" s="8" t="n">
        <v>18</v>
      </c>
      <c r="D996" s="9" t="n">
        <v>650</v>
      </c>
      <c r="H996" s="9">
        <f>SUM(D996*C996)</f>
        <v/>
      </c>
      <c r="I996" s="10" t="inlineStr">
        <is>
          <t>ออโต้เทรด</t>
        </is>
      </c>
      <c r="J996" s="161" t="n">
        <v>24587</v>
      </c>
      <c r="K996" s="8" t="inlineStr">
        <is>
          <t>IV1447634</t>
        </is>
      </c>
    </row>
    <row r="997">
      <c r="A997" s="68" t="inlineStr">
        <is>
          <t>โปรซื้อ 20แถมฟรี 8</t>
        </is>
      </c>
      <c r="B997" s="6" t="inlineStr">
        <is>
          <t>กระดาษทรายกลม Rhynogrip (แรด)  6รู เบอร์ 320 -- แถมฟรี</t>
        </is>
      </c>
      <c r="C997" s="8" t="n">
        <v>2</v>
      </c>
      <c r="H997" s="9">
        <f>SUM(D997*C997)</f>
        <v/>
      </c>
      <c r="I997" s="10" t="inlineStr">
        <is>
          <t>ออโต้เทรด</t>
        </is>
      </c>
      <c r="J997" s="161" t="n">
        <v>24587</v>
      </c>
      <c r="K997" s="8" t="inlineStr">
        <is>
          <t>IV1447634</t>
        </is>
      </c>
    </row>
    <row r="998">
      <c r="A998" s="68" t="inlineStr">
        <is>
          <t>โปรซื้อ 24แถมฟรี 8</t>
        </is>
      </c>
      <c r="B998" s="6" t="inlineStr">
        <is>
          <t>กระดาษทรายกลม Rhynogrip (แรด)  6รู เบอร์ 320</t>
        </is>
      </c>
      <c r="C998" s="8" t="n">
        <v>24</v>
      </c>
      <c r="D998" s="9" t="n">
        <v>650</v>
      </c>
      <c r="H998" s="9">
        <f>SUM(D998*C998)</f>
        <v/>
      </c>
      <c r="I998" s="10" t="inlineStr">
        <is>
          <t>ออโต้เทรด</t>
        </is>
      </c>
      <c r="J998" s="161" t="n">
        <v>24658</v>
      </c>
      <c r="K998" s="8" t="inlineStr">
        <is>
          <t>IV1451048</t>
        </is>
      </c>
    </row>
    <row r="999">
      <c r="A999" s="68" t="inlineStr">
        <is>
          <t>โปรซื้อ 24แถมฟรี 8</t>
        </is>
      </c>
      <c r="B999" s="6" t="inlineStr">
        <is>
          <t>กระดาษทรายกลม Rhynogrip (แรด)  6รู เบอร์ 320 -- แถมฟรี</t>
        </is>
      </c>
      <c r="C999" s="8" t="n">
        <v>8</v>
      </c>
      <c r="H999" s="9">
        <f>SUM(D999*C999)</f>
        <v/>
      </c>
      <c r="I999" s="10" t="inlineStr">
        <is>
          <t>ออโต้เทรด</t>
        </is>
      </c>
      <c r="J999" s="161" t="n">
        <v>24658</v>
      </c>
      <c r="K999" s="8" t="inlineStr">
        <is>
          <t>IV1451048</t>
        </is>
      </c>
    </row>
    <row r="1000">
      <c r="A1000" s="68" t="inlineStr">
        <is>
          <t>โปรซื้อ 38แถมฟรี 14</t>
        </is>
      </c>
      <c r="B1000" s="6" t="inlineStr">
        <is>
          <t>กระดาษทรายกลม Rhynogrip (แรด)  6รู เบอร์ 320</t>
        </is>
      </c>
      <c r="C1000" s="8" t="n">
        <v>13</v>
      </c>
      <c r="D1000" s="9" t="n">
        <v>695.5</v>
      </c>
      <c r="H1000" s="9">
        <f>SUM(D1000*C1000)</f>
        <v/>
      </c>
      <c r="I1000" s="10" t="inlineStr">
        <is>
          <t>ออโต้เทรด</t>
        </is>
      </c>
      <c r="J1000" s="161" t="n">
        <v>24846</v>
      </c>
      <c r="K1000" s="8" t="inlineStr">
        <is>
          <t>IV1459290</t>
        </is>
      </c>
      <c r="L1000" s="8" t="inlineStr">
        <is>
          <t>ราคารวม VAT แล้ว</t>
        </is>
      </c>
    </row>
    <row r="1001">
      <c r="A1001" s="68" t="inlineStr">
        <is>
          <t>โปรซื้อ 38แถมฟรี 14</t>
        </is>
      </c>
      <c r="B1001" s="6" t="inlineStr">
        <is>
          <t>กระดาษทรายกลม Rhynogrip (แรด)  6รู เบอร์ 320 -- แถมฟรี</t>
        </is>
      </c>
      <c r="C1001" s="8" t="n">
        <v>6</v>
      </c>
      <c r="H1001" s="9">
        <f>SUM(D1001*C1001)</f>
        <v/>
      </c>
      <c r="I1001" s="10" t="inlineStr">
        <is>
          <t>ออโต้เทรด</t>
        </is>
      </c>
      <c r="J1001" s="161" t="n">
        <v>24846</v>
      </c>
      <c r="K1001" s="8" t="inlineStr">
        <is>
          <t>IV1459290</t>
        </is>
      </c>
      <c r="L1001" s="8" t="inlineStr">
        <is>
          <t>ราคารวม VAT แล้ว</t>
        </is>
      </c>
    </row>
    <row r="1002">
      <c r="A1002" s="68" t="n"/>
      <c r="B1002" s="6" t="inlineStr">
        <is>
          <t>กระดาษทรายกลม Rhynogrip (แรด)  6รู เบอร์ 320</t>
        </is>
      </c>
      <c r="C1002" s="8" t="n">
        <v>13</v>
      </c>
      <c r="D1002" s="9" t="n">
        <v>650</v>
      </c>
      <c r="E1002" s="9">
        <f>SUM(C1002*D1002)</f>
        <v/>
      </c>
      <c r="G1002" s="10" t="inlineStr">
        <is>
          <t>รวม VAT =</t>
        </is>
      </c>
      <c r="H1002" s="9">
        <f>SUM(E1002*O1002/N1002)</f>
        <v/>
      </c>
      <c r="I1002" s="10" t="inlineStr">
        <is>
          <t>ออโต้เทรด</t>
        </is>
      </c>
      <c r="J1002" s="161" t="n">
        <v>24996</v>
      </c>
      <c r="K1002" s="8" t="inlineStr">
        <is>
          <t>IV1466221</t>
        </is>
      </c>
      <c r="L1002" s="8" t="inlineStr">
        <is>
          <t>ราคารวม VAT แล้ว</t>
        </is>
      </c>
      <c r="N1002" s="6" t="n">
        <v>100</v>
      </c>
      <c r="O1002" s="6" t="n">
        <v>107</v>
      </c>
    </row>
    <row r="1003">
      <c r="A1003" s="68" t="n"/>
      <c r="B1003" s="6" t="inlineStr">
        <is>
          <t>กระดาษทรายกลม Rhynogrip (แรด)  6รู เบอร์ 320 -- แถมฟรี</t>
        </is>
      </c>
      <c r="C1003" s="8" t="n">
        <v>2</v>
      </c>
      <c r="E1003" s="9">
        <f>SUM(C1003*D1003)</f>
        <v/>
      </c>
      <c r="G1003" s="10" t="inlineStr">
        <is>
          <t>รวม VAT =</t>
        </is>
      </c>
      <c r="H1003" s="9">
        <f>SUM(E1003*O1003/N1003)</f>
        <v/>
      </c>
      <c r="I1003" s="10" t="inlineStr">
        <is>
          <t>ออโต้เทรด</t>
        </is>
      </c>
      <c r="J1003" s="161" t="n">
        <v>24996</v>
      </c>
      <c r="K1003" s="8" t="inlineStr">
        <is>
          <t>IV1466221</t>
        </is>
      </c>
      <c r="L1003" s="8" t="inlineStr">
        <is>
          <t>ราคารวม VAT แล้ว</t>
        </is>
      </c>
      <c r="N1003" s="6" t="n">
        <v>100</v>
      </c>
      <c r="O1003" s="6" t="n">
        <v>107</v>
      </c>
    </row>
    <row r="1004">
      <c r="B1004" s="6" t="inlineStr">
        <is>
          <t>กระดาษทรายกลม Rhynogrip (แรด) 6รู เบอร์ 320</t>
        </is>
      </c>
      <c r="C1004" s="8" t="n">
        <v>6</v>
      </c>
      <c r="D1004" s="9" t="n">
        <v>650</v>
      </c>
      <c r="F1004" s="17" t="n"/>
      <c r="G1004" s="10">
        <f>SUM(C1004*D1004)</f>
        <v/>
      </c>
      <c r="H1004" s="9">
        <f>SUM(G1004*107/100)</f>
        <v/>
      </c>
      <c r="I1004" s="10" t="inlineStr">
        <is>
          <t>ออโต้เทรด มาร์เก็ตติ้ง</t>
        </is>
      </c>
      <c r="J1004" s="161" t="n">
        <v>25135</v>
      </c>
      <c r="K1004" s="8" t="inlineStr">
        <is>
          <t>IV1472726</t>
        </is>
      </c>
      <c r="L1004" s="8" t="inlineStr">
        <is>
          <t>ราคาที่ลง ยังไม่รวมภาษี</t>
        </is>
      </c>
    </row>
    <row r="1005">
      <c r="B1005" s="6" t="inlineStr">
        <is>
          <t>กระดาษทรายกลม Rhynogrip (แรด) 6รู เบอร์ 320 -- แถมฟรี</t>
        </is>
      </c>
      <c r="C1005" s="8" t="n">
        <v>8</v>
      </c>
      <c r="F1005" s="17" t="n"/>
      <c r="G1005" s="10">
        <f>SUM(C1005*D1005)</f>
        <v/>
      </c>
      <c r="H1005" s="9">
        <f>SUM(G1005*107/100)</f>
        <v/>
      </c>
      <c r="I1005" s="10" t="inlineStr">
        <is>
          <t>ออโต้เทรด มาร์เก็ตติ้ง</t>
        </is>
      </c>
      <c r="J1005" s="161" t="n">
        <v>25135</v>
      </c>
      <c r="K1005" s="8" t="inlineStr">
        <is>
          <t>IV1472726</t>
        </is>
      </c>
      <c r="L1005" s="8" t="inlineStr">
        <is>
          <t>ราคาที่ลง ยังไม่รวมภาษี</t>
        </is>
      </c>
    </row>
    <row r="1007">
      <c r="B1007" s="6" t="inlineStr">
        <is>
          <t>กระดาษทรายกลม Oslong 6" 6รู เบอร์ 400</t>
        </is>
      </c>
      <c r="C1007" s="8" t="inlineStr">
        <is>
          <t>100แผ่น</t>
        </is>
      </c>
      <c r="D1007" s="9" t="n">
        <v>7.5</v>
      </c>
      <c r="H1007" s="9" t="n">
        <v>750</v>
      </c>
      <c r="I1007" s="10" t="inlineStr">
        <is>
          <t>เบรนเวิคส์</t>
        </is>
      </c>
      <c r="J1007" s="161" t="n">
        <v>22423</v>
      </c>
      <c r="L1007" s="8" t="inlineStr">
        <is>
          <t>ราคาที่ลง ยังไม่รวมภาษี</t>
        </is>
      </c>
    </row>
    <row r="1008">
      <c r="B1008" s="6" t="inlineStr">
        <is>
          <t>กระดาษทรายกลม Oslong 6" 6รู เบอร์ 400</t>
        </is>
      </c>
      <c r="C1008" s="8" t="inlineStr">
        <is>
          <t>200แผ่น</t>
        </is>
      </c>
      <c r="D1008" s="9" t="n">
        <v>7.5</v>
      </c>
      <c r="H1008" s="9" t="n">
        <v>1500</v>
      </c>
      <c r="I1008" s="10" t="inlineStr">
        <is>
          <t>เบรนเวิคส์</t>
        </is>
      </c>
      <c r="J1008" s="161" t="n">
        <v>22433</v>
      </c>
      <c r="L1008" s="8" t="inlineStr">
        <is>
          <t>ราคาที่ลง ยังไม่รวมภาษี</t>
        </is>
      </c>
    </row>
    <row r="1009">
      <c r="B1009" s="6" t="inlineStr">
        <is>
          <t>กระดาษทรายกลม Rhynogrip (แรด) 6รู เบอร์ 400</t>
        </is>
      </c>
      <c r="C1009" s="8" t="inlineStr">
        <is>
          <t>100แผ่น</t>
        </is>
      </c>
      <c r="D1009" s="9" t="n">
        <v>9</v>
      </c>
      <c r="H1009" s="9" t="n">
        <v>900</v>
      </c>
      <c r="I1009" s="10" t="inlineStr">
        <is>
          <t>ออโต้ สมาร์ท</t>
        </is>
      </c>
      <c r="J1009" s="161" t="n">
        <v>22840</v>
      </c>
      <c r="L1009" s="8" t="inlineStr">
        <is>
          <t>ราคาที่ลง ยังไม่รวมภาษี</t>
        </is>
      </c>
    </row>
    <row r="1010">
      <c r="B1010" s="6" t="inlineStr">
        <is>
          <t>กระดาษทรายกลม Rhynogrip (แรด) 6รู เบอร์ 400</t>
        </is>
      </c>
      <c r="C1010" s="8" t="inlineStr">
        <is>
          <t>100แผ่น</t>
        </is>
      </c>
      <c r="D1010" s="9" t="n">
        <v>9</v>
      </c>
      <c r="H1010" s="9" t="n">
        <v>900</v>
      </c>
      <c r="I1010" s="10" t="inlineStr">
        <is>
          <t>ออโต้ สมาร์ท</t>
        </is>
      </c>
      <c r="J1010" s="161" t="n">
        <v>22849</v>
      </c>
      <c r="L1010" s="8" t="inlineStr">
        <is>
          <t>ราคาที่ลง ยังไม่รวมภาษี</t>
        </is>
      </c>
    </row>
    <row r="1011">
      <c r="B1011" s="6" t="inlineStr">
        <is>
          <t>กระดาษทรายกลม Rhynogrip (แรด) 6รู เบอร์ 400</t>
        </is>
      </c>
      <c r="C1011" s="8" t="inlineStr">
        <is>
          <t>100แผ่น</t>
        </is>
      </c>
      <c r="D1011" s="9" t="n">
        <v>9</v>
      </c>
      <c r="H1011" s="9" t="n">
        <v>900</v>
      </c>
      <c r="I1011" s="10" t="inlineStr">
        <is>
          <t>ออโต้ สมาร์ท</t>
        </is>
      </c>
      <c r="J1011" s="161" t="n">
        <v>22863</v>
      </c>
      <c r="L1011" s="8" t="inlineStr">
        <is>
          <t>ราคาที่ลง ยังไม่รวมภาษี</t>
        </is>
      </c>
    </row>
    <row r="1012">
      <c r="B1012" s="6" t="inlineStr">
        <is>
          <t>กระดาษทรายกลม Rhynogrip (แรด) 6รู เบอร์ 400</t>
        </is>
      </c>
      <c r="C1012" s="8" t="inlineStr">
        <is>
          <t>100แผ่น</t>
        </is>
      </c>
      <c r="D1012" s="9" t="n">
        <v>9</v>
      </c>
      <c r="H1012" s="9" t="n">
        <v>900</v>
      </c>
      <c r="I1012" s="10" t="inlineStr">
        <is>
          <t>ออโต้ สมาร์ท</t>
        </is>
      </c>
      <c r="J1012" s="161" t="n">
        <v>22871</v>
      </c>
      <c r="L1012" s="8" t="inlineStr">
        <is>
          <t>ราคาที่ลง ยังไม่รวมภาษี</t>
        </is>
      </c>
    </row>
    <row r="1013">
      <c r="B1013" s="6" t="inlineStr">
        <is>
          <t>กระดาษทรายกลม Rhynogrip (แรด) 6รู เบอร์ 400</t>
        </is>
      </c>
      <c r="C1013" s="8" t="inlineStr">
        <is>
          <t>200แผ่น</t>
        </is>
      </c>
      <c r="D1013" s="9" t="n">
        <v>9</v>
      </c>
      <c r="H1013" s="9" t="n">
        <v>1800</v>
      </c>
      <c r="I1013" s="10" t="inlineStr">
        <is>
          <t>ออโต้ สมาร์ท</t>
        </is>
      </c>
      <c r="J1013" s="161" t="n">
        <v>22882</v>
      </c>
      <c r="L1013" s="8" t="inlineStr">
        <is>
          <t>ราคาที่ลง ยังไม่รวมภาษี</t>
        </is>
      </c>
    </row>
    <row r="1014">
      <c r="B1014" s="6" t="inlineStr">
        <is>
          <t>กระดาษทรายกลม Rhynogrip (แรด) 6รู เบอร์ 400</t>
        </is>
      </c>
      <c r="C1014" s="8" t="inlineStr">
        <is>
          <t>100แผ่น</t>
        </is>
      </c>
      <c r="D1014" s="9" t="n">
        <v>9</v>
      </c>
      <c r="H1014" s="9" t="n">
        <v>900</v>
      </c>
      <c r="I1014" s="10" t="inlineStr">
        <is>
          <t>ออโต้ สมาร์ท</t>
        </is>
      </c>
      <c r="J1014" s="161" t="n">
        <v>22893</v>
      </c>
      <c r="L1014" s="8" t="inlineStr">
        <is>
          <t>ราคาที่ลง ยังไม่รวมภาษี</t>
        </is>
      </c>
    </row>
    <row r="1015">
      <c r="B1015" s="6" t="inlineStr">
        <is>
          <t>กระดาษทรายกลม Rhynogrip (แรด) 6รู เบอร์ 400</t>
        </is>
      </c>
      <c r="C1015" s="8" t="inlineStr">
        <is>
          <t>100แผ่น</t>
        </is>
      </c>
      <c r="D1015" s="9" t="n">
        <v>9</v>
      </c>
      <c r="H1015" s="9" t="n">
        <v>900</v>
      </c>
      <c r="I1015" s="10" t="inlineStr">
        <is>
          <t>ออโต้ สมาร์ท</t>
        </is>
      </c>
      <c r="J1015" s="161" t="n">
        <v>22898</v>
      </c>
      <c r="L1015" s="8" t="inlineStr">
        <is>
          <t>ราคาที่ลง ยังไม่รวมภาษี</t>
        </is>
      </c>
    </row>
    <row r="1016">
      <c r="B1016" s="6" t="inlineStr">
        <is>
          <t>กระดาษทรายกลม Rhynogrip (แรด) 6รู เบอร์ 400</t>
        </is>
      </c>
      <c r="C1016" s="8" t="inlineStr">
        <is>
          <t>200แผ่น</t>
        </is>
      </c>
      <c r="D1016" s="9" t="n">
        <v>9</v>
      </c>
      <c r="H1016" s="9" t="n">
        <v>1800</v>
      </c>
      <c r="I1016" s="10" t="inlineStr">
        <is>
          <t>ออโต้ สมาร์ท</t>
        </is>
      </c>
      <c r="J1016" s="161" t="n">
        <v>22997</v>
      </c>
      <c r="L1016" s="8" t="inlineStr">
        <is>
          <t>ราคาที่ลง ยังไม่รวมภาษี</t>
        </is>
      </c>
    </row>
    <row r="1017">
      <c r="B1017" s="6" t="inlineStr">
        <is>
          <t>กระดาษทรายกลม Rhynogrip (แรด) 6รู เบอร์ 400</t>
        </is>
      </c>
      <c r="C1017" s="8" t="inlineStr">
        <is>
          <t>100แผ่น</t>
        </is>
      </c>
      <c r="D1017" s="9" t="n">
        <v>9</v>
      </c>
      <c r="H1017" s="9" t="n">
        <v>900</v>
      </c>
      <c r="I1017" s="10" t="inlineStr">
        <is>
          <t>ออโต้ สมาร์ท</t>
        </is>
      </c>
      <c r="J1017" s="161" t="n">
        <v>23064</v>
      </c>
      <c r="L1017" s="8" t="inlineStr">
        <is>
          <t>ราคาที่ลง ยังไม่รวมภาษี</t>
        </is>
      </c>
    </row>
    <row r="1018">
      <c r="B1018" s="6" t="inlineStr">
        <is>
          <t>กระดาษทรายกลม Rhynogrip (แรด) 6รู เบอร์ 400</t>
        </is>
      </c>
      <c r="C1018" s="8" t="inlineStr">
        <is>
          <t>100แผ่น</t>
        </is>
      </c>
      <c r="D1018" s="9" t="n">
        <v>9</v>
      </c>
      <c r="H1018" s="9" t="n">
        <v>900</v>
      </c>
      <c r="I1018" s="10" t="inlineStr">
        <is>
          <t>ออโต้ สมาร์ท</t>
        </is>
      </c>
      <c r="J1018" s="161" t="n">
        <v>23087</v>
      </c>
      <c r="L1018" s="8" t="inlineStr">
        <is>
          <t>ราคาที่ลง ยังไม่รวมภาษี</t>
        </is>
      </c>
    </row>
    <row r="1019">
      <c r="B1019" s="6" t="inlineStr">
        <is>
          <t>กระดาษทรายกลม Rhynogrip (แรด) 6รู เบอร์ 400</t>
        </is>
      </c>
      <c r="C1019" s="8" t="inlineStr">
        <is>
          <t>200แผ่น</t>
        </is>
      </c>
      <c r="D1019" s="9" t="n">
        <v>9</v>
      </c>
      <c r="H1019" s="9" t="n">
        <v>1800</v>
      </c>
      <c r="I1019" s="10" t="inlineStr">
        <is>
          <t>ออโต้ สมาร์ท</t>
        </is>
      </c>
      <c r="J1019" s="161" t="n">
        <v>23095</v>
      </c>
      <c r="L1019" s="8" t="inlineStr">
        <is>
          <t>ราคาที่ลง ยังไม่รวมภาษี</t>
        </is>
      </c>
    </row>
    <row r="1020">
      <c r="B1020" s="6" t="inlineStr">
        <is>
          <t>กระดาษทรายกลม Rhynogrip (แรด) 6รู เบอร์ 400</t>
        </is>
      </c>
      <c r="C1020" s="8" t="inlineStr">
        <is>
          <t>100แผ่น</t>
        </is>
      </c>
      <c r="D1020" s="9" t="n">
        <v>9</v>
      </c>
      <c r="H1020" s="9" t="n">
        <v>900</v>
      </c>
      <c r="I1020" s="10" t="inlineStr">
        <is>
          <t>ออโต้ สมาร์ท</t>
        </is>
      </c>
      <c r="J1020" s="161" t="n">
        <v>23142</v>
      </c>
      <c r="L1020" s="8" t="inlineStr">
        <is>
          <t>ราคาที่ลง ยังไม่รวมภาษี</t>
        </is>
      </c>
    </row>
    <row r="1021">
      <c r="B1021" s="6" t="inlineStr">
        <is>
          <t>กระดาษทรายกลม Rhynogrip (แรด) 6รู เบอร์ 400</t>
        </is>
      </c>
      <c r="C1021" s="8" t="inlineStr">
        <is>
          <t>200แผ่น</t>
        </is>
      </c>
      <c r="D1021" s="9" t="n">
        <v>9</v>
      </c>
      <c r="H1021" s="9" t="n">
        <v>1800</v>
      </c>
      <c r="I1021" s="10" t="inlineStr">
        <is>
          <t>ออโต้ สมาร์ท</t>
        </is>
      </c>
      <c r="J1021" s="161" t="n">
        <v>23157</v>
      </c>
      <c r="L1021" s="8" t="inlineStr">
        <is>
          <t>ราคาที่ลง ยังไม่รวมภาษี</t>
        </is>
      </c>
    </row>
    <row r="1022">
      <c r="B1022" s="6" t="inlineStr">
        <is>
          <t>กระดาษทรายกลม Rhynogrip (แรด) 6รู เบอร์ 400</t>
        </is>
      </c>
      <c r="C1022" s="8" t="inlineStr">
        <is>
          <t>100แผ่น</t>
        </is>
      </c>
      <c r="D1022" s="9" t="n">
        <v>9</v>
      </c>
      <c r="H1022" s="9" t="n">
        <v>900</v>
      </c>
      <c r="I1022" s="10" t="inlineStr">
        <is>
          <t>ออโต้ สมาร์ท</t>
        </is>
      </c>
      <c r="J1022" s="161" t="n">
        <v>23172</v>
      </c>
      <c r="L1022" s="8" t="inlineStr">
        <is>
          <t>ราคาที่ลง ยังไม่รวมภาษี</t>
        </is>
      </c>
    </row>
    <row r="1023">
      <c r="B1023" s="6" t="inlineStr">
        <is>
          <t>กระดาษทรายกลม Rhynogrip (แรด) 6รู เบอร์ 400</t>
        </is>
      </c>
      <c r="C1023" s="8" t="inlineStr">
        <is>
          <t>200แผ่น</t>
        </is>
      </c>
      <c r="D1023" s="9" t="n">
        <v>9</v>
      </c>
      <c r="H1023" s="9" t="n">
        <v>1800</v>
      </c>
      <c r="I1023" s="10" t="inlineStr">
        <is>
          <t>ออโต้ สมาร์ท</t>
        </is>
      </c>
      <c r="J1023" s="161" t="n">
        <v>23186</v>
      </c>
      <c r="L1023" s="8" t="inlineStr">
        <is>
          <t>ราคาที่ลง ยังไม่รวมภาษี</t>
        </is>
      </c>
    </row>
    <row r="1024">
      <c r="B1024" s="6" t="inlineStr">
        <is>
          <t>กระดาษทรายกลม Rhynogrip (แรด) 6รู เบอร์ 400</t>
        </is>
      </c>
      <c r="C1024" s="8" t="inlineStr">
        <is>
          <t>100แผ่น</t>
        </is>
      </c>
      <c r="D1024" s="9" t="n">
        <v>9</v>
      </c>
      <c r="H1024" s="9" t="n">
        <v>900</v>
      </c>
      <c r="I1024" s="10" t="inlineStr">
        <is>
          <t>ออโต้ สมาร์ท</t>
        </is>
      </c>
      <c r="J1024" s="161" t="n">
        <v>23202</v>
      </c>
      <c r="L1024" s="8" t="inlineStr">
        <is>
          <t>ราคาที่ลง ยังไม่รวมภาษี</t>
        </is>
      </c>
    </row>
    <row r="1025">
      <c r="B1025" s="6" t="inlineStr">
        <is>
          <t>กระดาษทรายกลม Rhynogrip (แรด) 6รู เบอร์ 400</t>
        </is>
      </c>
      <c r="C1025" s="8" t="inlineStr">
        <is>
          <t>100แผ่น</t>
        </is>
      </c>
      <c r="D1025" s="9" t="n">
        <v>9</v>
      </c>
      <c r="H1025" s="9" t="n">
        <v>900</v>
      </c>
      <c r="I1025" s="10" t="inlineStr">
        <is>
          <t>ออโต้ สมาร์ท</t>
        </is>
      </c>
      <c r="J1025" s="161" t="n">
        <v>23230</v>
      </c>
      <c r="L1025" s="8" t="inlineStr">
        <is>
          <t>ราคาที่ลง ยังไม่รวมภาษี</t>
        </is>
      </c>
    </row>
    <row r="1026">
      <c r="B1026" s="6" t="inlineStr">
        <is>
          <t>กระดาษทรายกลม Rhynogrip (แรด) 6รู เบอร์ 400</t>
        </is>
      </c>
      <c r="C1026" s="8" t="inlineStr">
        <is>
          <t>100แผ่น</t>
        </is>
      </c>
      <c r="D1026" s="9" t="n">
        <v>9</v>
      </c>
      <c r="H1026" s="9" t="n">
        <v>900</v>
      </c>
      <c r="I1026" s="10" t="inlineStr">
        <is>
          <t>ออโต้ สมาร์ท</t>
        </is>
      </c>
      <c r="J1026" s="161" t="n">
        <v>23254</v>
      </c>
      <c r="L1026" s="8" t="inlineStr">
        <is>
          <t>ราคาที่ลง ยังไม่รวมภาษี</t>
        </is>
      </c>
    </row>
    <row r="1027">
      <c r="B1027" s="6" t="inlineStr">
        <is>
          <t>กระดาษทรายกลม Rhynogrip (แรด) 6รู เบอร์ 400</t>
        </is>
      </c>
      <c r="C1027" s="8" t="inlineStr">
        <is>
          <t>200แผ่น</t>
        </is>
      </c>
      <c r="D1027" s="9" t="n">
        <v>9</v>
      </c>
      <c r="H1027" s="9" t="n">
        <v>1800</v>
      </c>
      <c r="I1027" s="10" t="inlineStr">
        <is>
          <t>ออโต้ สมาร์ท</t>
        </is>
      </c>
      <c r="J1027" s="161" t="n">
        <v>23269</v>
      </c>
      <c r="L1027" s="8" t="inlineStr">
        <is>
          <t>ราคาที่ลง ยังไม่รวมภาษี</t>
        </is>
      </c>
    </row>
    <row r="1028">
      <c r="B1028" s="6" t="inlineStr">
        <is>
          <t>กระดาษทรายกลม Rhynogrip (แรด) 6รู เบอร์ 400</t>
        </is>
      </c>
      <c r="C1028" s="8" t="inlineStr">
        <is>
          <t>100แผ่น</t>
        </is>
      </c>
      <c r="D1028" s="9" t="n">
        <v>9</v>
      </c>
      <c r="H1028" s="9" t="n">
        <v>900</v>
      </c>
      <c r="I1028" s="10" t="inlineStr">
        <is>
          <t>ออโต้ สมาร์ท</t>
        </is>
      </c>
      <c r="J1028" s="161" t="n">
        <v>23279</v>
      </c>
      <c r="L1028" s="8" t="inlineStr">
        <is>
          <t>ราคาที่ลง ยังไม่รวมภาษี</t>
        </is>
      </c>
    </row>
    <row r="1029">
      <c r="B1029" s="6" t="inlineStr">
        <is>
          <t>กระดาษทรายกลม Rhynogrip (แรด) 6รู เบอร์ 400</t>
        </is>
      </c>
      <c r="C1029" s="8" t="inlineStr">
        <is>
          <t>100แผ่น</t>
        </is>
      </c>
      <c r="D1029" s="9" t="n">
        <v>9</v>
      </c>
      <c r="H1029" s="9" t="n">
        <v>900</v>
      </c>
      <c r="I1029" s="10" t="inlineStr">
        <is>
          <t>ออโต้ สมาร์ท</t>
        </is>
      </c>
      <c r="J1029" s="161" t="n">
        <v>23293</v>
      </c>
      <c r="L1029" s="8" t="inlineStr">
        <is>
          <t>ราคาที่ลง ยังไม่รวมภาษี</t>
        </is>
      </c>
    </row>
    <row r="1030">
      <c r="B1030" s="6" t="inlineStr">
        <is>
          <t>กระดาษทรายกลม Rhynogrip (แรด) 6รู เบอร์ 400</t>
        </is>
      </c>
      <c r="C1030" s="8" t="inlineStr">
        <is>
          <t>200แผ่น</t>
        </is>
      </c>
      <c r="D1030" s="9" t="n">
        <v>9</v>
      </c>
      <c r="H1030" s="9" t="n">
        <v>1800</v>
      </c>
      <c r="I1030" s="10" t="inlineStr">
        <is>
          <t>ออโต้ สมาร์ท</t>
        </is>
      </c>
      <c r="J1030" s="161" t="n">
        <v>23322</v>
      </c>
      <c r="L1030" s="8" t="inlineStr">
        <is>
          <t>ราคาที่ลง ยังไม่รวมภาษี</t>
        </is>
      </c>
    </row>
    <row r="1031">
      <c r="B1031" s="6" t="inlineStr">
        <is>
          <t>กระดาษทรายกลม Rhynogrip (แรด) 6รู เบอร์ 400</t>
        </is>
      </c>
      <c r="C1031" s="8" t="inlineStr">
        <is>
          <t>100แผ่น</t>
        </is>
      </c>
      <c r="D1031" s="9" t="n">
        <v>9</v>
      </c>
      <c r="H1031" s="9" t="n">
        <v>900</v>
      </c>
      <c r="I1031" s="10" t="inlineStr">
        <is>
          <t>ออโต้ สมาร์ท</t>
        </is>
      </c>
      <c r="J1031" s="161" t="n">
        <v>23335</v>
      </c>
      <c r="L1031" s="8" t="inlineStr">
        <is>
          <t>ราคาที่ลง ยังไม่รวมภาษี</t>
        </is>
      </c>
    </row>
    <row r="1032">
      <c r="B1032" s="6" t="inlineStr">
        <is>
          <t>กระดาษทรายกลม Rhynogrip (แรด) 6รู เบอร์ 400</t>
        </is>
      </c>
      <c r="C1032" s="8" t="inlineStr">
        <is>
          <t>100แผ่น</t>
        </is>
      </c>
      <c r="D1032" s="9" t="n">
        <v>9</v>
      </c>
      <c r="H1032" s="9" t="n">
        <v>900</v>
      </c>
      <c r="I1032" s="10" t="inlineStr">
        <is>
          <t>ออโต้ สมาร์ท</t>
        </is>
      </c>
      <c r="J1032" s="161" t="n">
        <v>23349</v>
      </c>
      <c r="L1032" s="8" t="inlineStr">
        <is>
          <t>ราคาที่ลง ยังไม่รวมภาษี</t>
        </is>
      </c>
    </row>
    <row r="1033">
      <c r="B1033" s="6" t="inlineStr">
        <is>
          <t>กระดาษทรายกลม Rhynogrip (แรด) 6รู เบอร์ 400</t>
        </is>
      </c>
      <c r="C1033" s="8" t="inlineStr">
        <is>
          <t>100แผ่น</t>
        </is>
      </c>
      <c r="D1033" s="9" t="n">
        <v>9</v>
      </c>
      <c r="H1033" s="9" t="n">
        <v>900</v>
      </c>
      <c r="I1033" s="10" t="inlineStr">
        <is>
          <t>ออโต้ สมาร์ท</t>
        </is>
      </c>
      <c r="J1033" s="161" t="n">
        <v>23387</v>
      </c>
      <c r="L1033" s="8" t="inlineStr">
        <is>
          <t>ราคาที่ลง ยังไม่รวมภาษี</t>
        </is>
      </c>
    </row>
    <row r="1034">
      <c r="B1034" s="6" t="inlineStr">
        <is>
          <t>กระดาษทรายกลม Rhynogrip (แรด) 6รู เบอร์ 400</t>
        </is>
      </c>
      <c r="C1034" s="8" t="inlineStr">
        <is>
          <t>200แผ่น</t>
        </is>
      </c>
      <c r="D1034" s="9" t="n">
        <v>9</v>
      </c>
      <c r="H1034" s="9" t="n">
        <v>1800</v>
      </c>
      <c r="I1034" s="10" t="inlineStr">
        <is>
          <t>ออโต้ สมาร์ท</t>
        </is>
      </c>
      <c r="J1034" s="161" t="n">
        <v>23399</v>
      </c>
      <c r="L1034" s="8" t="inlineStr">
        <is>
          <t>ราคาที่ลง ยังไม่รวมภาษี</t>
        </is>
      </c>
    </row>
    <row r="1035">
      <c r="B1035" s="6" t="inlineStr">
        <is>
          <t>กระดาษทรายกลม Rhynogrip (แรด) 6รู เบอร์ 400</t>
        </is>
      </c>
      <c r="C1035" s="8" t="inlineStr">
        <is>
          <t>200แผ่น</t>
        </is>
      </c>
      <c r="D1035" s="9" t="n">
        <v>9</v>
      </c>
      <c r="H1035" s="9" t="n">
        <v>1800</v>
      </c>
      <c r="I1035" s="10" t="inlineStr">
        <is>
          <t>ออโต้ สมาร์ท</t>
        </is>
      </c>
      <c r="J1035" s="161" t="n">
        <v>23411</v>
      </c>
      <c r="L1035" s="8" t="inlineStr">
        <is>
          <t>ราคาที่ลง ยังไม่รวมภาษี</t>
        </is>
      </c>
    </row>
    <row r="1036">
      <c r="B1036" s="6" t="inlineStr">
        <is>
          <t>กระดาษทรายกลม Rhynogrip (แรด) 6รู เบอร์ 400</t>
        </is>
      </c>
      <c r="C1036" s="8" t="inlineStr">
        <is>
          <t>200แผ่น</t>
        </is>
      </c>
      <c r="D1036" s="9" t="n">
        <v>9</v>
      </c>
      <c r="H1036" s="9" t="n">
        <v>1800</v>
      </c>
      <c r="I1036" s="10" t="inlineStr">
        <is>
          <t>ออโต้ สมาร์ท</t>
        </is>
      </c>
      <c r="J1036" s="161" t="n">
        <v>23442</v>
      </c>
      <c r="L1036" s="8" t="inlineStr">
        <is>
          <t>ราคาที่ลง ยังไม่รวมภาษี</t>
        </is>
      </c>
    </row>
    <row r="1037">
      <c r="B1037" s="6" t="inlineStr">
        <is>
          <t>กระดาษทรายกลม Rhynogrip (แรด) 6รู เบอร์ 400</t>
        </is>
      </c>
      <c r="C1037" s="8" t="inlineStr">
        <is>
          <t>100แผ่น</t>
        </is>
      </c>
      <c r="D1037" s="9" t="n">
        <v>9</v>
      </c>
      <c r="H1037" s="9" t="n">
        <v>900</v>
      </c>
      <c r="I1037" s="10" t="inlineStr">
        <is>
          <t>ออโต้ สมาร์ท</t>
        </is>
      </c>
      <c r="J1037" s="161" t="n">
        <v>23455</v>
      </c>
      <c r="L1037" s="8" t="inlineStr">
        <is>
          <t>ราคาที่ลง ยังไม่รวมภาษี</t>
        </is>
      </c>
    </row>
    <row r="1038">
      <c r="B1038" s="6" t="inlineStr">
        <is>
          <t>กระดาษทรายกลม Rhynogrip (แรด) 6รู เบอร์ 400</t>
        </is>
      </c>
      <c r="C1038" s="8" t="inlineStr">
        <is>
          <t>200แผ่น</t>
        </is>
      </c>
      <c r="D1038" s="9" t="n">
        <v>9</v>
      </c>
      <c r="H1038" s="9" t="n">
        <v>1800</v>
      </c>
      <c r="I1038" s="10" t="inlineStr">
        <is>
          <t>ออโต้ สมาร์ท</t>
        </is>
      </c>
      <c r="J1038" s="161" t="n">
        <v>23462</v>
      </c>
      <c r="L1038" s="8" t="inlineStr">
        <is>
          <t>ราคาที่ลง ยังไม่รวมภาษี</t>
        </is>
      </c>
    </row>
    <row r="1039">
      <c r="B1039" s="6" t="inlineStr">
        <is>
          <t>กระดาษทรายกลม Rhynogrip (แรด) 6รู เบอร์ 400</t>
        </is>
      </c>
      <c r="C1039" s="8" t="inlineStr">
        <is>
          <t>200แผ่น</t>
        </is>
      </c>
      <c r="D1039" s="9" t="n">
        <v>9</v>
      </c>
      <c r="H1039" s="9" t="n">
        <v>1800</v>
      </c>
      <c r="I1039" s="10" t="inlineStr">
        <is>
          <t>ออโต้ สมาร์ท</t>
        </is>
      </c>
      <c r="J1039" s="161" t="n">
        <v>23503</v>
      </c>
      <c r="L1039" s="8" t="inlineStr">
        <is>
          <t>ราคาที่ลง ยังไม่รวมภาษี</t>
        </is>
      </c>
    </row>
    <row r="1040">
      <c r="B1040" s="6" t="inlineStr">
        <is>
          <t>กระดาษทรายกลม Rhynogrip (แรด) 6รู เบอร์ 400</t>
        </is>
      </c>
      <c r="C1040" s="8" t="inlineStr">
        <is>
          <t>200แผ่น</t>
        </is>
      </c>
      <c r="D1040" s="9" t="n">
        <v>9</v>
      </c>
      <c r="H1040" s="9" t="n">
        <v>1800</v>
      </c>
      <c r="I1040" s="10" t="inlineStr">
        <is>
          <t>ออโต้ สมาร์ท</t>
        </is>
      </c>
      <c r="J1040" s="161" t="n">
        <v>23571</v>
      </c>
      <c r="L1040" s="8" t="inlineStr">
        <is>
          <t>ราคาที่ลง ยังไม่รวมภาษี</t>
        </is>
      </c>
    </row>
    <row r="1041">
      <c r="B1041" s="6" t="inlineStr">
        <is>
          <t>กระดาษทรายกลม Rhynogrip (แรด) 6รู เบอร์ 400</t>
        </is>
      </c>
      <c r="C1041" s="8" t="inlineStr">
        <is>
          <t>100แผ่น</t>
        </is>
      </c>
      <c r="D1041" s="9" t="n">
        <v>9</v>
      </c>
      <c r="H1041" s="9" t="n">
        <v>900</v>
      </c>
      <c r="I1041" s="10" t="inlineStr">
        <is>
          <t>ออโต้ สมาร์ท</t>
        </is>
      </c>
      <c r="J1041" s="161" t="n">
        <v>23577</v>
      </c>
      <c r="L1041" s="8" t="inlineStr">
        <is>
          <t>ราคาที่ลง ยังไม่รวมภาษี</t>
        </is>
      </c>
    </row>
    <row r="1042">
      <c r="B1042" s="6" t="inlineStr">
        <is>
          <t>กระดาษทรายกลม Rhynogrip (แรด) 6รู เบอร์ 400</t>
        </is>
      </c>
      <c r="C1042" s="8" t="inlineStr">
        <is>
          <t>100แผ่น</t>
        </is>
      </c>
      <c r="D1042" s="9" t="n">
        <v>9</v>
      </c>
      <c r="H1042" s="9" t="n">
        <v>900</v>
      </c>
      <c r="I1042" s="10" t="inlineStr">
        <is>
          <t>ออโต้ สมาร์ท</t>
        </is>
      </c>
      <c r="J1042" s="161" t="n">
        <v>23620</v>
      </c>
      <c r="K1042" s="8" t="n">
        <v>202108203</v>
      </c>
      <c r="L1042" s="8" t="inlineStr">
        <is>
          <t>ราคาที่ลง ยังไม่รวมภาษี</t>
        </is>
      </c>
    </row>
    <row r="1043">
      <c r="B1043" s="6" t="inlineStr">
        <is>
          <t>กระดาษทรายกลม Rhynogrip (แรด) 6รู เบอร์ 400</t>
        </is>
      </c>
      <c r="C1043" s="8" t="inlineStr">
        <is>
          <t>100แผ่น</t>
        </is>
      </c>
      <c r="D1043" s="9" t="n">
        <v>9</v>
      </c>
      <c r="H1043" s="9" t="n">
        <v>900</v>
      </c>
      <c r="I1043" s="10" t="inlineStr">
        <is>
          <t>ออโต้ สมาร์ท</t>
        </is>
      </c>
      <c r="J1043" s="161" t="n">
        <v>23643</v>
      </c>
      <c r="K1043" s="8" t="n">
        <v>202109165</v>
      </c>
      <c r="L1043" s="8" t="inlineStr">
        <is>
          <t>ราคาที่ลง ยังไม่รวมภาษี</t>
        </is>
      </c>
    </row>
    <row r="1044">
      <c r="B1044" s="6" t="inlineStr">
        <is>
          <t>กระดาษทรายกลม Rhynogrip (แรด) 6รู เบอร์ 400</t>
        </is>
      </c>
      <c r="C1044" s="8" t="inlineStr">
        <is>
          <t>100แผ่น</t>
        </is>
      </c>
      <c r="D1044" s="9" t="n">
        <v>9</v>
      </c>
      <c r="H1044" s="9" t="n">
        <v>900</v>
      </c>
      <c r="I1044" s="10" t="inlineStr">
        <is>
          <t>ออโต้ สมาร์ท</t>
        </is>
      </c>
      <c r="J1044" s="161" t="n">
        <v>23661</v>
      </c>
      <c r="K1044" s="8" t="n">
        <v>202110080</v>
      </c>
      <c r="L1044" s="8" t="inlineStr">
        <is>
          <t>ราคาที่ลง ยังไม่รวมภาษี</t>
        </is>
      </c>
    </row>
    <row r="1045">
      <c r="B1045" s="6" t="inlineStr">
        <is>
          <t>กระดาษทรายกลม Rhynogrip (แรด) 6รู เบอร์ 400</t>
        </is>
      </c>
      <c r="C1045" s="8" t="inlineStr">
        <is>
          <t>100แผ่น</t>
        </is>
      </c>
      <c r="D1045" s="9" t="n">
        <v>9</v>
      </c>
      <c r="H1045" s="9" t="n">
        <v>900</v>
      </c>
      <c r="I1045" s="10" t="inlineStr">
        <is>
          <t>ออโต้ สมาร์ท</t>
        </is>
      </c>
      <c r="J1045" s="161" t="n">
        <v>23678</v>
      </c>
      <c r="K1045" s="8" t="n">
        <v>202110201</v>
      </c>
      <c r="L1045" s="8" t="inlineStr">
        <is>
          <t>ราคาที่ลง ยังไม่รวมภาษี</t>
        </is>
      </c>
    </row>
    <row r="1046">
      <c r="B1046" s="6" t="inlineStr">
        <is>
          <t>กระดาษทรายกลม Rhynogrip (แรด) 6รู เบอร์ 400</t>
        </is>
      </c>
      <c r="C1046" s="8" t="inlineStr">
        <is>
          <t>100แผ่น</t>
        </is>
      </c>
      <c r="D1046" s="9" t="n">
        <v>9</v>
      </c>
      <c r="H1046" s="9" t="n">
        <v>900</v>
      </c>
      <c r="I1046" s="10" t="inlineStr">
        <is>
          <t>ออโต้ สมาร์ท</t>
        </is>
      </c>
      <c r="J1046" s="161" t="n">
        <v>23787</v>
      </c>
      <c r="K1046" s="8" t="n">
        <v>202202131</v>
      </c>
      <c r="L1046" s="8" t="inlineStr">
        <is>
          <t>ราคาที่ลง ยังไม่รวมภาษี</t>
        </is>
      </c>
    </row>
    <row r="1047">
      <c r="B1047" s="6" t="inlineStr">
        <is>
          <t>กระดาษทรายกลม CAPTAIN 6" 6รู เบอร์ 400</t>
        </is>
      </c>
      <c r="C1047" s="8" t="inlineStr">
        <is>
          <t>400แผ่น</t>
        </is>
      </c>
      <c r="D1047" s="9" t="n">
        <v>5.5</v>
      </c>
      <c r="H1047" s="9" t="n">
        <v>2200</v>
      </c>
      <c r="I1047" s="10" t="inlineStr">
        <is>
          <t>ทาเลนท์อินเตอร์เทรด</t>
        </is>
      </c>
      <c r="J1047" s="161" t="n">
        <v>23809</v>
      </c>
      <c r="K1047" s="8" t="inlineStr">
        <is>
          <t>IV6504527</t>
        </is>
      </c>
      <c r="L1047" s="8" t="inlineStr">
        <is>
          <t>ราคาที่ลง ยังไม่รวมภาษี</t>
        </is>
      </c>
    </row>
    <row r="1048">
      <c r="B1048" s="6" t="inlineStr">
        <is>
          <t>กระดาษทรายกลม Rhynogrip (แรด) 6รู เบอร์ 400</t>
        </is>
      </c>
      <c r="C1048" s="8" t="inlineStr">
        <is>
          <t>150แผ่น</t>
        </is>
      </c>
      <c r="D1048" s="9" t="n">
        <v>9</v>
      </c>
      <c r="H1048" s="9" t="n">
        <v>1350</v>
      </c>
      <c r="I1048" s="10" t="inlineStr">
        <is>
          <t>ออโต้ สมาร์ท</t>
        </is>
      </c>
      <c r="J1048" s="161" t="n">
        <v>23888</v>
      </c>
      <c r="K1048" s="8" t="n">
        <v>202205231</v>
      </c>
      <c r="L1048" s="8" t="inlineStr">
        <is>
          <t>ราคาที่ลง ยังไม่รวมภาษี</t>
        </is>
      </c>
    </row>
    <row r="1049">
      <c r="A1049" s="68" t="inlineStr">
        <is>
          <t>โปรซื้อ 19แถมฟรี 8</t>
        </is>
      </c>
      <c r="B1049" s="6" t="inlineStr">
        <is>
          <t>กระดาษทรายกลม Rhynogrip (แรด) 6รู เบอร์ 400 -- แถมฟรี</t>
        </is>
      </c>
      <c r="C1049" s="8" t="inlineStr">
        <is>
          <t>800แผ่น</t>
        </is>
      </c>
      <c r="D1049" s="9" t="n">
        <v>5.56</v>
      </c>
      <c r="G1049" s="10" t="n">
        <v>3.91</v>
      </c>
      <c r="I1049" s="10" t="inlineStr">
        <is>
          <t>ออโต้เทรด</t>
        </is>
      </c>
      <c r="J1049" s="161" t="n">
        <v>23901</v>
      </c>
      <c r="K1049" s="8" t="inlineStr">
        <is>
          <t>IV1417113</t>
        </is>
      </c>
      <c r="L1049" s="8" t="inlineStr">
        <is>
          <t>ราคาที่ลง ยังไม่รวมภาษี</t>
        </is>
      </c>
    </row>
    <row r="1050">
      <c r="A1050" s="68" t="inlineStr">
        <is>
          <t>โปรซื้อ 19แถมฟรี 8</t>
        </is>
      </c>
      <c r="B1050" s="6" t="inlineStr">
        <is>
          <t>กระดาษทรายกลม Rhynogrip (แรด) 6รู เบอร์ 400 -- แถมฟรี</t>
        </is>
      </c>
      <c r="C1050" s="8" t="inlineStr">
        <is>
          <t>5กล่อง</t>
        </is>
      </c>
      <c r="I1050" s="10" t="inlineStr">
        <is>
          <t>ออโต้เทรด</t>
        </is>
      </c>
      <c r="J1050" s="161" t="n">
        <v>24021</v>
      </c>
      <c r="K1050" s="8" t="inlineStr">
        <is>
          <t>IV1422486</t>
        </is>
      </c>
      <c r="L1050" s="8" t="inlineStr">
        <is>
          <t>ราคาที่ลง ยังไม่รวมภาษี</t>
        </is>
      </c>
    </row>
    <row r="1051">
      <c r="A1051" s="68" t="inlineStr">
        <is>
          <t>โปรซื้อ 20แถมฟรี 10</t>
        </is>
      </c>
      <c r="B1051" s="6" t="inlineStr">
        <is>
          <t>กระดาษทรายกลม Rhynogrip (แรด) 6รู เบอร์ 400 -- แถมฟรี</t>
        </is>
      </c>
      <c r="C1051" s="8" t="inlineStr">
        <is>
          <t>9กล่อง</t>
        </is>
      </c>
      <c r="I1051" s="10" t="inlineStr">
        <is>
          <t>ออโต้ สมาร์ท</t>
        </is>
      </c>
      <c r="J1051" s="161" t="n">
        <v>24084</v>
      </c>
      <c r="K1051" s="8" t="inlineStr">
        <is>
          <t>IV1425090</t>
        </is>
      </c>
      <c r="L1051" s="8" t="inlineStr">
        <is>
          <t>ราคาที่ลง ยังไม่รวมภาษี</t>
        </is>
      </c>
    </row>
    <row r="1052">
      <c r="A1052" s="68" t="inlineStr">
        <is>
          <t>โปรซื้อ 19แถมฟรี 8</t>
        </is>
      </c>
      <c r="B1052" s="6" t="inlineStr">
        <is>
          <t>กระดาษทรายกลม Rhynogrip (แรด) 6รู เบอร์ 400 -- แถมฟรี</t>
        </is>
      </c>
      <c r="C1052" s="8" t="inlineStr">
        <is>
          <t>3กล่อง</t>
        </is>
      </c>
      <c r="I1052" s="10" t="inlineStr">
        <is>
          <t>ออโต้เทรด</t>
        </is>
      </c>
      <c r="J1052" s="161" t="n">
        <v>24144</v>
      </c>
      <c r="K1052" s="8" t="inlineStr">
        <is>
          <t>IV1427558</t>
        </is>
      </c>
      <c r="L1052" s="8" t="inlineStr">
        <is>
          <t>ราคาที่ลง ยังไม่รวมภาษี</t>
        </is>
      </c>
    </row>
    <row r="1053">
      <c r="A1053" s="68" t="inlineStr">
        <is>
          <t>โปรซื้อ 20แถมฟรี 8</t>
        </is>
      </c>
      <c r="B1053" s="6" t="inlineStr">
        <is>
          <t>กระดาษทรายกลม Rhynogrip (แรด) 6รู เบอร์ 400</t>
        </is>
      </c>
      <c r="C1053" s="8" t="n">
        <v>3</v>
      </c>
      <c r="D1053" s="9" t="n">
        <v>650</v>
      </c>
      <c r="H1053" s="9">
        <f>SUM(D1053*C1053)</f>
        <v/>
      </c>
      <c r="I1053" s="10" t="inlineStr">
        <is>
          <t>ออโต้ สมาร์ท</t>
        </is>
      </c>
      <c r="J1053" s="161" t="n">
        <v>24272</v>
      </c>
      <c r="K1053" s="8" t="inlineStr">
        <is>
          <t>IV1433445</t>
        </is>
      </c>
      <c r="L1053" s="8" t="inlineStr">
        <is>
          <t>ราคาที่ลง ยังไม่รวมภาษี</t>
        </is>
      </c>
    </row>
    <row r="1054">
      <c r="A1054" s="68" t="inlineStr">
        <is>
          <t>โปรซื้อ 20แถมฟรี 8</t>
        </is>
      </c>
      <c r="B1054" s="6" t="inlineStr">
        <is>
          <t>กระดาษทรายกลม Rhynogrip (แรด) 6รู เบอร์ 400 -- แถมฟรี</t>
        </is>
      </c>
      <c r="C1054" s="8" t="n">
        <v>8</v>
      </c>
      <c r="I1054" s="10" t="inlineStr">
        <is>
          <t>ออโต้ สมาร์ท</t>
        </is>
      </c>
      <c r="J1054" s="161" t="n">
        <v>24272</v>
      </c>
      <c r="K1054" s="8" t="inlineStr">
        <is>
          <t>IV1433445</t>
        </is>
      </c>
      <c r="L1054" s="8" t="inlineStr">
        <is>
          <t>ราคาที่ลง ยังไม่รวมภาษี</t>
        </is>
      </c>
    </row>
    <row r="1055">
      <c r="A1055" s="68" t="inlineStr">
        <is>
          <t>โปรซื้อ 24แถมฟรี 8</t>
        </is>
      </c>
      <c r="B1055" s="6" t="inlineStr">
        <is>
          <t>กระดาษทรายกลม Rhynogrip (แรด) 6รู เบอร์ 400 -- แถมฟรี</t>
        </is>
      </c>
      <c r="C1055" s="8" t="n">
        <v>6</v>
      </c>
      <c r="I1055" s="10" t="inlineStr">
        <is>
          <t>ออโต้เทรด</t>
        </is>
      </c>
      <c r="J1055" s="161" t="n">
        <v>24516</v>
      </c>
      <c r="K1055" s="8" t="inlineStr">
        <is>
          <t>IV1444437</t>
        </is>
      </c>
      <c r="L1055" s="8" t="inlineStr">
        <is>
          <t>ราคาที่ลง ยังไม่รวมภาษี</t>
        </is>
      </c>
    </row>
    <row r="1056">
      <c r="A1056" s="68" t="inlineStr">
        <is>
          <t>โปรซื้อ 24แถมฟรี 8</t>
        </is>
      </c>
      <c r="B1056" s="6" t="inlineStr">
        <is>
          <t>กระดาษทรายกลม Rhynogrip (แรด) 6รู เบอร์ 400 -- แถมฟรี</t>
        </is>
      </c>
      <c r="C1056" s="8" t="n">
        <v>6</v>
      </c>
      <c r="I1056" s="10" t="inlineStr">
        <is>
          <t>ออโต้เทรด</t>
        </is>
      </c>
      <c r="J1056" s="161" t="n">
        <v>24587</v>
      </c>
      <c r="K1056" s="8" t="inlineStr">
        <is>
          <t>IV1447634</t>
        </is>
      </c>
      <c r="L1056" s="8" t="inlineStr">
        <is>
          <t>ราคาที่ลง ยังไม่รวมภาษี</t>
        </is>
      </c>
    </row>
    <row r="1057">
      <c r="A1057" s="68" t="inlineStr">
        <is>
          <t>โปรซื้อ 38แถมฟรี 14</t>
        </is>
      </c>
      <c r="B1057" s="6" t="inlineStr">
        <is>
          <t>กระดาษทรายกลม Rhynogrip (แรด) 6รู เบอร์ 400 -- แถมฟรี</t>
        </is>
      </c>
      <c r="C1057" s="8" t="n">
        <v>8</v>
      </c>
      <c r="H1057" s="9">
        <f>SUM(D1057*C1057)</f>
        <v/>
      </c>
      <c r="I1057" s="10" t="inlineStr">
        <is>
          <t>ออโต้เทรด</t>
        </is>
      </c>
      <c r="J1057" s="161" t="n">
        <v>24846</v>
      </c>
      <c r="K1057" s="8" t="inlineStr">
        <is>
          <t>IV1459290</t>
        </is>
      </c>
      <c r="L1057" s="8" t="inlineStr">
        <is>
          <t>ราคารวม VAT แล้ว</t>
        </is>
      </c>
    </row>
    <row r="1059">
      <c r="A1059" s="73" t="inlineStr">
        <is>
          <t>ออโต้สมาร์ท ** โปรซื้อ 500 แถม 100 แผ่น</t>
        </is>
      </c>
      <c r="B1059" s="6" t="inlineStr">
        <is>
          <t>กระดาษทรายเหลี่ยมขัดน้ำ 230มม.*280มม. เบอร์ 80 -- แถมฟรี</t>
        </is>
      </c>
      <c r="C1059" s="8" t="inlineStr">
        <is>
          <t>100แผ่น</t>
        </is>
      </c>
      <c r="I1059" s="10" t="inlineStr">
        <is>
          <t>ออโต้ สมาร์ท</t>
        </is>
      </c>
      <c r="J1059" s="161" t="n">
        <v>22863</v>
      </c>
      <c r="L1059" s="8" t="inlineStr">
        <is>
          <t>ราคาที่ลง ยังไม่รวมภาษี</t>
        </is>
      </c>
    </row>
    <row r="1060">
      <c r="A1060" s="74" t="inlineStr">
        <is>
          <t>ออโต้เทรด **โปร 2-10 กล่อง ลด 25%</t>
        </is>
      </c>
      <c r="B1060" s="6" t="inlineStr">
        <is>
          <t>กระดาษทรายเหลี่ยมขัดน้ำ 230มม.*280มม. เบอร์ 80 -- แถมฟรี</t>
        </is>
      </c>
      <c r="C1060" s="8" t="inlineStr">
        <is>
          <t>100แผ่น</t>
        </is>
      </c>
      <c r="I1060" s="10" t="inlineStr">
        <is>
          <t>ออโต้ สมาร์ท</t>
        </is>
      </c>
      <c r="J1060" s="161" t="n">
        <v>23095</v>
      </c>
      <c r="L1060" s="8" t="inlineStr">
        <is>
          <t>ราคาที่ลง ยังไม่รวมภาษี</t>
        </is>
      </c>
    </row>
    <row r="1061">
      <c r="A1061" s="74" t="inlineStr">
        <is>
          <t>ออโต้เทรด **โปร 11-20 กล่อง ลด 30%</t>
        </is>
      </c>
      <c r="B1061" s="6" t="inlineStr">
        <is>
          <t xml:space="preserve">กระดาษทรายเหลี่ยมขัดน้ำ 230มม.*280มม. เบอร์ 80 </t>
        </is>
      </c>
      <c r="C1061" s="8" t="inlineStr">
        <is>
          <t>100แผ่น</t>
        </is>
      </c>
      <c r="D1061" s="9" t="n">
        <v>7</v>
      </c>
      <c r="H1061" s="9" t="n">
        <v>700</v>
      </c>
      <c r="I1061" s="10" t="inlineStr">
        <is>
          <t>ออโต้ สมาร์ท</t>
        </is>
      </c>
      <c r="J1061" s="161" t="n">
        <v>23349</v>
      </c>
      <c r="L1061" s="8" t="inlineStr">
        <is>
          <t>ราคาที่ลง ยังไม่รวมภาษี</t>
        </is>
      </c>
    </row>
    <row r="1062">
      <c r="A1062" s="74" t="inlineStr">
        <is>
          <t>ออโต้เทรด **โปร 21-50 กล่อง ลด 35%</t>
        </is>
      </c>
      <c r="B1062" s="6" t="inlineStr">
        <is>
          <t>กระดาษทรายเหลี่ยมขัดน้ำ 230มม.*280มม. เบอร์ 80 -- แถมฟรี</t>
        </is>
      </c>
      <c r="C1062" s="8" t="inlineStr">
        <is>
          <t>100แผ่น</t>
        </is>
      </c>
      <c r="I1062" s="10" t="inlineStr">
        <is>
          <t>ออโต้ สมาร์ท</t>
        </is>
      </c>
      <c r="J1062" s="161" t="n">
        <v>23620</v>
      </c>
      <c r="K1062" s="8" t="n">
        <v>202108203</v>
      </c>
      <c r="L1062" s="8" t="inlineStr">
        <is>
          <t>ราคาที่ลง ยังไม่รวมภาษี</t>
        </is>
      </c>
    </row>
    <row r="1063">
      <c r="A1063" s="74" t="inlineStr">
        <is>
          <t>ออโต้เทรด **โปร 51-100 กล่อง ลด 35%+5%</t>
        </is>
      </c>
      <c r="B1063" s="6" t="inlineStr">
        <is>
          <t xml:space="preserve">กระดาษทรายเหลี่ยมขัดน้ำ 230มม.*280มม. เบอร์ 80 </t>
        </is>
      </c>
      <c r="C1063" s="8" t="inlineStr">
        <is>
          <t>100แผ่น</t>
        </is>
      </c>
      <c r="D1063" s="9" t="n">
        <v>8</v>
      </c>
      <c r="H1063" s="9" t="n">
        <v>800</v>
      </c>
      <c r="I1063" s="10" t="inlineStr">
        <is>
          <t>ออโต้ สมาร์ท</t>
        </is>
      </c>
      <c r="J1063" s="161" t="n">
        <v>23718</v>
      </c>
      <c r="K1063" s="8" t="n">
        <v>202112058</v>
      </c>
      <c r="L1063" s="8" t="inlineStr">
        <is>
          <t>ราคาที่ลง ยังไม่รวมภาษี</t>
        </is>
      </c>
    </row>
    <row r="1064">
      <c r="A1064" s="74" t="inlineStr">
        <is>
          <t>ออโต้เทรด **โปร 101-200 กล่อง ลด 35%+7%</t>
        </is>
      </c>
      <c r="B1064" s="6" t="inlineStr">
        <is>
          <t xml:space="preserve">กระดาษทรายเหลี่ยมขัดน้ำ 230มม.*280มม. เบอร์ 80 </t>
        </is>
      </c>
      <c r="C1064" s="8" t="inlineStr">
        <is>
          <t>100แผ่น</t>
        </is>
      </c>
      <c r="D1064" s="9" t="n">
        <v>8</v>
      </c>
      <c r="H1064" s="9" t="n">
        <v>800</v>
      </c>
      <c r="I1064" s="10" t="inlineStr">
        <is>
          <t>ออโต้ สมาร์ท</t>
        </is>
      </c>
      <c r="J1064" s="161" t="n">
        <v>23829</v>
      </c>
      <c r="K1064" s="8" t="n">
        <v>202203217</v>
      </c>
      <c r="L1064" s="8" t="inlineStr">
        <is>
          <t>ราคาที่ลง ยังไม่รวมภาษี</t>
        </is>
      </c>
    </row>
    <row r="1065">
      <c r="A1065" s="75" t="n"/>
      <c r="B1065" s="6" t="inlineStr">
        <is>
          <t xml:space="preserve">กระดาษทรายเหลี่ยมขัดน้ำ 230มม.*280มม. เบอร์ 80 </t>
        </is>
      </c>
      <c r="C1065" s="8" t="inlineStr">
        <is>
          <t>200แผ่น</t>
        </is>
      </c>
      <c r="D1065" s="9" t="n">
        <v>8</v>
      </c>
      <c r="F1065" s="17" t="n">
        <v>0.35</v>
      </c>
      <c r="H1065" s="9" t="n">
        <v>1040</v>
      </c>
      <c r="I1065" s="10" t="inlineStr">
        <is>
          <t>ออโต้เทรด มาร์เก็ตติ้ง</t>
        </is>
      </c>
      <c r="J1065" s="161" t="n">
        <v>23907</v>
      </c>
      <c r="K1065" s="8" t="inlineStr">
        <is>
          <t>IV1417481</t>
        </is>
      </c>
      <c r="L1065" s="8" t="inlineStr">
        <is>
          <t>ราคาที่ลง ยังไม่รวมภาษี</t>
        </is>
      </c>
    </row>
    <row r="1066">
      <c r="A1066" s="75" t="inlineStr">
        <is>
          <t>โปรซื้อ 11-19แพ็ค ลด 30%</t>
        </is>
      </c>
      <c r="B1066" s="6" t="inlineStr">
        <is>
          <t xml:space="preserve">กระดาษทรายเหลี่ยมขัดน้ำ 230มม.*280มม. เบอร์ 80 </t>
        </is>
      </c>
      <c r="C1066" s="8" t="n">
        <v>1</v>
      </c>
      <c r="D1066" s="9" t="n">
        <v>800</v>
      </c>
      <c r="F1066" s="17" t="n">
        <v>0.3</v>
      </c>
      <c r="H1066" s="9" t="n">
        <v>560</v>
      </c>
      <c r="I1066" s="10" t="inlineStr">
        <is>
          <t>ออโต้เทรด มาร์เก็ตติ้ง</t>
        </is>
      </c>
      <c r="J1066" s="161" t="n">
        <v>24272</v>
      </c>
      <c r="K1066" s="8" t="inlineStr">
        <is>
          <t>IV1433445</t>
        </is>
      </c>
      <c r="L1066" s="8" t="inlineStr">
        <is>
          <t>ราคาที่ลง ยังไม่รวมภาษี</t>
        </is>
      </c>
    </row>
    <row r="1067">
      <c r="A1067" s="75" t="inlineStr">
        <is>
          <t>โปรซื้อ 20แพ็ค ลด 35%</t>
        </is>
      </c>
      <c r="B1067" s="6" t="inlineStr">
        <is>
          <t xml:space="preserve">กระดาษทรายเหลี่ยมขัดน้ำ 230มม.*280มม. เบอร์ 80 </t>
        </is>
      </c>
      <c r="C1067" s="8" t="n">
        <v>1</v>
      </c>
      <c r="D1067" s="9" t="n">
        <v>800</v>
      </c>
      <c r="F1067" s="17" t="n">
        <v>0.3</v>
      </c>
      <c r="H1067" s="9" t="n">
        <v>560</v>
      </c>
      <c r="I1067" s="10" t="inlineStr">
        <is>
          <t>ออโต้เทรด มาร์เก็ตติ้ง</t>
        </is>
      </c>
      <c r="J1067" s="161" t="n">
        <v>24385</v>
      </c>
      <c r="K1067" s="57" t="inlineStr">
        <is>
          <t>IV1438645</t>
        </is>
      </c>
      <c r="L1067" s="8" t="inlineStr">
        <is>
          <t>ราคาที่ลง ยังไม่รวมภาษี</t>
        </is>
      </c>
    </row>
    <row r="1068">
      <c r="A1068" s="75" t="inlineStr">
        <is>
          <t>โปรซื้อ 20แพ็ค ลด 35%</t>
        </is>
      </c>
      <c r="B1068" s="6" t="inlineStr">
        <is>
          <t xml:space="preserve">กระดาษทรายเหลี่ยมขัดน้ำ 230มม.*280มม. เบอร์ 80 </t>
        </is>
      </c>
      <c r="C1068" s="8" t="n">
        <v>2</v>
      </c>
      <c r="D1068" s="9" t="n">
        <v>800</v>
      </c>
      <c r="F1068" s="17" t="n">
        <v>0.35</v>
      </c>
      <c r="G1068" s="10">
        <f>SUM(H1068*0.65)</f>
        <v/>
      </c>
      <c r="H1068" s="9">
        <f>SUM(D1068*C1068)</f>
        <v/>
      </c>
      <c r="I1068" s="10" t="inlineStr">
        <is>
          <t>ออโต้เทรด มาร์เก็ตติ้ง</t>
        </is>
      </c>
      <c r="J1068" s="161" t="n">
        <v>24587</v>
      </c>
      <c r="K1068" s="57" t="inlineStr">
        <is>
          <t>IV1447634</t>
        </is>
      </c>
      <c r="L1068" s="8" t="inlineStr">
        <is>
          <t>ราคาที่ลง ยังไม่รวมภาษี</t>
        </is>
      </c>
    </row>
    <row r="1069">
      <c r="A1069" s="68" t="n"/>
      <c r="B1069" s="6" t="inlineStr">
        <is>
          <t>กระดาษทรายเหลี่ยมขัดน้ำ 230มม.*280มม. เบอร์ 80 (จำนวนแพ็ค)</t>
        </is>
      </c>
      <c r="C1069" s="8" t="n">
        <v>2</v>
      </c>
      <c r="D1069" s="9" t="n">
        <v>800</v>
      </c>
      <c r="E1069" s="9">
        <f>SUM(C1069*D1069)</f>
        <v/>
      </c>
      <c r="F1069" s="17" t="n">
        <v>0.35</v>
      </c>
      <c r="G1069" s="10" t="inlineStr">
        <is>
          <t>รวม VAT =</t>
        </is>
      </c>
      <c r="H1069" s="9">
        <f>SUM(E1069*O1069/N1069*P1069)</f>
        <v/>
      </c>
      <c r="I1069" s="10" t="inlineStr">
        <is>
          <t>ออโต้เทรด</t>
        </is>
      </c>
      <c r="J1069" s="161" t="n">
        <v>24996</v>
      </c>
      <c r="K1069" s="8" t="inlineStr">
        <is>
          <t>IV1466221</t>
        </is>
      </c>
      <c r="L1069" s="8" t="inlineStr">
        <is>
          <t>ราคารวม VAT แล้ว</t>
        </is>
      </c>
      <c r="N1069" s="6" t="n">
        <v>100</v>
      </c>
      <c r="O1069" s="6" t="n">
        <v>107</v>
      </c>
      <c r="P1069" s="6" t="n">
        <v>0.65</v>
      </c>
    </row>
    <row r="1070">
      <c r="A1070" s="75" t="n"/>
    </row>
    <row r="1071">
      <c r="A1071" s="68" t="n"/>
      <c r="B1071" s="6" t="inlineStr">
        <is>
          <t>กระดาษทรายเหลี่ยมขัดน้ำ 230มม.*280มม. เบอร์ 100 -- แถมฟรี</t>
        </is>
      </c>
      <c r="C1071" s="8" t="inlineStr">
        <is>
          <t>100แผ่น</t>
        </is>
      </c>
      <c r="D1071" s="9" t="n">
        <v>7</v>
      </c>
      <c r="H1071" s="9" t="n">
        <v>700</v>
      </c>
      <c r="I1071" s="10" t="inlineStr">
        <is>
          <t>ออโต้ สมาร์ท</t>
        </is>
      </c>
      <c r="J1071" s="161" t="n">
        <v>22863</v>
      </c>
      <c r="L1071" s="8" t="inlineStr">
        <is>
          <t>ราคาที่ลง ยังไม่รวมภาษี</t>
        </is>
      </c>
    </row>
    <row r="1072">
      <c r="A1072" s="68" t="n"/>
      <c r="B1072" s="6" t="inlineStr">
        <is>
          <t xml:space="preserve">กระดาษทรายเหลี่ยมขัดน้ำ 230มม.*280มม. เบอร์ 100  </t>
        </is>
      </c>
      <c r="C1072" s="8" t="inlineStr">
        <is>
          <t>100แผ่น</t>
        </is>
      </c>
      <c r="D1072" s="9" t="n">
        <v>7</v>
      </c>
      <c r="H1072" s="9" t="n">
        <v>700</v>
      </c>
      <c r="I1072" s="10" t="inlineStr">
        <is>
          <t>ออโต้ สมาร์ท</t>
        </is>
      </c>
      <c r="J1072" s="161" t="n">
        <v>22882</v>
      </c>
      <c r="L1072" s="8" t="inlineStr">
        <is>
          <t>ราคาที่ลง ยังไม่รวมภาษี</t>
        </is>
      </c>
    </row>
    <row r="1073">
      <c r="B1073" s="6" t="inlineStr">
        <is>
          <t xml:space="preserve">กระดาษทรายเหลี่ยมขัดน้ำ 230มม.*280มม. เบอร์ 100  </t>
        </is>
      </c>
      <c r="C1073" s="8" t="inlineStr">
        <is>
          <t>100แผ่น</t>
        </is>
      </c>
      <c r="D1073" s="9" t="n">
        <v>7</v>
      </c>
      <c r="H1073" s="9" t="n">
        <v>700</v>
      </c>
      <c r="I1073" s="10" t="inlineStr">
        <is>
          <t>ออโต้ สมาร์ท</t>
        </is>
      </c>
      <c r="J1073" s="161" t="n">
        <v>23064</v>
      </c>
      <c r="L1073" s="8" t="inlineStr">
        <is>
          <t>ราคาที่ลง ยังไม่รวมภาษี</t>
        </is>
      </c>
    </row>
    <row r="1074">
      <c r="B1074" s="6" t="inlineStr">
        <is>
          <t xml:space="preserve">กระดาษทรายเหลี่ยมขัดน้ำ 230มม.*280มม. เบอร์ 100  </t>
        </is>
      </c>
      <c r="C1074" s="8" t="inlineStr">
        <is>
          <t>100แผ่น</t>
        </is>
      </c>
      <c r="D1074" s="9" t="n">
        <v>7</v>
      </c>
      <c r="H1074" s="9" t="n">
        <v>700</v>
      </c>
      <c r="I1074" s="10" t="inlineStr">
        <is>
          <t>ออโต้ สมาร์ท</t>
        </is>
      </c>
      <c r="J1074" s="161" t="n">
        <v>23095</v>
      </c>
      <c r="L1074" s="8" t="inlineStr">
        <is>
          <t>ราคาที่ลง ยังไม่รวมภาษี</t>
        </is>
      </c>
    </row>
    <row r="1075">
      <c r="B1075" s="6" t="inlineStr">
        <is>
          <t xml:space="preserve">กระดาษทรายเหลี่ยมขัดน้ำ 230มม.*280มม. เบอร์ 100  </t>
        </is>
      </c>
      <c r="C1075" s="8" t="inlineStr">
        <is>
          <t>100แผ่น</t>
        </is>
      </c>
      <c r="D1075" s="9" t="n">
        <v>7</v>
      </c>
      <c r="H1075" s="9" t="n">
        <v>700</v>
      </c>
      <c r="I1075" s="10" t="inlineStr">
        <is>
          <t>ออโต้ สมาร์ท</t>
        </is>
      </c>
      <c r="J1075" s="161" t="n">
        <v>23110</v>
      </c>
      <c r="L1075" s="8" t="inlineStr">
        <is>
          <t>ราคาที่ลง ยังไม่รวมภาษี</t>
        </is>
      </c>
    </row>
    <row r="1076">
      <c r="B1076" s="6" t="inlineStr">
        <is>
          <t xml:space="preserve">กระดาษทรายเหลี่ยมขัดน้ำ 230มม.*280มม. เบอร์ 100  </t>
        </is>
      </c>
      <c r="C1076" s="8" t="inlineStr">
        <is>
          <t>100แผ่น</t>
        </is>
      </c>
      <c r="D1076" s="9" t="n">
        <v>7</v>
      </c>
      <c r="H1076" s="9" t="n">
        <v>700</v>
      </c>
      <c r="I1076" s="10" t="inlineStr">
        <is>
          <t>ออโต้ สมาร์ท</t>
        </is>
      </c>
      <c r="J1076" s="161" t="n">
        <v>23151</v>
      </c>
      <c r="L1076" s="8" t="inlineStr">
        <is>
          <t>ราคาที่ลง ยังไม่รวมภาษี</t>
        </is>
      </c>
    </row>
    <row r="1077">
      <c r="B1077" s="6" t="inlineStr">
        <is>
          <t>กระดาษทรายเหลี่ยมขัดน้ำ 230มม.*280มม. เบอร์ 100 -- แถมฟรี</t>
        </is>
      </c>
      <c r="C1077" s="8" t="inlineStr">
        <is>
          <t>100แผ่น</t>
        </is>
      </c>
      <c r="D1077" s="9" t="n">
        <v>7</v>
      </c>
      <c r="H1077" s="9" t="n">
        <v>700</v>
      </c>
      <c r="I1077" s="10" t="inlineStr">
        <is>
          <t>ออโต้ สมาร์ท</t>
        </is>
      </c>
      <c r="J1077" s="161" t="n">
        <v>23202</v>
      </c>
      <c r="L1077" s="8" t="inlineStr">
        <is>
          <t>ราคาที่ลง ยังไม่รวมภาษี</t>
        </is>
      </c>
    </row>
    <row r="1078">
      <c r="B1078" s="6" t="inlineStr">
        <is>
          <t>กระดาษทรายเหลี่ยมขัดน้ำ 230มม.*280มม. เบอร์ 100 -- แถมฟรี</t>
        </is>
      </c>
      <c r="C1078" s="8" t="inlineStr">
        <is>
          <t>100แผ่น</t>
        </is>
      </c>
      <c r="I1078" s="10" t="inlineStr">
        <is>
          <t>ออโต้ สมาร์ท</t>
        </is>
      </c>
      <c r="J1078" s="161" t="n">
        <v>23279</v>
      </c>
      <c r="L1078" s="8" t="inlineStr">
        <is>
          <t>ราคาที่ลง ยังไม่รวมภาษี</t>
        </is>
      </c>
    </row>
    <row r="1079">
      <c r="B1079" s="6" t="inlineStr">
        <is>
          <t xml:space="preserve">กระดาษทรายเหลี่ยมขัดน้ำ 230มม.*280มม. เบอร์ 100  </t>
        </is>
      </c>
      <c r="C1079" s="8" t="inlineStr">
        <is>
          <t>100แผ่น</t>
        </is>
      </c>
      <c r="D1079" s="9" t="n">
        <v>7</v>
      </c>
      <c r="H1079" s="9" t="n">
        <v>700</v>
      </c>
      <c r="I1079" s="10" t="inlineStr">
        <is>
          <t>ออโต้ สมาร์ท</t>
        </is>
      </c>
      <c r="J1079" s="161" t="n">
        <v>23349</v>
      </c>
      <c r="L1079" s="8" t="inlineStr">
        <is>
          <t>ราคาที่ลง ยังไม่รวมภาษี</t>
        </is>
      </c>
    </row>
    <row r="1080">
      <c r="B1080" s="6" t="inlineStr">
        <is>
          <t xml:space="preserve">กระดาษทรายเหลี่ยมขัดน้ำ 230มม.*280มม. เบอร์ 100 -- แถมฟรี </t>
        </is>
      </c>
      <c r="C1080" s="8" t="inlineStr">
        <is>
          <t>100แผ่น</t>
        </is>
      </c>
      <c r="I1080" s="10" t="inlineStr">
        <is>
          <t>ออโต้ สมาร์ท</t>
        </is>
      </c>
      <c r="J1080" s="161" t="n">
        <v>23399</v>
      </c>
      <c r="L1080" s="8" t="inlineStr">
        <is>
          <t>ราคาที่ลง ยังไม่รวมภาษี</t>
        </is>
      </c>
    </row>
    <row r="1081">
      <c r="B1081" s="6" t="inlineStr">
        <is>
          <t xml:space="preserve">กระดาษทรายเหลี่ยมขัดน้ำ 230มม.*280มม. เบอร์ 100  </t>
        </is>
      </c>
      <c r="C1081" s="8" t="inlineStr">
        <is>
          <t>100แผ่น</t>
        </is>
      </c>
      <c r="D1081" s="9" t="n">
        <v>7</v>
      </c>
      <c r="H1081" s="9" t="n">
        <v>700</v>
      </c>
      <c r="I1081" s="10" t="inlineStr">
        <is>
          <t>ออโต้ สมาร์ท</t>
        </is>
      </c>
      <c r="J1081" s="161" t="n">
        <v>23571</v>
      </c>
      <c r="L1081" s="8" t="inlineStr">
        <is>
          <t>ราคาที่ลง ยังไม่รวมภาษี</t>
        </is>
      </c>
    </row>
    <row r="1082">
      <c r="B1082" s="6" t="inlineStr">
        <is>
          <t xml:space="preserve">กระดาษทรายเหลี่ยมขัดน้ำ 230มม.*280มม. เบอร์ 100  </t>
        </is>
      </c>
      <c r="C1082" s="8" t="inlineStr">
        <is>
          <t>100แผ่น</t>
        </is>
      </c>
      <c r="D1082" s="9" t="n">
        <v>7</v>
      </c>
      <c r="H1082" s="9" t="n">
        <v>700</v>
      </c>
      <c r="I1082" s="10" t="inlineStr">
        <is>
          <t>ออโต้ สมาร์ท</t>
        </is>
      </c>
      <c r="J1082" s="161" t="n">
        <v>23718</v>
      </c>
      <c r="K1082" s="8" t="n">
        <v>202112058</v>
      </c>
      <c r="L1082" s="8" t="inlineStr">
        <is>
          <t>ราคาที่ลง ยังไม่รวมภาษี</t>
        </is>
      </c>
    </row>
    <row r="1083">
      <c r="B1083" s="6" t="inlineStr">
        <is>
          <t xml:space="preserve">กระดาษทรายเหลี่ยมขัดน้ำ 230มม.*280มม. เบอร์ 100  </t>
        </is>
      </c>
      <c r="C1083" s="8" t="inlineStr">
        <is>
          <t>200แผ่น</t>
        </is>
      </c>
      <c r="D1083" s="9" t="n">
        <v>7</v>
      </c>
      <c r="H1083" s="9" t="n">
        <v>1400</v>
      </c>
      <c r="I1083" s="10" t="inlineStr">
        <is>
          <t>ออโต้ สมาร์ท</t>
        </is>
      </c>
      <c r="J1083" s="161" t="n">
        <v>23787</v>
      </c>
      <c r="K1083" s="8" t="n">
        <v>202202131</v>
      </c>
      <c r="L1083" s="8" t="inlineStr">
        <is>
          <t>ราคาที่ลง ยังไม่รวมภาษี</t>
        </is>
      </c>
    </row>
    <row r="1084">
      <c r="B1084" s="6" t="inlineStr">
        <is>
          <t xml:space="preserve">กระดาษทรายเหลี่ยมขัดน้ำ 230มม.*280มม. เบอร์ 100 ตราม้าส้ม </t>
        </is>
      </c>
      <c r="C1084" s="8" t="inlineStr">
        <is>
          <t>100แผ่น</t>
        </is>
      </c>
      <c r="D1084" s="9" t="n">
        <v>7</v>
      </c>
      <c r="F1084" s="17" t="n">
        <v>0.35</v>
      </c>
      <c r="H1084" s="9" t="n">
        <v>455</v>
      </c>
      <c r="I1084" s="10" t="inlineStr">
        <is>
          <t>ออโต้เทรด มาร์เก็ตติ้ง</t>
        </is>
      </c>
      <c r="J1084" s="161" t="n">
        <v>23907</v>
      </c>
      <c r="K1084" s="8" t="inlineStr">
        <is>
          <t>IV1417481</t>
        </is>
      </c>
      <c r="L1084" s="8" t="inlineStr">
        <is>
          <t>ราคาที่ลง ยังไม่รวมภาษี</t>
        </is>
      </c>
    </row>
    <row r="1085">
      <c r="B1085" s="6" t="inlineStr">
        <is>
          <t xml:space="preserve">กระดาษทรายเหลี่ยมขัดน้ำ 230มม.*280มม. เบอร์ 100 ตราม้าส้ม </t>
        </is>
      </c>
      <c r="C1085" s="8" t="inlineStr">
        <is>
          <t>300แผ่น</t>
        </is>
      </c>
      <c r="D1085" s="9" t="n">
        <v>7</v>
      </c>
      <c r="F1085" s="17" t="n">
        <v>0.35</v>
      </c>
      <c r="H1085" s="9" t="n">
        <v>1365</v>
      </c>
      <c r="I1085" s="10" t="inlineStr">
        <is>
          <t>ออโต้เทรด มาร์เก็ตติ้ง</t>
        </is>
      </c>
      <c r="J1085" s="161" t="n">
        <v>23997</v>
      </c>
      <c r="K1085" s="8" t="inlineStr">
        <is>
          <t>IV1421363</t>
        </is>
      </c>
      <c r="L1085" s="8" t="inlineStr">
        <is>
          <t>ราคาที่ลง ยังไม่รวมภาษี</t>
        </is>
      </c>
    </row>
    <row r="1086">
      <c r="B1086" s="6" t="inlineStr">
        <is>
          <t xml:space="preserve">กระดาษทรายเหลี่ยมขัดน้ำ 230มม.*280มม. เบอร์ 100 ตราม้าส้ม </t>
        </is>
      </c>
      <c r="C1086" s="8" t="n">
        <v>1</v>
      </c>
      <c r="D1086" s="9" t="n">
        <v>700</v>
      </c>
      <c r="F1086" s="17" t="n">
        <v>0.3</v>
      </c>
      <c r="H1086" s="9" t="n">
        <v>490</v>
      </c>
      <c r="I1086" s="10" t="inlineStr">
        <is>
          <t>ออโต้เทรด มาร์เก็ตติ้ง</t>
        </is>
      </c>
      <c r="J1086" s="161" t="n">
        <v>24385</v>
      </c>
      <c r="K1086" s="8" t="inlineStr">
        <is>
          <t>IV1438645</t>
        </is>
      </c>
      <c r="L1086" s="8" t="inlineStr">
        <is>
          <t>ราคาที่ลง ยังไม่รวมภาษี</t>
        </is>
      </c>
    </row>
    <row r="1087">
      <c r="B1087" s="6" t="inlineStr">
        <is>
          <t xml:space="preserve">กระดาษทรายเหลี่ยมขัดน้ำ 230มม.*280มม. เบอร์ 100 ตราม้าส้ม </t>
        </is>
      </c>
      <c r="C1087" s="8" t="n">
        <v>400</v>
      </c>
      <c r="D1087" s="9" t="n">
        <v>7</v>
      </c>
      <c r="F1087" s="17" t="n">
        <v>0.3</v>
      </c>
      <c r="H1087" s="9">
        <f>SUM(C1087*D1087*0.7)</f>
        <v/>
      </c>
      <c r="I1087" s="10" t="inlineStr">
        <is>
          <t>ออโต้เทรด มาร์เก็ตติ้ง</t>
        </is>
      </c>
      <c r="J1087" s="161" t="n">
        <v>24516</v>
      </c>
      <c r="K1087" s="8" t="inlineStr">
        <is>
          <t>IV1444437</t>
        </is>
      </c>
      <c r="L1087" s="8" t="inlineStr">
        <is>
          <t>ราคาที่ลง ยังไม่รวมภาษี</t>
        </is>
      </c>
    </row>
    <row r="1089">
      <c r="B1089" s="6" t="inlineStr">
        <is>
          <t>กระดาษทรายเหลี่ยมขัดน้ำ 230มม.*280มม. เบอร์ 120</t>
        </is>
      </c>
      <c r="C1089" s="8" t="inlineStr">
        <is>
          <t>100แผ่น</t>
        </is>
      </c>
      <c r="D1089" s="9" t="n">
        <v>7</v>
      </c>
      <c r="H1089" s="9" t="n">
        <v>700</v>
      </c>
      <c r="I1089" s="10" t="inlineStr">
        <is>
          <t>ออโต้ สมาร์ท</t>
        </is>
      </c>
      <c r="J1089" s="161" t="n">
        <v>22849</v>
      </c>
      <c r="L1089" s="8" t="inlineStr">
        <is>
          <t>ราคาที่ลง ยังไม่รวมภาษี</t>
        </is>
      </c>
    </row>
    <row r="1090">
      <c r="B1090" s="6" t="inlineStr">
        <is>
          <t>กระดาษทรายเหลี่ยมขัดน้ำ 230มม.*280มม. เบอร์ 120 -- แถมฟรี</t>
        </is>
      </c>
      <c r="C1090" s="8" t="inlineStr">
        <is>
          <t>100แผ่น</t>
        </is>
      </c>
      <c r="I1090" s="10" t="inlineStr">
        <is>
          <t>ออโต้ สมาร์ท</t>
        </is>
      </c>
      <c r="J1090" s="161" t="n">
        <v>22871</v>
      </c>
      <c r="L1090" s="8" t="inlineStr">
        <is>
          <t>ราคาที่ลง ยังไม่รวมภาษี</t>
        </is>
      </c>
    </row>
    <row r="1091">
      <c r="B1091" s="6" t="inlineStr">
        <is>
          <t>กระดาษทรายเหลี่ยมขัดน้ำ 230มม.*280มม. เบอร์ 120</t>
        </is>
      </c>
      <c r="C1091" s="8" t="inlineStr">
        <is>
          <t>100แผ่น</t>
        </is>
      </c>
      <c r="D1091" s="9" t="n">
        <v>7</v>
      </c>
      <c r="H1091" s="9" t="n">
        <v>700</v>
      </c>
      <c r="I1091" s="10" t="inlineStr">
        <is>
          <t>ออโต้ สมาร์ท</t>
        </is>
      </c>
      <c r="J1091" s="161" t="n">
        <v>22997</v>
      </c>
      <c r="L1091" s="8" t="inlineStr">
        <is>
          <t>ราคาที่ลง ยังไม่รวมภาษี</t>
        </is>
      </c>
    </row>
    <row r="1092">
      <c r="B1092" s="6" t="inlineStr">
        <is>
          <t>กระดาษทรายเหลี่ยมขัดน้ำ 230มม.*280มม. เบอร์ 120</t>
        </is>
      </c>
      <c r="C1092" s="8" t="inlineStr">
        <is>
          <t>100แผ่น</t>
        </is>
      </c>
      <c r="D1092" s="9" t="n">
        <v>7</v>
      </c>
      <c r="H1092" s="9" t="n">
        <v>700</v>
      </c>
      <c r="I1092" s="10" t="inlineStr">
        <is>
          <t>ออโต้ สมาร์ท</t>
        </is>
      </c>
      <c r="J1092" s="161" t="n">
        <v>23110</v>
      </c>
      <c r="L1092" s="8" t="inlineStr">
        <is>
          <t>ราคาที่ลง ยังไม่รวมภาษี</t>
        </is>
      </c>
    </row>
    <row r="1093">
      <c r="B1093" s="6" t="inlineStr">
        <is>
          <t>กระดาษทรายเหลี่ยมขัดน้ำ 230มม.*280มม. เบอร์ 120 -- แถมฟรี</t>
        </is>
      </c>
      <c r="C1093" s="8" t="inlineStr">
        <is>
          <t>100แผ่น</t>
        </is>
      </c>
      <c r="I1093" s="10" t="inlineStr">
        <is>
          <t>ออโต้ สมาร์ท</t>
        </is>
      </c>
      <c r="J1093" s="161" t="n">
        <v>23142</v>
      </c>
      <c r="L1093" s="8" t="inlineStr">
        <is>
          <t>ราคาที่ลง ยังไม่รวมภาษี</t>
        </is>
      </c>
    </row>
    <row r="1094">
      <c r="B1094" s="6" t="inlineStr">
        <is>
          <t>กระดาษทรายเหลี่ยมขัดน้ำ 230มม.*280มม. เบอร์ 120</t>
        </is>
      </c>
      <c r="C1094" s="8" t="inlineStr">
        <is>
          <t>100แผ่น</t>
        </is>
      </c>
      <c r="D1094" s="9" t="n">
        <v>7</v>
      </c>
      <c r="H1094" s="9" t="n">
        <v>700</v>
      </c>
      <c r="I1094" s="10" t="inlineStr">
        <is>
          <t>ออโต้ สมาร์ท</t>
        </is>
      </c>
      <c r="J1094" s="161" t="n">
        <v>23157</v>
      </c>
      <c r="L1094" s="8" t="inlineStr">
        <is>
          <t>ราคาที่ลง ยังไม่รวมภาษี</t>
        </is>
      </c>
    </row>
    <row r="1095">
      <c r="B1095" s="6" t="inlineStr">
        <is>
          <t>กระดาษทรายเหลี่ยมขัดน้ำ 230มม.*280มม. เบอร์ 120 -- แถมฟรี</t>
        </is>
      </c>
      <c r="C1095" s="8" t="inlineStr">
        <is>
          <t>100แผ่น</t>
        </is>
      </c>
      <c r="I1095" s="10" t="inlineStr">
        <is>
          <t>ออโต้ สมาร์ท</t>
        </is>
      </c>
      <c r="J1095" s="161" t="n">
        <v>23186</v>
      </c>
      <c r="L1095" s="8" t="inlineStr">
        <is>
          <t>ราคาที่ลง ยังไม่รวมภาษี</t>
        </is>
      </c>
    </row>
    <row r="1096">
      <c r="B1096" s="6" t="inlineStr">
        <is>
          <t>กระดาษทรายเหลี่ยมขัดน้ำ 230มม.*280มม. เบอร์ 120</t>
        </is>
      </c>
      <c r="C1096" s="8" t="inlineStr">
        <is>
          <t>100แผ่น</t>
        </is>
      </c>
      <c r="D1096" s="9" t="n">
        <v>7</v>
      </c>
      <c r="H1096" s="9" t="n">
        <v>700</v>
      </c>
      <c r="I1096" s="10" t="inlineStr">
        <is>
          <t>ออโต้ สมาร์ท</t>
        </is>
      </c>
      <c r="J1096" s="161" t="n">
        <v>23230</v>
      </c>
      <c r="L1096" s="8" t="inlineStr">
        <is>
          <t>ราคาที่ลง ยังไม่รวมภาษี</t>
        </is>
      </c>
    </row>
    <row r="1097">
      <c r="B1097" s="6" t="inlineStr">
        <is>
          <t>กระดาษทรายเหลี่ยมขัดน้ำ 230มม.*280มม. เบอร์ 120</t>
        </is>
      </c>
      <c r="C1097" s="8" t="inlineStr">
        <is>
          <t>100แผ่น</t>
        </is>
      </c>
      <c r="D1097" s="9" t="n">
        <v>7</v>
      </c>
      <c r="H1097" s="9" t="n">
        <v>700</v>
      </c>
      <c r="I1097" s="10" t="inlineStr">
        <is>
          <t>ออโต้ สมาร์ท</t>
        </is>
      </c>
      <c r="J1097" s="161" t="n">
        <v>23254</v>
      </c>
      <c r="L1097" s="8" t="inlineStr">
        <is>
          <t>ราคาที่ลง ยังไม่รวมภาษี</t>
        </is>
      </c>
    </row>
    <row r="1098">
      <c r="B1098" s="6" t="inlineStr">
        <is>
          <t>กระดาษทรายเหลี่ยมขัดน้ำ 230มม.*280มม. เบอร์ 120</t>
        </is>
      </c>
      <c r="C1098" s="8" t="inlineStr">
        <is>
          <t>100แผ่น</t>
        </is>
      </c>
      <c r="D1098" s="9" t="n">
        <v>7</v>
      </c>
      <c r="H1098" s="9" t="n">
        <v>700</v>
      </c>
      <c r="I1098" s="10" t="inlineStr">
        <is>
          <t>ออโต้ สมาร์ท</t>
        </is>
      </c>
      <c r="J1098" s="161" t="n">
        <v>23279</v>
      </c>
      <c r="L1098" s="8" t="inlineStr">
        <is>
          <t>ราคาที่ลง ยังไม่รวมภาษี</t>
        </is>
      </c>
    </row>
    <row r="1099">
      <c r="B1099" s="6" t="inlineStr">
        <is>
          <t>กระดาษทรายเหลี่ยมขัดน้ำ 230มม.*280มม. เบอร์ 120</t>
        </is>
      </c>
      <c r="C1099" s="8" t="inlineStr">
        <is>
          <t>100แผ่น</t>
        </is>
      </c>
      <c r="D1099" s="9" t="n">
        <v>7</v>
      </c>
      <c r="H1099" s="9" t="n">
        <v>700</v>
      </c>
      <c r="I1099" s="10" t="inlineStr">
        <is>
          <t>ออโต้ สมาร์ท</t>
        </is>
      </c>
      <c r="J1099" s="161" t="n">
        <v>23335</v>
      </c>
      <c r="L1099" s="8" t="inlineStr">
        <is>
          <t>ราคาที่ลง ยังไม่รวมภาษี</t>
        </is>
      </c>
    </row>
    <row r="1100">
      <c r="B1100" s="6" t="inlineStr">
        <is>
          <t>กระดาษทรายเหลี่ยมขัดน้ำ 230มม.*280มม. เบอร์ 120</t>
        </is>
      </c>
      <c r="C1100" s="8" t="inlineStr">
        <is>
          <t>100แผ่น</t>
        </is>
      </c>
      <c r="D1100" s="9" t="n">
        <v>7</v>
      </c>
      <c r="H1100" s="9" t="n">
        <v>700</v>
      </c>
      <c r="I1100" s="10" t="inlineStr">
        <is>
          <t>ออโต้ สมาร์ท</t>
        </is>
      </c>
      <c r="J1100" s="161" t="n">
        <v>23349</v>
      </c>
      <c r="L1100" s="8" t="inlineStr">
        <is>
          <t>ราคาที่ลง ยังไม่รวมภาษี</t>
        </is>
      </c>
    </row>
    <row r="1101">
      <c r="B1101" s="6" t="inlineStr">
        <is>
          <t>กระดาษทรายเหลี่ยมขัดน้ำ 230มม.*280มม. เบอร์ 120 -- แถมฟรี</t>
        </is>
      </c>
      <c r="C1101" s="8" t="inlineStr">
        <is>
          <t>120แผ่น</t>
        </is>
      </c>
      <c r="I1101" s="10" t="inlineStr">
        <is>
          <t>ออโต้ สมาร์ท</t>
        </is>
      </c>
      <c r="J1101" s="161" t="n">
        <v>23411</v>
      </c>
      <c r="L1101" s="8" t="inlineStr">
        <is>
          <t>ราคาที่ลง ยังไม่รวมภาษี</t>
        </is>
      </c>
    </row>
    <row r="1102">
      <c r="B1102" s="6" t="inlineStr">
        <is>
          <t>กระดาษทรายเหลี่ยมขัดน้ำ 230มม.*280มม. เบอร์ 120</t>
        </is>
      </c>
      <c r="C1102" s="8" t="inlineStr">
        <is>
          <t>100แผ่น</t>
        </is>
      </c>
      <c r="D1102" s="9" t="n">
        <v>7</v>
      </c>
      <c r="H1102" s="9" t="n">
        <v>700</v>
      </c>
      <c r="I1102" s="10" t="inlineStr">
        <is>
          <t>ออโต้ สมาร์ท</t>
        </is>
      </c>
      <c r="J1102" s="161" t="n">
        <v>23462</v>
      </c>
      <c r="L1102" s="8" t="inlineStr">
        <is>
          <t>ราคาที่ลง ยังไม่รวมภาษี</t>
        </is>
      </c>
    </row>
    <row r="1103">
      <c r="B1103" s="6" t="inlineStr">
        <is>
          <t>กระดาษทรายเหลี่ยมขัดน้ำ 230มม.*280มม. เบอร์ 120</t>
        </is>
      </c>
      <c r="C1103" s="8" t="inlineStr">
        <is>
          <t>100แผ่น</t>
        </is>
      </c>
      <c r="D1103" s="9" t="n">
        <v>7</v>
      </c>
      <c r="H1103" s="9" t="n">
        <v>700</v>
      </c>
      <c r="I1103" s="10" t="inlineStr">
        <is>
          <t>ออโต้ สมาร์ท</t>
        </is>
      </c>
      <c r="J1103" s="161" t="n">
        <v>23598</v>
      </c>
      <c r="L1103" s="8" t="inlineStr">
        <is>
          <t>ราคาที่ลง ยังไม่รวมภาษี</t>
        </is>
      </c>
    </row>
    <row r="1104">
      <c r="B1104" s="6" t="inlineStr">
        <is>
          <t>กระดาษทรายเหลี่ยมขัดน้ำ 230มม.*280มม. เบอร์ 120</t>
        </is>
      </c>
      <c r="C1104" s="8" t="inlineStr">
        <is>
          <t>200แผ่น</t>
        </is>
      </c>
      <c r="D1104" s="9" t="n">
        <v>7</v>
      </c>
      <c r="H1104" s="9" t="n">
        <v>1400</v>
      </c>
      <c r="I1104" s="10" t="inlineStr">
        <is>
          <t>ออโต้ สมาร์ท</t>
        </is>
      </c>
      <c r="J1104" s="161" t="n">
        <v>23718</v>
      </c>
      <c r="K1104" s="8" t="n">
        <v>202112058</v>
      </c>
      <c r="L1104" s="8" t="inlineStr">
        <is>
          <t>ราคาที่ลง ยังไม่รวมภาษี</t>
        </is>
      </c>
    </row>
    <row r="1105">
      <c r="B1105" s="6" t="inlineStr">
        <is>
          <t>กระดาษทรายเหลี่ยมขัดน้ำ 230มม.*280มม. เบอร์ 120</t>
        </is>
      </c>
      <c r="C1105" s="8" t="inlineStr">
        <is>
          <t>100แผ่น</t>
        </is>
      </c>
      <c r="D1105" s="9" t="n">
        <v>7</v>
      </c>
      <c r="H1105" s="9" t="n">
        <v>700</v>
      </c>
      <c r="I1105" s="10" t="inlineStr">
        <is>
          <t>ออโต้ สมาร์ท</t>
        </is>
      </c>
      <c r="J1105" s="161" t="n">
        <v>23868</v>
      </c>
      <c r="K1105" s="8" t="n">
        <v>202205057</v>
      </c>
      <c r="L1105" s="8" t="inlineStr">
        <is>
          <t>ราคาที่ลง ยังไม่รวมภาษี</t>
        </is>
      </c>
    </row>
    <row r="1106">
      <c r="B1106" s="6" t="inlineStr">
        <is>
          <t>กระดาษทรายเหลี่ยมขัดน้ำ 230มม.*280มม. เบอร์ 120</t>
        </is>
      </c>
      <c r="C1106" s="8" t="inlineStr">
        <is>
          <t>100แผ่น</t>
        </is>
      </c>
      <c r="D1106" s="9" t="n">
        <v>7</v>
      </c>
      <c r="H1106" s="9" t="n">
        <v>700</v>
      </c>
      <c r="I1106" s="10" t="inlineStr">
        <is>
          <t>ออโต้ สมาร์ท</t>
        </is>
      </c>
      <c r="J1106" s="161" t="n">
        <v>23888</v>
      </c>
      <c r="K1106" s="8" t="n">
        <v>202205231</v>
      </c>
      <c r="L1106" s="8" t="inlineStr">
        <is>
          <t>ราคาที่ลง ยังไม่รวมภาษี</t>
        </is>
      </c>
    </row>
    <row r="1107">
      <c r="A1107" s="75" t="inlineStr">
        <is>
          <t>โปรซื้อ 11-19แพ็ค ลด 30%</t>
        </is>
      </c>
      <c r="B1107" s="6" t="inlineStr">
        <is>
          <t>กระดาษทรายเหลี่ยมขัดน้ำ 230มม.*280มม. เบอร์ 120 ตราม้าส้ม</t>
        </is>
      </c>
      <c r="C1107" s="8" t="inlineStr">
        <is>
          <t>4แพ็ค</t>
        </is>
      </c>
      <c r="D1107" s="9" t="n">
        <v>700</v>
      </c>
      <c r="F1107" s="17" t="n">
        <v>0.35</v>
      </c>
      <c r="H1107" s="9" t="n">
        <v>1820</v>
      </c>
      <c r="I1107" s="10" t="inlineStr">
        <is>
          <t>ออโต้เทรด มาร์เก็ตติ้ง</t>
        </is>
      </c>
      <c r="J1107" s="161" t="n">
        <v>24084</v>
      </c>
      <c r="K1107" s="8" t="inlineStr">
        <is>
          <t>IV1425090</t>
        </is>
      </c>
      <c r="L1107" s="8" t="inlineStr">
        <is>
          <t>ราคาที่ลง ยังไม่รวมภาษี</t>
        </is>
      </c>
    </row>
    <row r="1108">
      <c r="A1108" s="75" t="inlineStr">
        <is>
          <t>โปรซื้อ 20แพ็ค ลด 35%</t>
        </is>
      </c>
      <c r="B1108" s="6" t="inlineStr">
        <is>
          <t>กระดาษทรายเหลี่ยมขัดน้ำ 230มม.*280มม. เบอร์ 120 ตราม้าส้ม</t>
        </is>
      </c>
      <c r="C1108" s="8" t="inlineStr">
        <is>
          <t>5แพ็ค</t>
        </is>
      </c>
      <c r="D1108" s="9" t="n">
        <v>700</v>
      </c>
      <c r="F1108" s="17" t="n">
        <v>0.3</v>
      </c>
      <c r="H1108" s="9" t="n">
        <v>2450</v>
      </c>
      <c r="I1108" s="10" t="inlineStr">
        <is>
          <t>ออโต้เทรด มาร์เก็ตติ้ง</t>
        </is>
      </c>
      <c r="J1108" s="161" t="n">
        <v>24202</v>
      </c>
      <c r="K1108" s="8" t="inlineStr">
        <is>
          <t>IV1430190</t>
        </is>
      </c>
      <c r="L1108" s="8" t="inlineStr">
        <is>
          <t>ราคาที่ลง ยังไม่รวมภาษี</t>
        </is>
      </c>
    </row>
    <row r="1109">
      <c r="B1109" s="6" t="inlineStr">
        <is>
          <t>กระดาษทรายเหลี่ยมขัดน้ำ 230มม.*280มม. เบอร์ 120</t>
        </is>
      </c>
      <c r="C1109" s="8" t="n">
        <v>400</v>
      </c>
      <c r="D1109" s="9" t="n">
        <v>7</v>
      </c>
      <c r="F1109" s="8" t="n">
        <v>30</v>
      </c>
      <c r="H1109" s="9">
        <f>SUM(C1109*D1109*0.7)</f>
        <v/>
      </c>
      <c r="I1109" s="10" t="inlineStr">
        <is>
          <t>ออโต้ สมาร์ท</t>
        </is>
      </c>
      <c r="J1109" s="161" t="n">
        <v>24429</v>
      </c>
      <c r="K1109" s="8" t="inlineStr">
        <is>
          <t>IV1440657</t>
        </is>
      </c>
      <c r="L1109" s="8" t="inlineStr">
        <is>
          <t>ราคาที่ลง ยังไม่รวมภาษี</t>
        </is>
      </c>
    </row>
    <row r="1110">
      <c r="B1110" s="6" t="inlineStr">
        <is>
          <t>กระดาษทรายเหลี่ยมขัดน้ำ 230มม.*280มม. เบอร์ 120</t>
        </is>
      </c>
      <c r="C1110" s="8" t="n">
        <v>100</v>
      </c>
      <c r="D1110" s="9" t="n">
        <v>7</v>
      </c>
      <c r="F1110" s="8" t="n">
        <v>35</v>
      </c>
      <c r="H1110" s="9">
        <f>SUM(C1110*D1110*0.65)</f>
        <v/>
      </c>
      <c r="I1110" s="10" t="inlineStr">
        <is>
          <t>ออโต้ สมาร์ท</t>
        </is>
      </c>
      <c r="J1110" s="161" t="n">
        <v>24710</v>
      </c>
      <c r="K1110" s="8" t="inlineStr">
        <is>
          <t>IV1453250</t>
        </is>
      </c>
      <c r="L1110" s="8" t="inlineStr">
        <is>
          <t>ราคาที่ลง ยังไม่รวมภาษี</t>
        </is>
      </c>
    </row>
    <row r="1111">
      <c r="A1111" s="68" t="n"/>
      <c r="B1111" s="6" t="inlineStr">
        <is>
          <t>กระดาษทรายเหลี่ยมขัดน้ำ 230มม.*280มม. เบอร์ 120 (จำนวนแพ็ค)</t>
        </is>
      </c>
      <c r="C1111" s="8" t="n">
        <v>3</v>
      </c>
      <c r="D1111" s="9" t="n">
        <v>700</v>
      </c>
      <c r="E1111" s="9">
        <f>SUM(C1111*D1111)</f>
        <v/>
      </c>
      <c r="F1111" s="17" t="n">
        <v>0.35</v>
      </c>
      <c r="G1111" s="10" t="inlineStr">
        <is>
          <t>รวม VAT =</t>
        </is>
      </c>
      <c r="H1111" s="9">
        <f>SUM(E1111*O1111/N1111*P1111)</f>
        <v/>
      </c>
      <c r="I1111" s="10" t="inlineStr">
        <is>
          <t>ออโต้เทรด</t>
        </is>
      </c>
      <c r="J1111" s="161" t="n">
        <v>24996</v>
      </c>
      <c r="K1111" s="8" t="inlineStr">
        <is>
          <t>IV1466221</t>
        </is>
      </c>
      <c r="L1111" s="8" t="inlineStr">
        <is>
          <t>ราคารวม VAT แล้ว</t>
        </is>
      </c>
      <c r="N1111" s="6" t="n">
        <v>100</v>
      </c>
      <c r="O1111" s="6" t="n">
        <v>107</v>
      </c>
      <c r="P1111" s="6" t="n">
        <v>0.65</v>
      </c>
    </row>
    <row r="1113">
      <c r="B1113" s="6" t="inlineStr">
        <is>
          <t>กระดาษทรายเหลี่ยมขัดน้ำ 230มม.*280มม. เบอร์ 150</t>
        </is>
      </c>
      <c r="C1113" s="8" t="inlineStr">
        <is>
          <t>100แผ่น</t>
        </is>
      </c>
      <c r="D1113" s="9" t="n">
        <v>7</v>
      </c>
      <c r="H1113" s="9" t="n">
        <v>700</v>
      </c>
      <c r="I1113" s="10" t="inlineStr">
        <is>
          <t>ออโต้ สมาร์ท</t>
        </is>
      </c>
      <c r="J1113" s="161" t="n">
        <v>22849</v>
      </c>
      <c r="L1113" s="8" t="inlineStr">
        <is>
          <t>ราคาที่ลง ยังไม่รวมภาษี</t>
        </is>
      </c>
    </row>
    <row r="1114">
      <c r="B1114" s="6" t="inlineStr">
        <is>
          <t>กระดาษทรายเหลี่ยมขัดน้ำ 230มม.*280มม. เบอร์ 150</t>
        </is>
      </c>
      <c r="C1114" s="8" t="inlineStr">
        <is>
          <t>100แผ่น</t>
        </is>
      </c>
      <c r="D1114" s="9" t="n">
        <v>7</v>
      </c>
      <c r="H1114" s="9" t="n">
        <v>700</v>
      </c>
      <c r="I1114" s="10" t="inlineStr">
        <is>
          <t>ออโต้ สมาร์ท</t>
        </is>
      </c>
      <c r="J1114" s="161" t="n">
        <v>22871</v>
      </c>
      <c r="L1114" s="8" t="inlineStr">
        <is>
          <t>ราคาที่ลง ยังไม่รวมภาษี</t>
        </is>
      </c>
    </row>
    <row r="1115">
      <c r="B1115" s="6" t="inlineStr">
        <is>
          <t>กระดาษทรายเหลี่ยมขัดน้ำ 230มม.*280มม. เบอร์ 150</t>
        </is>
      </c>
      <c r="C1115" s="8" t="inlineStr">
        <is>
          <t>100แผ่น</t>
        </is>
      </c>
      <c r="D1115" s="9" t="n">
        <v>7</v>
      </c>
      <c r="H1115" s="9" t="n">
        <v>700</v>
      </c>
      <c r="I1115" s="10" t="inlineStr">
        <is>
          <t>ออโต้ สมาร์ท</t>
        </is>
      </c>
      <c r="J1115" s="161" t="n">
        <v>22882</v>
      </c>
      <c r="L1115" s="8" t="inlineStr">
        <is>
          <t>ราคาที่ลง ยังไม่รวมภาษี</t>
        </is>
      </c>
    </row>
    <row r="1116">
      <c r="B1116" s="6" t="inlineStr">
        <is>
          <t>กระดาษทรายเหลี่ยมขัดน้ำ 230มม.*280มม. เบอร์ 150 -- แถมฟรี</t>
        </is>
      </c>
      <c r="C1116" s="8" t="inlineStr">
        <is>
          <t>100แผ่น</t>
        </is>
      </c>
      <c r="I1116" s="10" t="inlineStr">
        <is>
          <t>ออโต้ สมาร์ท</t>
        </is>
      </c>
      <c r="J1116" s="161" t="n">
        <v>22997</v>
      </c>
      <c r="L1116" s="8" t="inlineStr">
        <is>
          <t>ราคาที่ลง ยังไม่รวมภาษี</t>
        </is>
      </c>
    </row>
    <row r="1117">
      <c r="B1117" s="6" t="inlineStr">
        <is>
          <t>กระดาษทรายเหลี่ยมขัดน้ำ 230มม.*280มม. เบอร์ 150</t>
        </is>
      </c>
      <c r="C1117" s="8" t="inlineStr">
        <is>
          <t>100แผ่น</t>
        </is>
      </c>
      <c r="D1117" s="9" t="n">
        <v>7</v>
      </c>
      <c r="H1117" s="9" t="n">
        <v>700</v>
      </c>
      <c r="I1117" s="10" t="inlineStr">
        <is>
          <t>ออโต้ สมาร์ท</t>
        </is>
      </c>
      <c r="J1117" s="161" t="n">
        <v>23087</v>
      </c>
      <c r="L1117" s="8" t="inlineStr">
        <is>
          <t>ราคาที่ลง ยังไม่รวมภาษี</t>
        </is>
      </c>
    </row>
    <row r="1118">
      <c r="B1118" s="6" t="inlineStr">
        <is>
          <t>กระดาษทรายเหลี่ยมขัดน้ำ 230มม.*280มม. เบอร์ 150</t>
        </is>
      </c>
      <c r="C1118" s="8" t="inlineStr">
        <is>
          <t>100แผ่น</t>
        </is>
      </c>
      <c r="D1118" s="9" t="n">
        <v>7</v>
      </c>
      <c r="H1118" s="9" t="n">
        <v>700</v>
      </c>
      <c r="I1118" s="10" t="inlineStr">
        <is>
          <t>ออโต้ สมาร์ท</t>
        </is>
      </c>
      <c r="J1118" s="161" t="n">
        <v>23110</v>
      </c>
      <c r="L1118" s="8" t="inlineStr">
        <is>
          <t>ราคาที่ลง ยังไม่รวมภาษี</t>
        </is>
      </c>
    </row>
    <row r="1119">
      <c r="B1119" s="6" t="inlineStr">
        <is>
          <t>กระดาษทรายเหลี่ยมขัดน้ำ 230มม.*280มม. เบอร์ 150</t>
        </is>
      </c>
      <c r="C1119" s="8" t="inlineStr">
        <is>
          <t>100แผ่น</t>
        </is>
      </c>
      <c r="D1119" s="9" t="n">
        <v>7</v>
      </c>
      <c r="H1119" s="9" t="n">
        <v>700</v>
      </c>
      <c r="I1119" s="10" t="inlineStr">
        <is>
          <t>ออโต้ สมาร์ท</t>
        </is>
      </c>
      <c r="J1119" s="161" t="n">
        <v>23151</v>
      </c>
      <c r="L1119" s="8" t="inlineStr">
        <is>
          <t>ราคาที่ลง ยังไม่รวมภาษี</t>
        </is>
      </c>
    </row>
    <row r="1120">
      <c r="B1120" s="6" t="inlineStr">
        <is>
          <t>กระดาษทรายเหลี่ยมขัดน้ำ 230มม.*280มม. เบอร์ 150</t>
        </is>
      </c>
      <c r="C1120" s="8" t="inlineStr">
        <is>
          <t>100แผ่น</t>
        </is>
      </c>
      <c r="D1120" s="9" t="n">
        <v>7</v>
      </c>
      <c r="H1120" s="9" t="n">
        <v>700</v>
      </c>
      <c r="I1120" s="10" t="inlineStr">
        <is>
          <t>ออโต้ สมาร์ท</t>
        </is>
      </c>
      <c r="J1120" s="161" t="n">
        <v>23172</v>
      </c>
      <c r="L1120" s="8" t="inlineStr">
        <is>
          <t>ราคาที่ลง ยังไม่รวมภาษี</t>
        </is>
      </c>
    </row>
    <row r="1121">
      <c r="B1121" s="6" t="inlineStr">
        <is>
          <t>กระดาษทรายเหลี่ยมขัดน้ำ 230มม.*280มม. เบอร์ 150</t>
        </is>
      </c>
      <c r="C1121" s="8" t="inlineStr">
        <is>
          <t>100แผ่น</t>
        </is>
      </c>
      <c r="D1121" s="9" t="n">
        <v>7</v>
      </c>
      <c r="H1121" s="9" t="n">
        <v>700</v>
      </c>
      <c r="I1121" s="10" t="inlineStr">
        <is>
          <t>ออโต้ สมาร์ท</t>
        </is>
      </c>
      <c r="J1121" s="161" t="n">
        <v>23202</v>
      </c>
      <c r="L1121" s="8" t="inlineStr">
        <is>
          <t>ราคาที่ลง ยังไม่รวมภาษี</t>
        </is>
      </c>
    </row>
    <row r="1122">
      <c r="B1122" s="6" t="inlineStr">
        <is>
          <t>กระดาษทรายเหลี่ยมขัดน้ำ 230มม.*280มม. เบอร์ 150</t>
        </is>
      </c>
      <c r="C1122" s="8" t="inlineStr">
        <is>
          <t>100แผ่น</t>
        </is>
      </c>
      <c r="D1122" s="9" t="n">
        <v>7</v>
      </c>
      <c r="H1122" s="9" t="n">
        <v>700</v>
      </c>
      <c r="I1122" s="10" t="inlineStr">
        <is>
          <t>ออโต้ สมาร์ท</t>
        </is>
      </c>
      <c r="J1122" s="161" t="n">
        <v>23230</v>
      </c>
      <c r="L1122" s="8" t="inlineStr">
        <is>
          <t>ราคาที่ลง ยังไม่รวมภาษี</t>
        </is>
      </c>
    </row>
    <row r="1123">
      <c r="B1123" s="6" t="inlineStr">
        <is>
          <t>กระดาษทรายเหลี่ยมขัดน้ำ 230มม.*280มม. เบอร์ 150 -- แถมฟรี</t>
        </is>
      </c>
      <c r="C1123" s="8" t="inlineStr">
        <is>
          <t>100แผ่น</t>
        </is>
      </c>
      <c r="I1123" s="10" t="inlineStr">
        <is>
          <t>ออโต้ สมาร์ท</t>
        </is>
      </c>
      <c r="J1123" s="161" t="n">
        <v>23254</v>
      </c>
      <c r="L1123" s="8" t="inlineStr">
        <is>
          <t>ราคาที่ลง ยังไม่รวมภาษี</t>
        </is>
      </c>
    </row>
    <row r="1124">
      <c r="B1124" s="6" t="inlineStr">
        <is>
          <t>กระดาษทรายเหลี่ยมขัดน้ำ 230มม.*280มม. เบอร์ 150</t>
        </is>
      </c>
      <c r="C1124" s="8" t="inlineStr">
        <is>
          <t>100แผ่น</t>
        </is>
      </c>
      <c r="D1124" s="9" t="n">
        <v>7</v>
      </c>
      <c r="H1124" s="9" t="n">
        <v>700</v>
      </c>
      <c r="I1124" s="10" t="inlineStr">
        <is>
          <t>ออโต้ สมาร์ท</t>
        </is>
      </c>
      <c r="J1124" s="161" t="n">
        <v>23279</v>
      </c>
      <c r="L1124" s="8" t="inlineStr">
        <is>
          <t>ราคาที่ลง ยังไม่รวมภาษี</t>
        </is>
      </c>
    </row>
    <row r="1125">
      <c r="B1125" s="6" t="inlineStr">
        <is>
          <t>กระดาษทรายเหลี่ยมขัดน้ำ 230มม.*280มม. เบอร์ 150</t>
        </is>
      </c>
      <c r="C1125" s="8" t="inlineStr">
        <is>
          <t>100แผ่น</t>
        </is>
      </c>
      <c r="D1125" s="9" t="n">
        <v>7</v>
      </c>
      <c r="H1125" s="9" t="n">
        <v>700</v>
      </c>
      <c r="I1125" s="10" t="inlineStr">
        <is>
          <t>ออโต้ สมาร์ท</t>
        </is>
      </c>
      <c r="J1125" s="161" t="n">
        <v>23322</v>
      </c>
      <c r="L1125" s="8" t="inlineStr">
        <is>
          <t>ราคาที่ลง ยังไม่รวมภาษี</t>
        </is>
      </c>
    </row>
    <row r="1126">
      <c r="B1126" s="6" t="inlineStr">
        <is>
          <t>กระดาษทรายเหลี่ยมขัดน้ำ 230มม.*280มม. เบอร์ 150</t>
        </is>
      </c>
      <c r="C1126" s="8" t="inlineStr">
        <is>
          <t>100แผ่น</t>
        </is>
      </c>
      <c r="D1126" s="9" t="n">
        <v>7</v>
      </c>
      <c r="H1126" s="9" t="n">
        <v>700</v>
      </c>
      <c r="I1126" s="10" t="inlineStr">
        <is>
          <t>ออโต้ สมาร์ท</t>
        </is>
      </c>
      <c r="J1126" s="161" t="n">
        <v>23387</v>
      </c>
      <c r="L1126" s="8" t="inlineStr">
        <is>
          <t>ราคาที่ลง ยังไม่รวมภาษี</t>
        </is>
      </c>
    </row>
    <row r="1127">
      <c r="B1127" s="6" t="inlineStr">
        <is>
          <t>กระดาษทรายเหลี่ยมขัดน้ำ 230มม.*280มม. เบอร์ 150</t>
        </is>
      </c>
      <c r="C1127" s="8" t="inlineStr">
        <is>
          <t>100แผ่น</t>
        </is>
      </c>
      <c r="D1127" s="9" t="n">
        <v>7</v>
      </c>
      <c r="H1127" s="9" t="n">
        <v>700</v>
      </c>
      <c r="I1127" s="10" t="inlineStr">
        <is>
          <t>ออโต้ สมาร์ท</t>
        </is>
      </c>
      <c r="J1127" s="161" t="n">
        <v>23399</v>
      </c>
      <c r="L1127" s="8" t="inlineStr">
        <is>
          <t>ราคาที่ลง ยังไม่รวมภาษี</t>
        </is>
      </c>
    </row>
    <row r="1128">
      <c r="B1128" s="6" t="inlineStr">
        <is>
          <t>กระดาษทรายเหลี่ยมขัดน้ำ 230มม.*280มม. เบอร์ 150</t>
        </is>
      </c>
      <c r="C1128" s="8" t="inlineStr">
        <is>
          <t>100แผ่น</t>
        </is>
      </c>
      <c r="D1128" s="9" t="n">
        <v>7</v>
      </c>
      <c r="H1128" s="9" t="n">
        <v>700</v>
      </c>
      <c r="I1128" s="10" t="inlineStr">
        <is>
          <t>ออโต้ สมาร์ท</t>
        </is>
      </c>
      <c r="J1128" s="161" t="n">
        <v>23411</v>
      </c>
      <c r="L1128" s="8" t="inlineStr">
        <is>
          <t>ราคาที่ลง ยังไม่รวมภาษี</t>
        </is>
      </c>
    </row>
    <row r="1129">
      <c r="B1129" s="6" t="inlineStr">
        <is>
          <t>กระดาษทรายเหลี่ยมขัดน้ำ 230มม.*280มม. เบอร์ 150</t>
        </is>
      </c>
      <c r="C1129" s="8" t="inlineStr">
        <is>
          <t>100แผ่น</t>
        </is>
      </c>
      <c r="D1129" s="9" t="n">
        <v>7</v>
      </c>
      <c r="H1129" s="9" t="n">
        <v>700</v>
      </c>
      <c r="I1129" s="10" t="inlineStr">
        <is>
          <t>ออโต้ สมาร์ท</t>
        </is>
      </c>
      <c r="J1129" s="161" t="n">
        <v>23442</v>
      </c>
      <c r="L1129" s="8" t="inlineStr">
        <is>
          <t>ราคาที่ลง ยังไม่รวมภาษี</t>
        </is>
      </c>
    </row>
    <row r="1130">
      <c r="B1130" s="6" t="inlineStr">
        <is>
          <t>กระดาษทรายเหลี่ยมขัดน้ำ 230มม.*280มม. เบอร์ 150  -- แถมฟรี</t>
        </is>
      </c>
      <c r="C1130" s="8" t="inlineStr">
        <is>
          <t>100แผ่น</t>
        </is>
      </c>
      <c r="H1130" s="16" t="inlineStr">
        <is>
          <t>ได้โปรแถมฟรี</t>
        </is>
      </c>
      <c r="I1130" s="10" t="inlineStr">
        <is>
          <t>ออโต้ สมาร์ท</t>
        </is>
      </c>
      <c r="J1130" s="161" t="n">
        <v>23455</v>
      </c>
      <c r="L1130" s="8" t="inlineStr">
        <is>
          <t>ราคาที่ลง ยังไม่รวมภาษี</t>
        </is>
      </c>
    </row>
    <row r="1131">
      <c r="B1131" s="6" t="inlineStr">
        <is>
          <t>กระดาษทรายเหลี่ยมขัดน้ำ 230มม.*280มม. เบอร์ 150</t>
        </is>
      </c>
      <c r="C1131" s="8" t="inlineStr">
        <is>
          <t>100แผ่น</t>
        </is>
      </c>
      <c r="D1131" s="9" t="n">
        <v>7</v>
      </c>
      <c r="H1131" s="9" t="n">
        <v>700</v>
      </c>
      <c r="I1131" s="10" t="inlineStr">
        <is>
          <t>ออโต้ สมาร์ท</t>
        </is>
      </c>
      <c r="J1131" s="161" t="n">
        <v>23503</v>
      </c>
      <c r="L1131" s="8" t="inlineStr">
        <is>
          <t>ราคาที่ลง ยังไม่รวมภาษี</t>
        </is>
      </c>
    </row>
    <row r="1132">
      <c r="B1132" s="6" t="inlineStr">
        <is>
          <t>กระดาษทรายเหลี่ยมขัดน้ำ 230มม.*280มม. เบอร์ 150</t>
        </is>
      </c>
      <c r="C1132" s="8" t="inlineStr">
        <is>
          <t>100แผ่น</t>
        </is>
      </c>
      <c r="D1132" s="9" t="n">
        <v>7</v>
      </c>
      <c r="H1132" s="9" t="n">
        <v>700</v>
      </c>
      <c r="I1132" s="10" t="inlineStr">
        <is>
          <t>ออโต้ สมาร์ท</t>
        </is>
      </c>
      <c r="J1132" s="161" t="n">
        <v>23571</v>
      </c>
      <c r="L1132" s="8" t="inlineStr">
        <is>
          <t>ราคาที่ลง ยังไม่รวมภาษี</t>
        </is>
      </c>
    </row>
    <row r="1133">
      <c r="B1133" s="6" t="inlineStr">
        <is>
          <t>กระดาษทรายเหลี่ยมขัดน้ำ 230มม.*280มม. เบอร์ 150</t>
        </is>
      </c>
      <c r="C1133" s="8" t="inlineStr">
        <is>
          <t>100แผ่น</t>
        </is>
      </c>
      <c r="D1133" s="9" t="n">
        <v>7</v>
      </c>
      <c r="H1133" s="9" t="n">
        <v>700</v>
      </c>
      <c r="I1133" s="10" t="inlineStr">
        <is>
          <t>ออโต้ สมาร์ท</t>
        </is>
      </c>
      <c r="J1133" s="161" t="n">
        <v>23598</v>
      </c>
      <c r="L1133" s="8" t="inlineStr">
        <is>
          <t>ราคาที่ลง ยังไม่รวมภาษี</t>
        </is>
      </c>
    </row>
    <row r="1134">
      <c r="B1134" s="6" t="inlineStr">
        <is>
          <t>กระดาษทรายเหลี่ยมขัดน้ำ 230มม.*280มม. เบอร์ 150</t>
        </is>
      </c>
      <c r="C1134" s="8" t="inlineStr">
        <is>
          <t>100แผ่น</t>
        </is>
      </c>
      <c r="D1134" s="9" t="n">
        <v>7</v>
      </c>
      <c r="H1134" s="9" t="n">
        <v>700</v>
      </c>
      <c r="I1134" s="10" t="inlineStr">
        <is>
          <t>ออโต้ สมาร์ท</t>
        </is>
      </c>
      <c r="J1134" s="161" t="n">
        <v>23620</v>
      </c>
      <c r="K1134" s="8" t="n">
        <v>202108203</v>
      </c>
      <c r="L1134" s="8" t="inlineStr">
        <is>
          <t>ราคาที่ลง ยังไม่รวมภาษี</t>
        </is>
      </c>
    </row>
    <row r="1135">
      <c r="B1135" s="6" t="inlineStr">
        <is>
          <t>กระดาษทรายเหลี่ยมขัดน้ำ 230มม.*280มม. เบอร์ 150  -- แถมฟรี</t>
        </is>
      </c>
      <c r="C1135" s="8" t="inlineStr">
        <is>
          <t>100แผ่น</t>
        </is>
      </c>
      <c r="H1135" s="16" t="inlineStr">
        <is>
          <t>ได้โปรแถมฟรี</t>
        </is>
      </c>
      <c r="I1135" s="10" t="inlineStr">
        <is>
          <t>ออโต้ สมาร์ท</t>
        </is>
      </c>
      <c r="J1135" s="161" t="n">
        <v>23643</v>
      </c>
      <c r="K1135" s="8" t="n">
        <v>202109165</v>
      </c>
      <c r="L1135" s="8" t="inlineStr">
        <is>
          <t>ราคาที่ลง ยังไม่รวมภาษี</t>
        </is>
      </c>
    </row>
    <row r="1136">
      <c r="B1136" s="6" t="inlineStr">
        <is>
          <t>กระดาษทรายเหลี่ยมขัดน้ำ 230มม.*280มม. เบอร์ 150</t>
        </is>
      </c>
      <c r="C1136" s="8" t="inlineStr">
        <is>
          <t>200แผ่น</t>
        </is>
      </c>
      <c r="D1136" s="9" t="n">
        <v>7</v>
      </c>
      <c r="H1136" s="9" t="n">
        <v>1400</v>
      </c>
      <c r="I1136" s="10" t="inlineStr">
        <is>
          <t>ออโต้ สมาร์ท</t>
        </is>
      </c>
      <c r="J1136" s="161" t="n">
        <v>23787</v>
      </c>
      <c r="K1136" s="8" t="n">
        <v>202202131</v>
      </c>
      <c r="L1136" s="8" t="inlineStr">
        <is>
          <t>ราคาที่ลง ยังไม่รวมภาษี</t>
        </is>
      </c>
    </row>
    <row r="1137">
      <c r="B1137" s="6" t="inlineStr">
        <is>
          <t>กระดาษทรายเหลี่ยมขัดน้ำ 230มม.*280มม. เบอร์ 150</t>
        </is>
      </c>
      <c r="C1137" s="8" t="inlineStr">
        <is>
          <t>200แผ่น</t>
        </is>
      </c>
      <c r="D1137" s="9" t="n">
        <v>7</v>
      </c>
      <c r="H1137" s="9" t="n">
        <v>700</v>
      </c>
      <c r="I1137" s="10" t="inlineStr">
        <is>
          <t>ออโต้ สมาร์ท</t>
        </is>
      </c>
      <c r="J1137" s="161" t="n">
        <v>23868</v>
      </c>
      <c r="K1137" s="8" t="n">
        <v>202205057</v>
      </c>
      <c r="L1137" s="8" t="inlineStr">
        <is>
          <t>ราคาที่ลง ยังไม่รวมภาษี</t>
        </is>
      </c>
    </row>
    <row r="1138">
      <c r="B1138" s="6" t="inlineStr">
        <is>
          <t>กระดาษทรายเหลี่ยมขัดน้ำ 230มม.*280มม. เบอร์ 150</t>
        </is>
      </c>
      <c r="C1138" s="8" t="inlineStr">
        <is>
          <t>300แผ่น</t>
        </is>
      </c>
      <c r="D1138" s="9" t="n">
        <v>7</v>
      </c>
      <c r="F1138" s="17" t="n">
        <v>0.35</v>
      </c>
      <c r="H1138" s="9" t="n">
        <v>1365</v>
      </c>
      <c r="I1138" s="10" t="inlineStr">
        <is>
          <t>ออโต้เทรด มาร์เก็ตติ้ง</t>
        </is>
      </c>
      <c r="J1138" s="161" t="n">
        <v>23907</v>
      </c>
      <c r="K1138" s="8" t="inlineStr">
        <is>
          <t>IV1417481</t>
        </is>
      </c>
      <c r="L1138" s="8" t="inlineStr">
        <is>
          <t>ราคาที่ลง ยังไม่รวมภาษี</t>
        </is>
      </c>
    </row>
    <row r="1139">
      <c r="B1139" s="6" t="inlineStr">
        <is>
          <t xml:space="preserve">กระดาษทรายเหลี่ยมขัดน้ำ 230มม.*280มม. เบอร์ 150 ตราม้าส้ม </t>
        </is>
      </c>
      <c r="C1139" s="8" t="inlineStr">
        <is>
          <t>300แผ่น</t>
        </is>
      </c>
      <c r="D1139" s="9" t="n">
        <v>7</v>
      </c>
      <c r="F1139" s="17" t="n">
        <v>0.35</v>
      </c>
      <c r="H1139" s="9" t="n">
        <v>1365</v>
      </c>
      <c r="I1139" s="10" t="inlineStr">
        <is>
          <t>ออโต้เทรด มาร์เก็ตติ้ง</t>
        </is>
      </c>
      <c r="J1139" s="161" t="n">
        <v>23997</v>
      </c>
      <c r="K1139" s="8" t="inlineStr">
        <is>
          <t>IV1421363</t>
        </is>
      </c>
      <c r="L1139" s="8" t="inlineStr">
        <is>
          <t>ราคาที่ลง ยังไม่รวมภาษี</t>
        </is>
      </c>
    </row>
    <row r="1140">
      <c r="B1140" s="6" t="inlineStr">
        <is>
          <t xml:space="preserve">กระดาษทรายเหลี่ยมขัดน้ำ 230มม.*280มม. เบอร์ 150 ตราม้าส้ม </t>
        </is>
      </c>
      <c r="C1140" s="8" t="inlineStr">
        <is>
          <t>3แพ็ค</t>
        </is>
      </c>
      <c r="D1140" s="9" t="n">
        <v>700</v>
      </c>
      <c r="F1140" s="17" t="n">
        <v>0.35</v>
      </c>
      <c r="H1140" s="9" t="n">
        <v>1365</v>
      </c>
      <c r="I1140" s="10" t="inlineStr">
        <is>
          <t>ออโต้เทรด มาร์เก็ตติ้ง</t>
        </is>
      </c>
      <c r="J1140" s="161" t="n">
        <v>24084</v>
      </c>
      <c r="K1140" s="8" t="inlineStr">
        <is>
          <t>IV1425090</t>
        </is>
      </c>
      <c r="L1140" s="8" t="inlineStr">
        <is>
          <t>ราคาที่ลง ยังไม่รวมภาษี</t>
        </is>
      </c>
    </row>
    <row r="1141">
      <c r="B1141" s="6" t="inlineStr">
        <is>
          <t xml:space="preserve">กระดาษทรายเหลี่ยมขัดน้ำ 230มม.*280มม. เบอร์ 150 ตราม้าส้ม </t>
        </is>
      </c>
      <c r="C1141" s="8" t="n">
        <v>400</v>
      </c>
      <c r="D1141" s="9" t="n">
        <v>7</v>
      </c>
      <c r="F1141" s="17" t="n">
        <v>0.3</v>
      </c>
      <c r="H1141" s="9">
        <f>SUM(C1141*D1141*0.7)</f>
        <v/>
      </c>
      <c r="I1141" s="10" t="inlineStr">
        <is>
          <t>ออโต้เทรด มาร์เก็ตติ้ง</t>
        </is>
      </c>
      <c r="J1141" s="161" t="n">
        <v>24516</v>
      </c>
      <c r="K1141" s="8" t="inlineStr">
        <is>
          <t>IV1444437</t>
        </is>
      </c>
      <c r="L1141" s="8" t="inlineStr">
        <is>
          <t>ราคาที่ลง ยังไม่รวมภาษี</t>
        </is>
      </c>
    </row>
    <row r="1142">
      <c r="B1142" s="6" t="inlineStr">
        <is>
          <t xml:space="preserve">กระดาษทรายเหลี่ยมขัดน้ำ 230มม.*280มม. เบอร์ 150 ตราม้าส้ม </t>
        </is>
      </c>
      <c r="C1142" s="8" t="n">
        <v>100</v>
      </c>
      <c r="D1142" s="9" t="n">
        <v>7</v>
      </c>
      <c r="F1142" s="17" t="n">
        <v>0.3</v>
      </c>
      <c r="G1142" s="10">
        <f>SUM(C1142*D1142*0.65)</f>
        <v/>
      </c>
      <c r="H1142" s="9">
        <f>SUM(G1142*107/100)</f>
        <v/>
      </c>
      <c r="I1142" s="10" t="inlineStr">
        <is>
          <t>ออโต้เทรด มาร์เก็ตติ้ง</t>
        </is>
      </c>
      <c r="J1142" s="161" t="n">
        <v>25135</v>
      </c>
      <c r="K1142" s="8" t="inlineStr">
        <is>
          <t>IV1472726</t>
        </is>
      </c>
      <c r="L1142" s="8" t="inlineStr">
        <is>
          <t>ราคาที่ลง ยังไม่รวมภาษี</t>
        </is>
      </c>
    </row>
    <row r="1144">
      <c r="B1144" s="6" t="inlineStr">
        <is>
          <t>กระดาษทรายน้ำ Oslong 9"x11" เบอร์ 320</t>
        </is>
      </c>
      <c r="C1144" s="8" t="inlineStr">
        <is>
          <t>100แผ่น</t>
        </is>
      </c>
      <c r="D1144" s="9" t="n">
        <v>7.5</v>
      </c>
      <c r="H1144" s="9" t="n">
        <v>750</v>
      </c>
      <c r="I1144" s="10" t="inlineStr">
        <is>
          <t>เบรนเวิคส์</t>
        </is>
      </c>
      <c r="J1144" s="161" t="n">
        <v>22423</v>
      </c>
      <c r="L1144" s="8" t="inlineStr">
        <is>
          <t>ราคาที่ลง ยังไม่รวมภาษี</t>
        </is>
      </c>
    </row>
    <row r="1145">
      <c r="B1145" s="6" t="inlineStr">
        <is>
          <t>กระดาษทรายเหลี่ยมขัดน้ำ 230มม.*280มม. เบอร์ 320</t>
        </is>
      </c>
      <c r="C1145" s="8" t="inlineStr">
        <is>
          <t>100แผ่น</t>
        </is>
      </c>
      <c r="D1145" s="9" t="n">
        <v>7</v>
      </c>
      <c r="H1145" s="9" t="n">
        <v>700</v>
      </c>
      <c r="I1145" s="10" t="inlineStr">
        <is>
          <t>ออโต้ สมาร์ท</t>
        </is>
      </c>
      <c r="J1145" s="161" t="n">
        <v>22840</v>
      </c>
      <c r="L1145" s="8" t="inlineStr">
        <is>
          <t>ราคาที่ลง ยังไม่รวมภาษี</t>
        </is>
      </c>
    </row>
    <row r="1146">
      <c r="B1146" s="6" t="inlineStr">
        <is>
          <t>กระดาษทรายเหลี่ยมขัดน้ำ 230มม.*280มม. เบอร์ 320</t>
        </is>
      </c>
      <c r="C1146" s="8" t="inlineStr">
        <is>
          <t>100แผ่น</t>
        </is>
      </c>
      <c r="D1146" s="9" t="n">
        <v>7</v>
      </c>
      <c r="H1146" s="9" t="n">
        <v>700</v>
      </c>
      <c r="I1146" s="10" t="inlineStr">
        <is>
          <t>ออโต้ สมาร์ท</t>
        </is>
      </c>
      <c r="J1146" s="161" t="n">
        <v>22863</v>
      </c>
      <c r="L1146" s="8" t="inlineStr">
        <is>
          <t>ราคาที่ลง ยังไม่รวมภาษี</t>
        </is>
      </c>
    </row>
    <row r="1147">
      <c r="B1147" s="6" t="inlineStr">
        <is>
          <t>กระดาษทรายเหลี่ยมขัดน้ำ 230มม.*280มม. เบอร์ 320</t>
        </is>
      </c>
      <c r="C1147" s="8" t="inlineStr">
        <is>
          <t>100แผ่น</t>
        </is>
      </c>
      <c r="D1147" s="9" t="n">
        <v>7</v>
      </c>
      <c r="H1147" s="9" t="n">
        <v>700</v>
      </c>
      <c r="I1147" s="10" t="inlineStr">
        <is>
          <t>ออโต้ สมาร์ท</t>
        </is>
      </c>
      <c r="J1147" s="161" t="n">
        <v>22871</v>
      </c>
      <c r="L1147" s="8" t="inlineStr">
        <is>
          <t>ราคาที่ลง ยังไม่รวมภาษี</t>
        </is>
      </c>
    </row>
    <row r="1148">
      <c r="B1148" s="6" t="inlineStr">
        <is>
          <t>กระดาษทรายเหลี่ยมขัดน้ำ 230มม.*280มม. เบอร์ 320</t>
        </is>
      </c>
      <c r="C1148" s="8" t="inlineStr">
        <is>
          <t>200แผ่น</t>
        </is>
      </c>
      <c r="D1148" s="9" t="n">
        <v>7</v>
      </c>
      <c r="H1148" s="9" t="n">
        <v>1400</v>
      </c>
      <c r="I1148" s="10" t="inlineStr">
        <is>
          <t>ออโต้ สมาร์ท</t>
        </is>
      </c>
      <c r="J1148" s="161" t="n">
        <v>22882</v>
      </c>
      <c r="L1148" s="8" t="inlineStr">
        <is>
          <t>ราคาที่ลง ยังไม่รวมภาษี</t>
        </is>
      </c>
    </row>
    <row r="1149">
      <c r="B1149" s="6" t="inlineStr">
        <is>
          <t>กระดาษทรายเหลี่ยมขัดน้ำ 230มม.*280มม. เบอร์ 320</t>
        </is>
      </c>
      <c r="C1149" s="8" t="inlineStr">
        <is>
          <t>200แผ่น</t>
        </is>
      </c>
      <c r="D1149" s="9" t="n">
        <v>7</v>
      </c>
      <c r="H1149" s="9" t="n">
        <v>1400</v>
      </c>
      <c r="I1149" s="10" t="inlineStr">
        <is>
          <t>ออโต้ สมาร์ท</t>
        </is>
      </c>
      <c r="J1149" s="161" t="n">
        <v>22893</v>
      </c>
      <c r="L1149" s="8" t="inlineStr">
        <is>
          <t>ราคาที่ลง ยังไม่รวมภาษี</t>
        </is>
      </c>
    </row>
    <row r="1150">
      <c r="B1150" s="6" t="inlineStr">
        <is>
          <t>กระดาษทรายเหลี่ยมขัดน้ำ 230มม.*280มม. เบอร์ 320</t>
        </is>
      </c>
      <c r="C1150" s="8" t="inlineStr">
        <is>
          <t>100แผ่น</t>
        </is>
      </c>
      <c r="D1150" s="9" t="n">
        <v>7</v>
      </c>
      <c r="H1150" s="9" t="n">
        <v>700</v>
      </c>
      <c r="I1150" s="10" t="inlineStr">
        <is>
          <t>ออโต้ สมาร์ท</t>
        </is>
      </c>
      <c r="J1150" s="161" t="n">
        <v>22898</v>
      </c>
      <c r="L1150" s="8" t="inlineStr">
        <is>
          <t>ราคาที่ลง ยังไม่รวมภาษี</t>
        </is>
      </c>
    </row>
    <row r="1151">
      <c r="B1151" s="6" t="inlineStr">
        <is>
          <t>กระดาษทรายเหลี่ยมขัดน้ำ 230มม.*280มม. เบอร์ 320</t>
        </is>
      </c>
      <c r="C1151" s="8" t="inlineStr">
        <is>
          <t>100แผ่น</t>
        </is>
      </c>
      <c r="D1151" s="9" t="n">
        <v>7</v>
      </c>
      <c r="H1151" s="9" t="n">
        <v>700</v>
      </c>
      <c r="I1151" s="10" t="inlineStr">
        <is>
          <t>ออโต้ สมาร์ท</t>
        </is>
      </c>
      <c r="J1151" s="161" t="n">
        <v>22997</v>
      </c>
      <c r="L1151" s="8" t="inlineStr">
        <is>
          <t>ราคาที่ลง ยังไม่รวมภาษี</t>
        </is>
      </c>
    </row>
    <row r="1152">
      <c r="B1152" s="6" t="inlineStr">
        <is>
          <t>กระดาษทรายเหลี่ยมขัดน้ำ 230มม.*280มม. เบอร์ 320</t>
        </is>
      </c>
      <c r="C1152" s="8" t="inlineStr">
        <is>
          <t>200แผ่น</t>
        </is>
      </c>
      <c r="D1152" s="9" t="n">
        <v>7</v>
      </c>
      <c r="H1152" s="9" t="n">
        <v>1400</v>
      </c>
      <c r="I1152" s="10" t="inlineStr">
        <is>
          <t>ออโต้ สมาร์ท</t>
        </is>
      </c>
      <c r="J1152" s="161" t="n">
        <v>23064</v>
      </c>
      <c r="L1152" s="8" t="inlineStr">
        <is>
          <t>ราคาที่ลง ยังไม่รวมภาษี</t>
        </is>
      </c>
    </row>
    <row r="1153">
      <c r="B1153" s="6" t="inlineStr">
        <is>
          <t>กระดาษทรายเหลี่ยมขัดน้ำ 230มม.*280มม. เบอร์ 320</t>
        </is>
      </c>
      <c r="C1153" s="8" t="inlineStr">
        <is>
          <t>100แผ่น</t>
        </is>
      </c>
      <c r="D1153" s="9" t="n">
        <v>7</v>
      </c>
      <c r="H1153" s="9" t="n">
        <v>700</v>
      </c>
      <c r="I1153" s="10" t="inlineStr">
        <is>
          <t>ออโต้ สมาร์ท</t>
        </is>
      </c>
      <c r="J1153" s="161" t="n">
        <v>23080</v>
      </c>
      <c r="L1153" s="8" t="inlineStr">
        <is>
          <t>ราคาที่ลง ยังไม่รวมภาษี</t>
        </is>
      </c>
    </row>
    <row r="1154">
      <c r="B1154" s="6" t="inlineStr">
        <is>
          <t>กระดาษทรายเหลี่ยมขัดน้ำ 230มม.*280มม. เบอร์ 320</t>
        </is>
      </c>
      <c r="C1154" s="8" t="inlineStr">
        <is>
          <t>100แผ่น</t>
        </is>
      </c>
      <c r="D1154" s="9" t="n">
        <v>7</v>
      </c>
      <c r="H1154" s="9" t="n">
        <v>700</v>
      </c>
      <c r="I1154" s="10" t="inlineStr">
        <is>
          <t>ออโต้ สมาร์ท</t>
        </is>
      </c>
      <c r="J1154" s="161" t="n">
        <v>23087</v>
      </c>
      <c r="L1154" s="8" t="inlineStr">
        <is>
          <t>ราคาที่ลง ยังไม่รวมภาษี</t>
        </is>
      </c>
    </row>
    <row r="1155">
      <c r="B1155" s="6" t="inlineStr">
        <is>
          <t>กระดาษทรายเหลี่ยมขัดน้ำ 230มม.*280มม. เบอร์ 320</t>
        </is>
      </c>
      <c r="C1155" s="8" t="inlineStr">
        <is>
          <t>100แผ่น</t>
        </is>
      </c>
      <c r="D1155" s="9" t="n">
        <v>7</v>
      </c>
      <c r="H1155" s="9" t="n">
        <v>700</v>
      </c>
      <c r="I1155" s="10" t="inlineStr">
        <is>
          <t>ออโต้ สมาร์ท</t>
        </is>
      </c>
      <c r="J1155" s="161" t="n">
        <v>23095</v>
      </c>
      <c r="L1155" s="8" t="inlineStr">
        <is>
          <t>ราคาที่ลง ยังไม่รวมภาษี</t>
        </is>
      </c>
    </row>
    <row r="1156">
      <c r="B1156" s="6" t="inlineStr">
        <is>
          <t>กระดาษทรายเหลี่ยมขัดน้ำ 230มม.*280มม. เบอร์ 320</t>
        </is>
      </c>
      <c r="C1156" s="8" t="inlineStr">
        <is>
          <t>100แผ่น</t>
        </is>
      </c>
      <c r="D1156" s="9" t="n">
        <v>7</v>
      </c>
      <c r="H1156" s="9" t="n">
        <v>700</v>
      </c>
      <c r="I1156" s="10" t="inlineStr">
        <is>
          <t>ออโต้ สมาร์ท</t>
        </is>
      </c>
      <c r="J1156" s="161" t="n">
        <v>23110</v>
      </c>
      <c r="L1156" s="8" t="inlineStr">
        <is>
          <t>ราคาที่ลง ยังไม่รวมภาษี</t>
        </is>
      </c>
    </row>
    <row r="1157">
      <c r="B1157" s="6" t="inlineStr">
        <is>
          <t>กระดาษทรายเหลี่ยมขัดน้ำ 230มม.*280มม. เบอร์ 320</t>
        </is>
      </c>
      <c r="C1157" s="8" t="inlineStr">
        <is>
          <t>300แผ่น</t>
        </is>
      </c>
      <c r="D1157" s="9" t="n">
        <v>7</v>
      </c>
      <c r="H1157" s="9" t="n">
        <v>2100</v>
      </c>
      <c r="I1157" s="10" t="inlineStr">
        <is>
          <t>ออโต้ สมาร์ท</t>
        </is>
      </c>
      <c r="J1157" s="161" t="n">
        <v>23142</v>
      </c>
      <c r="L1157" s="8" t="inlineStr">
        <is>
          <t>ราคาที่ลง ยังไม่รวมภาษี</t>
        </is>
      </c>
    </row>
    <row r="1158">
      <c r="B1158" s="6" t="inlineStr">
        <is>
          <t>กระดาษทรายเหลี่ยมขัดน้ำ 230มม.*280มม. เบอร์ 320</t>
        </is>
      </c>
      <c r="C1158" s="8" t="inlineStr">
        <is>
          <t>100แผ่น</t>
        </is>
      </c>
      <c r="D1158" s="9" t="n">
        <v>7</v>
      </c>
      <c r="H1158" s="9" t="n">
        <v>700</v>
      </c>
      <c r="I1158" s="10" t="inlineStr">
        <is>
          <t>ออโต้ สมาร์ท</t>
        </is>
      </c>
      <c r="J1158" s="161" t="n">
        <v>23151</v>
      </c>
      <c r="L1158" s="8" t="inlineStr">
        <is>
          <t>ราคาที่ลง ยังไม่รวมภาษี</t>
        </is>
      </c>
    </row>
    <row r="1159">
      <c r="B1159" s="6" t="inlineStr">
        <is>
          <t>กระดาษทรายเหลี่ยมขัดน้ำ 230มม.*280มม. เบอร์ 320</t>
        </is>
      </c>
      <c r="C1159" s="8" t="inlineStr">
        <is>
          <t>100แผ่น</t>
        </is>
      </c>
      <c r="D1159" s="9" t="n">
        <v>7</v>
      </c>
      <c r="H1159" s="9" t="n">
        <v>700</v>
      </c>
      <c r="I1159" s="10" t="inlineStr">
        <is>
          <t>ออโต้ สมาร์ท</t>
        </is>
      </c>
      <c r="J1159" s="161" t="n">
        <v>23157</v>
      </c>
      <c r="L1159" s="8" t="inlineStr">
        <is>
          <t>ราคาที่ลง ยังไม่รวมภาษี</t>
        </is>
      </c>
    </row>
    <row r="1160">
      <c r="B1160" s="6" t="inlineStr">
        <is>
          <t>กระดาษทรายเหลี่ยมขัดน้ำ 230มม.*280มม. เบอร์ 320</t>
        </is>
      </c>
      <c r="C1160" s="8" t="inlineStr">
        <is>
          <t>100แผ่น</t>
        </is>
      </c>
      <c r="D1160" s="9" t="n">
        <v>7</v>
      </c>
      <c r="H1160" s="9" t="n">
        <v>700</v>
      </c>
      <c r="I1160" s="10" t="inlineStr">
        <is>
          <t>ออโต้ สมาร์ท</t>
        </is>
      </c>
      <c r="J1160" s="161" t="n">
        <v>23172</v>
      </c>
      <c r="L1160" s="8" t="inlineStr">
        <is>
          <t>ราคาที่ลง ยังไม่รวมภาษี</t>
        </is>
      </c>
    </row>
    <row r="1161">
      <c r="B1161" s="6" t="inlineStr">
        <is>
          <t>กระดาษทรายเหลี่ยมขัดน้ำ 230มม.*280มม. เบอร์ 320</t>
        </is>
      </c>
      <c r="C1161" s="8" t="inlineStr">
        <is>
          <t>200แผ่น</t>
        </is>
      </c>
      <c r="D1161" s="9" t="n">
        <v>7</v>
      </c>
      <c r="H1161" s="9" t="n">
        <v>1400</v>
      </c>
      <c r="I1161" s="10" t="inlineStr">
        <is>
          <t>ออโต้ สมาร์ท</t>
        </is>
      </c>
      <c r="J1161" s="161" t="n">
        <v>23186</v>
      </c>
      <c r="L1161" s="8" t="inlineStr">
        <is>
          <t>ราคาที่ลง ยังไม่รวมภาษี</t>
        </is>
      </c>
    </row>
    <row r="1162">
      <c r="B1162" s="6" t="inlineStr">
        <is>
          <t>กระดาษทรายเหลี่ยมขัดน้ำ 230มม.*280มม. เบอร์ 320</t>
        </is>
      </c>
      <c r="C1162" s="8" t="inlineStr">
        <is>
          <t>100แผ่น</t>
        </is>
      </c>
      <c r="D1162" s="9" t="n">
        <v>7</v>
      </c>
      <c r="H1162" s="9" t="n">
        <v>700</v>
      </c>
      <c r="I1162" s="10" t="inlineStr">
        <is>
          <t>ออโต้ สมาร์ท</t>
        </is>
      </c>
      <c r="J1162" s="161" t="n">
        <v>23202</v>
      </c>
      <c r="L1162" s="8" t="inlineStr">
        <is>
          <t>ราคาที่ลง ยังไม่รวมภาษี</t>
        </is>
      </c>
    </row>
    <row r="1163">
      <c r="B1163" s="6" t="inlineStr">
        <is>
          <t>กระดาษทรายเหลี่ยมขัดน้ำ 230มม.*280มม. เบอร์ 320</t>
        </is>
      </c>
      <c r="C1163" s="8" t="inlineStr">
        <is>
          <t>100แผ่น</t>
        </is>
      </c>
      <c r="D1163" s="9" t="n">
        <v>7</v>
      </c>
      <c r="H1163" s="9" t="n">
        <v>700</v>
      </c>
      <c r="I1163" s="10" t="inlineStr">
        <is>
          <t>ออโต้ สมาร์ท</t>
        </is>
      </c>
      <c r="J1163" s="161" t="n">
        <v>23212</v>
      </c>
      <c r="L1163" s="8" t="inlineStr">
        <is>
          <t>ราคาที่ลง ยังไม่รวมภาษี</t>
        </is>
      </c>
    </row>
    <row r="1164">
      <c r="B1164" s="6" t="inlineStr">
        <is>
          <t>กระดาษทรายเหลี่ยมขัดน้ำ 230มม.*280มม. เบอร์ 320</t>
        </is>
      </c>
      <c r="C1164" s="8" t="inlineStr">
        <is>
          <t>100แผ่น</t>
        </is>
      </c>
      <c r="D1164" s="9" t="n">
        <v>7</v>
      </c>
      <c r="H1164" s="9" t="n">
        <v>700</v>
      </c>
      <c r="I1164" s="10" t="inlineStr">
        <is>
          <t>ออโต้ สมาร์ท</t>
        </is>
      </c>
      <c r="J1164" s="161" t="n">
        <v>23230</v>
      </c>
      <c r="L1164" s="8" t="inlineStr">
        <is>
          <t>ราคาที่ลง ยังไม่รวมภาษี</t>
        </is>
      </c>
    </row>
    <row r="1165">
      <c r="B1165" s="6" t="inlineStr">
        <is>
          <t>กระดาษทรายเหลี่ยมขัดน้ำ 230มม.*280มม. เบอร์ 320</t>
        </is>
      </c>
      <c r="C1165" s="8" t="inlineStr">
        <is>
          <t>100แผ่น</t>
        </is>
      </c>
      <c r="D1165" s="9" t="n">
        <v>7</v>
      </c>
      <c r="H1165" s="9" t="n">
        <v>700</v>
      </c>
      <c r="I1165" s="10" t="inlineStr">
        <is>
          <t>ออโต้ สมาร์ท</t>
        </is>
      </c>
      <c r="J1165" s="161" t="n">
        <v>23254</v>
      </c>
      <c r="L1165" s="8" t="inlineStr">
        <is>
          <t>ราคาที่ลง ยังไม่รวมภาษี</t>
        </is>
      </c>
    </row>
    <row r="1166">
      <c r="B1166" s="6" t="inlineStr">
        <is>
          <t>กระดาษทรายเหลี่ยมขัดน้ำ 230มม.*280มม. เบอร์ 320</t>
        </is>
      </c>
      <c r="C1166" s="8" t="inlineStr">
        <is>
          <t>100แผ่น</t>
        </is>
      </c>
      <c r="D1166" s="9" t="n">
        <v>7</v>
      </c>
      <c r="H1166" s="9" t="n">
        <v>700</v>
      </c>
      <c r="I1166" s="10" t="inlineStr">
        <is>
          <t>ออโต้ สมาร์ท</t>
        </is>
      </c>
      <c r="J1166" s="161" t="n">
        <v>23269</v>
      </c>
      <c r="L1166" s="8" t="inlineStr">
        <is>
          <t>ราคาที่ลง ยังไม่รวมภาษี</t>
        </is>
      </c>
    </row>
    <row r="1167">
      <c r="B1167" s="6" t="inlineStr">
        <is>
          <t>กระดาษทรายเหลี่ยมขัดน้ำ 230มม.*280มม. เบอร์ 320</t>
        </is>
      </c>
      <c r="C1167" s="8" t="inlineStr">
        <is>
          <t>100แผ่น</t>
        </is>
      </c>
      <c r="D1167" s="9" t="n">
        <v>7</v>
      </c>
      <c r="H1167" s="9" t="n">
        <v>700</v>
      </c>
      <c r="I1167" s="10" t="inlineStr">
        <is>
          <t>ออโต้ สมาร์ท</t>
        </is>
      </c>
      <c r="J1167" s="161" t="n">
        <v>23279</v>
      </c>
      <c r="L1167" s="8" t="inlineStr">
        <is>
          <t>ราคาที่ลง ยังไม่รวมภาษี</t>
        </is>
      </c>
    </row>
    <row r="1168">
      <c r="B1168" s="6" t="inlineStr">
        <is>
          <t>กระดาษทรายเหลี่ยมขัดน้ำ 230มม.*280มม. เบอร์ 320</t>
        </is>
      </c>
      <c r="C1168" s="8" t="inlineStr">
        <is>
          <t>200แผ่น</t>
        </is>
      </c>
      <c r="D1168" s="9" t="n">
        <v>7</v>
      </c>
      <c r="H1168" s="9" t="n">
        <v>1400</v>
      </c>
      <c r="I1168" s="10" t="inlineStr">
        <is>
          <t>ออโต้ สมาร์ท</t>
        </is>
      </c>
      <c r="J1168" s="161" t="n">
        <v>23293</v>
      </c>
      <c r="L1168" s="8" t="inlineStr">
        <is>
          <t>ราคาที่ลง ยังไม่รวมภาษี</t>
        </is>
      </c>
    </row>
    <row r="1169">
      <c r="B1169" s="6" t="inlineStr">
        <is>
          <t>กระดาษทรายเหลี่ยมขัดน้ำ 230มม.*280มม. เบอร์ 320</t>
        </is>
      </c>
      <c r="C1169" s="8" t="inlineStr">
        <is>
          <t>200แผ่น</t>
        </is>
      </c>
      <c r="D1169" s="9" t="n">
        <v>7</v>
      </c>
      <c r="H1169" s="9" t="n">
        <v>1400</v>
      </c>
      <c r="I1169" s="10" t="inlineStr">
        <is>
          <t>ออโต้ สมาร์ท</t>
        </is>
      </c>
      <c r="J1169" s="161" t="n">
        <v>23322</v>
      </c>
      <c r="L1169" s="8" t="inlineStr">
        <is>
          <t>ราคาที่ลง ยังไม่รวมภาษี</t>
        </is>
      </c>
    </row>
    <row r="1170">
      <c r="B1170" s="6" t="inlineStr">
        <is>
          <t>กระดาษทรายเหลี่ยมขัดน้ำ 230มม.*280มม. เบอร์ 320</t>
        </is>
      </c>
      <c r="C1170" s="8" t="inlineStr">
        <is>
          <t>200แผ่น</t>
        </is>
      </c>
      <c r="D1170" s="9" t="n">
        <v>7</v>
      </c>
      <c r="H1170" s="9" t="n">
        <v>1400</v>
      </c>
      <c r="I1170" s="10" t="inlineStr">
        <is>
          <t>ออโต้ สมาร์ท</t>
        </is>
      </c>
      <c r="J1170" s="161" t="n">
        <v>23335</v>
      </c>
      <c r="L1170" s="8" t="inlineStr">
        <is>
          <t>ราคาที่ลง ยังไม่รวมภาษี</t>
        </is>
      </c>
    </row>
    <row r="1171">
      <c r="B1171" s="6" t="inlineStr">
        <is>
          <t>กระดาษทรายเหลี่ยมขัดน้ำ 230มม.*280มม. เบอร์ 320</t>
        </is>
      </c>
      <c r="C1171" s="8" t="inlineStr">
        <is>
          <t>100แผ่น</t>
        </is>
      </c>
      <c r="D1171" s="9" t="n">
        <v>7</v>
      </c>
      <c r="H1171" s="9" t="n">
        <v>700</v>
      </c>
      <c r="I1171" s="10" t="inlineStr">
        <is>
          <t>ออโต้ สมาร์ท</t>
        </is>
      </c>
      <c r="J1171" s="161" t="n">
        <v>23387</v>
      </c>
      <c r="L1171" s="8" t="inlineStr">
        <is>
          <t>ราคาที่ลง ยังไม่รวมภาษี</t>
        </is>
      </c>
    </row>
    <row r="1172">
      <c r="B1172" s="6" t="inlineStr">
        <is>
          <t>กระดาษทรายเหลี่ยมขัดน้ำ 230มม.*280มม. เบอร์ 320</t>
        </is>
      </c>
      <c r="C1172" s="8" t="inlineStr">
        <is>
          <t>100แผ่น</t>
        </is>
      </c>
      <c r="D1172" s="9" t="n">
        <v>7</v>
      </c>
      <c r="H1172" s="9" t="n">
        <v>700</v>
      </c>
      <c r="I1172" s="10" t="inlineStr">
        <is>
          <t>ออโต้ สมาร์ท</t>
        </is>
      </c>
      <c r="J1172" s="161" t="n">
        <v>23399</v>
      </c>
      <c r="L1172" s="8" t="inlineStr">
        <is>
          <t>ราคาที่ลง ยังไม่รวมภาษี</t>
        </is>
      </c>
    </row>
    <row r="1173">
      <c r="B1173" s="6" t="inlineStr">
        <is>
          <t>กระดาษทรายเหลี่ยมขัดน้ำ 230มม.*280มม. เบอร์ 320</t>
        </is>
      </c>
      <c r="C1173" s="8" t="inlineStr">
        <is>
          <t>200แผ่น</t>
        </is>
      </c>
      <c r="D1173" s="9" t="n">
        <v>7</v>
      </c>
      <c r="H1173" s="9" t="n">
        <v>1400</v>
      </c>
      <c r="I1173" s="10" t="inlineStr">
        <is>
          <t>ออโต้ สมาร์ท</t>
        </is>
      </c>
      <c r="J1173" s="161" t="n">
        <v>23411</v>
      </c>
      <c r="L1173" s="8" t="inlineStr">
        <is>
          <t>ราคาที่ลง ยังไม่รวมภาษี</t>
        </is>
      </c>
    </row>
    <row r="1174">
      <c r="B1174" s="6" t="inlineStr">
        <is>
          <t>กระดาษทรายเหลี่ยมขัดน้ำ 230มม.*280มม. เบอร์ 320</t>
        </is>
      </c>
      <c r="C1174" s="8" t="inlineStr">
        <is>
          <t>100แผ่น</t>
        </is>
      </c>
      <c r="D1174" s="9" t="n">
        <v>7</v>
      </c>
      <c r="H1174" s="9" t="n">
        <v>700</v>
      </c>
      <c r="I1174" s="10" t="inlineStr">
        <is>
          <t>ออโต้ สมาร์ท</t>
        </is>
      </c>
      <c r="J1174" s="161" t="n">
        <v>23442</v>
      </c>
      <c r="L1174" s="8" t="inlineStr">
        <is>
          <t>ราคาที่ลง ยังไม่รวมภาษี</t>
        </is>
      </c>
    </row>
    <row r="1175">
      <c r="B1175" s="6" t="inlineStr">
        <is>
          <t>กระดาษทรายเหลี่ยมขัดน้ำ 230มม.*280มม. เบอร์ 320</t>
        </is>
      </c>
      <c r="C1175" s="8" t="inlineStr">
        <is>
          <t>200แผ่น</t>
        </is>
      </c>
      <c r="D1175" s="9" t="n">
        <v>7</v>
      </c>
      <c r="H1175" s="9" t="n">
        <v>1400</v>
      </c>
      <c r="I1175" s="10" t="inlineStr">
        <is>
          <t>ออโต้ สมาร์ท</t>
        </is>
      </c>
      <c r="J1175" s="161" t="n">
        <v>23455</v>
      </c>
      <c r="L1175" s="8" t="inlineStr">
        <is>
          <t>ราคาที่ลง ยังไม่รวมภาษี</t>
        </is>
      </c>
    </row>
    <row r="1176">
      <c r="B1176" s="6" t="inlineStr">
        <is>
          <t>กระดาษทรายเหลี่ยมขัดน้ำ 230มม.*280มม. เบอร์ 320</t>
        </is>
      </c>
      <c r="C1176" s="8" t="inlineStr">
        <is>
          <t>200แผ่น</t>
        </is>
      </c>
      <c r="D1176" s="9" t="n">
        <v>7</v>
      </c>
      <c r="H1176" s="9" t="n">
        <v>1400</v>
      </c>
      <c r="I1176" s="10" t="inlineStr">
        <is>
          <t>ออโต้ สมาร์ท</t>
        </is>
      </c>
      <c r="J1176" s="161" t="n">
        <v>23462</v>
      </c>
      <c r="L1176" s="8" t="inlineStr">
        <is>
          <t>ราคาที่ลง ยังไม่รวมภาษี</t>
        </is>
      </c>
    </row>
    <row r="1177">
      <c r="B1177" s="6" t="inlineStr">
        <is>
          <t>กระดาษทรายเหลี่ยมขัดน้ำ 230มม.*280มม. เบอร์ 320</t>
        </is>
      </c>
      <c r="C1177" s="8" t="inlineStr">
        <is>
          <t>200แผ่น</t>
        </is>
      </c>
      <c r="D1177" s="9" t="n">
        <v>7</v>
      </c>
      <c r="H1177" s="9" t="n">
        <v>1400</v>
      </c>
      <c r="I1177" s="10" t="inlineStr">
        <is>
          <t>ออโต้ สมาร์ท</t>
        </is>
      </c>
      <c r="J1177" s="161" t="n">
        <v>23503</v>
      </c>
      <c r="L1177" s="8" t="inlineStr">
        <is>
          <t>ราคาที่ลง ยังไม่รวมภาษี</t>
        </is>
      </c>
    </row>
    <row r="1178">
      <c r="B1178" s="6" t="inlineStr">
        <is>
          <t>กระดาษทรายเหลี่ยมขัดน้ำ 230มม.*280มม. เบอร์ 320</t>
        </is>
      </c>
      <c r="C1178" s="8" t="inlineStr">
        <is>
          <t>100แผ่น</t>
        </is>
      </c>
      <c r="D1178" s="9" t="n">
        <v>7</v>
      </c>
      <c r="H1178" s="9" t="n">
        <v>700</v>
      </c>
      <c r="I1178" s="10" t="inlineStr">
        <is>
          <t>ออโต้ สมาร์ท</t>
        </is>
      </c>
      <c r="J1178" s="161" t="n">
        <v>23571</v>
      </c>
      <c r="L1178" s="8" t="inlineStr">
        <is>
          <t>ราคาที่ลง ยังไม่รวมภาษี</t>
        </is>
      </c>
    </row>
    <row r="1179">
      <c r="B1179" s="6" t="inlineStr">
        <is>
          <t>กระดาษทรายเหลี่ยมขัดน้ำ 230มม.*280มม. เบอร์ 320</t>
        </is>
      </c>
      <c r="C1179" s="8" t="inlineStr">
        <is>
          <t>200แผ่น</t>
        </is>
      </c>
      <c r="D1179" s="9" t="n">
        <v>7</v>
      </c>
      <c r="H1179" s="9" t="n">
        <v>1400</v>
      </c>
      <c r="I1179" s="10" t="inlineStr">
        <is>
          <t>ออโต้ สมาร์ท</t>
        </is>
      </c>
      <c r="J1179" s="161" t="n">
        <v>23577</v>
      </c>
      <c r="L1179" s="8" t="inlineStr">
        <is>
          <t>ราคาที่ลง ยังไม่รวมภาษี</t>
        </is>
      </c>
    </row>
    <row r="1180">
      <c r="B1180" s="6" t="inlineStr">
        <is>
          <t>กระดาษทรายเหลี่ยมขัดน้ำ 230มม.*280มม. เบอร์ 320</t>
        </is>
      </c>
      <c r="C1180" s="8" t="inlineStr">
        <is>
          <t>100แผ่น</t>
        </is>
      </c>
      <c r="D1180" s="9" t="n">
        <v>7</v>
      </c>
      <c r="H1180" s="9" t="n">
        <v>700</v>
      </c>
      <c r="I1180" s="10" t="inlineStr">
        <is>
          <t>ออโต้ สมาร์ท</t>
        </is>
      </c>
      <c r="J1180" s="161" t="n">
        <v>23598</v>
      </c>
      <c r="L1180" s="8" t="inlineStr">
        <is>
          <t>ราคาที่ลง ยังไม่รวมภาษี</t>
        </is>
      </c>
    </row>
    <row r="1181">
      <c r="B1181" s="6" t="inlineStr">
        <is>
          <t>กระดาษทรายเหลี่ยมขัดน้ำ 230มม.*280มม. เบอร์ 320</t>
        </is>
      </c>
      <c r="C1181" s="8" t="inlineStr">
        <is>
          <t>200แผ่น</t>
        </is>
      </c>
      <c r="D1181" s="9" t="n">
        <v>7</v>
      </c>
      <c r="H1181" s="9" t="n">
        <v>1400</v>
      </c>
      <c r="I1181" s="10" t="inlineStr">
        <is>
          <t>ออโต้ สมาร์ท</t>
        </is>
      </c>
      <c r="J1181" s="161" t="n">
        <v>23620</v>
      </c>
      <c r="K1181" s="8" t="n">
        <v>202108203</v>
      </c>
      <c r="L1181" s="8" t="inlineStr">
        <is>
          <t>ราคาที่ลง ยังไม่รวมภาษี</t>
        </is>
      </c>
    </row>
    <row r="1182">
      <c r="B1182" s="6" t="inlineStr">
        <is>
          <t>กระดาษทรายเหลี่ยมขัดน้ำ 230มม.*280มม. เบอร์ 320</t>
        </is>
      </c>
      <c r="C1182" s="8" t="inlineStr">
        <is>
          <t>100แผ่น</t>
        </is>
      </c>
      <c r="D1182" s="9" t="n">
        <v>7</v>
      </c>
      <c r="H1182" s="9" t="n">
        <v>700</v>
      </c>
      <c r="I1182" s="10" t="inlineStr">
        <is>
          <t>ออโต้ สมาร์ท</t>
        </is>
      </c>
      <c r="J1182" s="161" t="n">
        <v>23643</v>
      </c>
      <c r="K1182" s="8" t="n">
        <v>202109165</v>
      </c>
      <c r="L1182" s="8" t="inlineStr">
        <is>
          <t>ราคาที่ลง ยังไม่รวมภาษี</t>
        </is>
      </c>
    </row>
    <row r="1183">
      <c r="B1183" s="6" t="inlineStr">
        <is>
          <t>กระดาษทรายเหลี่ยมขัดน้ำ 230มม.*280มม. เบอร์ 320</t>
        </is>
      </c>
      <c r="C1183" s="8" t="inlineStr">
        <is>
          <t>200แผ่น</t>
        </is>
      </c>
      <c r="D1183" s="9" t="n">
        <v>7</v>
      </c>
      <c r="H1183" s="9" t="n">
        <v>1400</v>
      </c>
      <c r="I1183" s="10" t="inlineStr">
        <is>
          <t>ออโต้ สมาร์ท</t>
        </is>
      </c>
      <c r="J1183" s="161" t="n">
        <v>23661</v>
      </c>
      <c r="K1183" s="8" t="n">
        <v>202110080</v>
      </c>
      <c r="L1183" s="8" t="inlineStr">
        <is>
          <t>ราคาที่ลง ยังไม่รวมภาษี</t>
        </is>
      </c>
    </row>
    <row r="1184">
      <c r="B1184" s="6" t="inlineStr">
        <is>
          <t>กระดาษทรายเหลี่ยมขัดน้ำ 230มม.*280มม. เบอร์ 320</t>
        </is>
      </c>
      <c r="C1184" s="8" t="inlineStr">
        <is>
          <t>200แผ่น</t>
        </is>
      </c>
      <c r="D1184" s="9" t="n">
        <v>7</v>
      </c>
      <c r="H1184" s="9" t="n">
        <v>1400</v>
      </c>
      <c r="I1184" s="10" t="inlineStr">
        <is>
          <t>ออโต้ สมาร์ท</t>
        </is>
      </c>
      <c r="J1184" s="161" t="n">
        <v>23691</v>
      </c>
      <c r="K1184" s="8" t="n">
        <v>202111095</v>
      </c>
      <c r="L1184" s="8" t="inlineStr">
        <is>
          <t>ราคาที่ลง ยังไม่รวมภาษี</t>
        </is>
      </c>
    </row>
    <row r="1185">
      <c r="B1185" s="6" t="inlineStr">
        <is>
          <t>กระดาษทรายเหลี่ยมขัดน้ำ 230มม.*280มม. เบอร์ 320</t>
        </is>
      </c>
      <c r="C1185" s="8" t="inlineStr">
        <is>
          <t>300แผ่น</t>
        </is>
      </c>
      <c r="D1185" s="9" t="n">
        <v>7</v>
      </c>
      <c r="H1185" s="9" t="n">
        <v>2100</v>
      </c>
      <c r="I1185" s="10" t="inlineStr">
        <is>
          <t>ออโต้ สมาร์ท</t>
        </is>
      </c>
      <c r="J1185" s="161" t="n">
        <v>23718</v>
      </c>
      <c r="K1185" s="8" t="n">
        <v>202112058</v>
      </c>
      <c r="L1185" s="8" t="inlineStr">
        <is>
          <t>ราคาที่ลง ยังไม่รวมภาษี</t>
        </is>
      </c>
    </row>
    <row r="1186">
      <c r="B1186" s="6" t="inlineStr">
        <is>
          <t>กระดาษทรายเหลี่ยมขัดน้ำ 230มม.*280มม. เบอร์ 320 -- แถมฟรี</t>
        </is>
      </c>
      <c r="C1186" s="8" t="inlineStr">
        <is>
          <t>100แผ่น</t>
        </is>
      </c>
      <c r="H1186" s="16" t="inlineStr">
        <is>
          <t>ได้โปรแถมฟรี</t>
        </is>
      </c>
      <c r="I1186" s="10" t="inlineStr">
        <is>
          <t>ออโต้ สมาร์ท</t>
        </is>
      </c>
      <c r="J1186" s="161" t="n">
        <v>23718</v>
      </c>
      <c r="K1186" s="8" t="n">
        <v>202112058</v>
      </c>
      <c r="L1186" s="8" t="inlineStr">
        <is>
          <t>ราคาที่ลง ยังไม่รวมภาษี</t>
        </is>
      </c>
    </row>
    <row r="1187">
      <c r="B1187" s="6" t="inlineStr">
        <is>
          <t>กระดาษทรายเหลี่ยมขัดน้ำ 230มม.*280มม. เบอร์ 320</t>
        </is>
      </c>
      <c r="C1187" s="8" t="inlineStr">
        <is>
          <t>300แผ่น</t>
        </is>
      </c>
      <c r="D1187" s="9" t="n">
        <v>7</v>
      </c>
      <c r="H1187" s="9" t="n">
        <v>2100</v>
      </c>
      <c r="I1187" s="10" t="inlineStr">
        <is>
          <t>ออโต้ สมาร์ท</t>
        </is>
      </c>
      <c r="J1187" s="161" t="n">
        <v>23762</v>
      </c>
      <c r="K1187" s="8" t="n">
        <v>202201143</v>
      </c>
      <c r="L1187" s="8" t="inlineStr">
        <is>
          <t>ราคาที่ลง ยังไม่รวมภาษี</t>
        </is>
      </c>
    </row>
    <row r="1188">
      <c r="B1188" s="6" t="inlineStr">
        <is>
          <t>กระดาษทรายเหลี่ยมขัดน้ำ 230มม.*280มม. เบอร์ 320</t>
        </is>
      </c>
      <c r="C1188" s="8" t="inlineStr">
        <is>
          <t>100แผ่น</t>
        </is>
      </c>
      <c r="D1188" s="9" t="n">
        <v>7</v>
      </c>
      <c r="H1188" s="9" t="n">
        <v>700</v>
      </c>
      <c r="I1188" s="10" t="inlineStr">
        <is>
          <t>ออโต้ สมาร์ท</t>
        </is>
      </c>
      <c r="J1188" s="161" t="n">
        <v>23829</v>
      </c>
      <c r="K1188" s="8" t="n">
        <v>202203217</v>
      </c>
      <c r="L1188" s="8" t="inlineStr">
        <is>
          <t>ราคาที่ลง ยังไม่รวมภาษี</t>
        </is>
      </c>
    </row>
    <row r="1189">
      <c r="B1189" s="6" t="inlineStr">
        <is>
          <t>กระดาษทรายเหลี่ยมขัดน้ำ 230มม.*280มม. เบอร์ 320</t>
        </is>
      </c>
      <c r="C1189" s="8" t="inlineStr">
        <is>
          <t>200แผ่น</t>
        </is>
      </c>
      <c r="D1189" s="9" t="n">
        <v>7</v>
      </c>
      <c r="H1189" s="9" t="n">
        <v>1400</v>
      </c>
      <c r="I1189" s="10" t="inlineStr">
        <is>
          <t>ออโต้ สมาร์ท</t>
        </is>
      </c>
      <c r="J1189" s="161" t="n">
        <v>23868</v>
      </c>
      <c r="K1189" s="8" t="n">
        <v>202205057</v>
      </c>
      <c r="L1189" s="8" t="inlineStr">
        <is>
          <t>ราคาที่ลง ยังไม่รวมภาษี</t>
        </is>
      </c>
    </row>
    <row r="1190">
      <c r="B1190" s="6" t="inlineStr">
        <is>
          <t>กระดาษทรายเหลี่ยมขัดน้ำ 230มม.*280มม. เบอร์ 320</t>
        </is>
      </c>
      <c r="C1190" s="8" t="inlineStr">
        <is>
          <t>100แผ่น</t>
        </is>
      </c>
      <c r="D1190" s="9" t="n">
        <v>7</v>
      </c>
      <c r="H1190" s="9" t="n">
        <v>700</v>
      </c>
      <c r="I1190" s="10" t="inlineStr">
        <is>
          <t>ออโต้ สมาร์ท</t>
        </is>
      </c>
      <c r="J1190" s="161" t="n">
        <v>23888</v>
      </c>
      <c r="K1190" s="8" t="n">
        <v>202205231</v>
      </c>
      <c r="L1190" s="8" t="inlineStr">
        <is>
          <t>ราคาที่ลง ยังไม่รวมภาษี</t>
        </is>
      </c>
    </row>
    <row r="1191">
      <c r="B1191" s="6" t="inlineStr">
        <is>
          <t>กระดาษทรายเหลี่ยมขัดน้ำ 230มม.*280มม. เบอร์ 320</t>
        </is>
      </c>
      <c r="C1191" s="8" t="inlineStr">
        <is>
          <t>800แผ่น</t>
        </is>
      </c>
      <c r="D1191" s="9" t="n">
        <v>7</v>
      </c>
      <c r="F1191" s="17" t="n">
        <v>0.35</v>
      </c>
      <c r="H1191" s="9" t="n">
        <v>3640</v>
      </c>
      <c r="I1191" s="10" t="inlineStr">
        <is>
          <t>ออโต้เทรด มาร์เก็ตติ้ง</t>
        </is>
      </c>
      <c r="J1191" s="161" t="n">
        <v>23907</v>
      </c>
      <c r="K1191" s="8" t="inlineStr">
        <is>
          <t>IV1417481</t>
        </is>
      </c>
      <c r="L1191" s="8" t="inlineStr">
        <is>
          <t>ราคาที่ลง ยังไม่รวมภาษี</t>
        </is>
      </c>
    </row>
    <row r="1192">
      <c r="B1192" s="6" t="inlineStr">
        <is>
          <t xml:space="preserve">กระดาษทรายเหลี่ยมขัดน้ำ 230มม.*280มม. เบอร์ 320 ตราม้าส้ม </t>
        </is>
      </c>
      <c r="C1192" s="8" t="inlineStr">
        <is>
          <t>600แผ่น</t>
        </is>
      </c>
      <c r="D1192" s="9" t="n">
        <v>7</v>
      </c>
      <c r="F1192" s="17" t="n">
        <v>0.35</v>
      </c>
      <c r="H1192" s="9" t="n">
        <v>2730</v>
      </c>
      <c r="I1192" s="10" t="inlineStr">
        <is>
          <t>ออโต้เทรด มาร์เก็ตติ้ง</t>
        </is>
      </c>
      <c r="J1192" s="161" t="n">
        <v>23997</v>
      </c>
      <c r="K1192" s="8" t="inlineStr">
        <is>
          <t>IV1421363</t>
        </is>
      </c>
      <c r="L1192" s="8" t="inlineStr">
        <is>
          <t>ราคาที่ลง ยังไม่รวมภาษี</t>
        </is>
      </c>
    </row>
    <row r="1193">
      <c r="B1193" s="6" t="inlineStr">
        <is>
          <t xml:space="preserve">กระดาษทรายเหลี่ยมขัดน้ำ 230มม.*280มม. เบอร์ 320 ตราม้าส้ม </t>
        </is>
      </c>
      <c r="C1193" s="8" t="inlineStr">
        <is>
          <t>7แพ็ค</t>
        </is>
      </c>
      <c r="D1193" s="9" t="n">
        <v>700</v>
      </c>
      <c r="F1193" s="17" t="n">
        <v>0.35</v>
      </c>
      <c r="H1193" s="9" t="n">
        <v>3185</v>
      </c>
      <c r="I1193" s="10" t="inlineStr">
        <is>
          <t>ออโต้เทรด มาร์เก็ตติ้ง</t>
        </is>
      </c>
      <c r="J1193" s="161" t="n">
        <v>24084</v>
      </c>
      <c r="K1193" s="8" t="inlineStr">
        <is>
          <t>IV1425090</t>
        </is>
      </c>
      <c r="L1193" s="8" t="inlineStr">
        <is>
          <t>ราคาที่ลง ยังไม่รวมภาษี</t>
        </is>
      </c>
    </row>
    <row r="1194">
      <c r="B1194" s="6" t="inlineStr">
        <is>
          <t xml:space="preserve">กระดาษทรายเหลี่ยมขัดน้ำ 230มม.*280มม. เบอร์ 320 ตราม้าส้ม </t>
        </is>
      </c>
      <c r="C1194" s="8" t="inlineStr">
        <is>
          <t>5แพ็ค</t>
        </is>
      </c>
      <c r="D1194" s="9" t="n">
        <v>700</v>
      </c>
      <c r="F1194" s="17" t="n">
        <v>0.35</v>
      </c>
      <c r="H1194" s="9" t="n">
        <v>2450</v>
      </c>
      <c r="I1194" s="10" t="inlineStr">
        <is>
          <t>ออโต้เทรด มาร์เก็ตติ้ง</t>
        </is>
      </c>
      <c r="J1194" s="161" t="n">
        <v>24145</v>
      </c>
      <c r="K1194" s="8" t="inlineStr">
        <is>
          <t>IV1427669</t>
        </is>
      </c>
      <c r="L1194" s="8" t="inlineStr">
        <is>
          <t>ราคาที่ลง ยังไม่รวมภาษี</t>
        </is>
      </c>
    </row>
    <row r="1195">
      <c r="A1195" s="75" t="inlineStr">
        <is>
          <t>โปรซื้อ 11-19แพ็ค ลด 30%</t>
        </is>
      </c>
      <c r="B1195" s="6" t="inlineStr">
        <is>
          <t>กระดาษทรายเหลี่ยมขัดน้ำ 230มม.*280มม. เบอร์ 320</t>
        </is>
      </c>
      <c r="C1195" s="8" t="n">
        <v>6</v>
      </c>
      <c r="D1195" s="9" t="n">
        <v>700</v>
      </c>
      <c r="F1195" s="17" t="n">
        <v>0.3</v>
      </c>
      <c r="H1195" s="9" t="n">
        <v>2940</v>
      </c>
      <c r="I1195" s="10" t="inlineStr">
        <is>
          <t>ออโต้เทรด มาร์เก็ตติ้ง</t>
        </is>
      </c>
      <c r="J1195" s="161" t="n">
        <v>24272</v>
      </c>
      <c r="K1195" s="8" t="inlineStr">
        <is>
          <t>IV1433445</t>
        </is>
      </c>
      <c r="L1195" s="8" t="inlineStr">
        <is>
          <t>ราคาที่ลง ยังไม่รวมภาษี</t>
        </is>
      </c>
    </row>
    <row r="1196">
      <c r="A1196" s="75" t="inlineStr">
        <is>
          <t>โปรซื้อ 20แพ็ค ลด 35%</t>
        </is>
      </c>
      <c r="B1196" s="6" t="inlineStr">
        <is>
          <t>กระดาษทรายเหลี่ยมขัดน้ำ 230มม.*280มม. เบอร์ 320</t>
        </is>
      </c>
      <c r="C1196" s="8" t="n">
        <v>9</v>
      </c>
      <c r="D1196" s="9" t="n">
        <v>700</v>
      </c>
      <c r="F1196" s="17" t="n">
        <v>0.3</v>
      </c>
      <c r="H1196" s="9" t="n">
        <v>4410</v>
      </c>
      <c r="I1196" s="10" t="inlineStr">
        <is>
          <t>ออโต้เทรด มาร์เก็ตติ้ง</t>
        </is>
      </c>
      <c r="J1196" s="161" t="n">
        <v>24326</v>
      </c>
      <c r="K1196" s="8" t="inlineStr">
        <is>
          <t>IV1435877</t>
        </is>
      </c>
      <c r="L1196" s="8" t="inlineStr">
        <is>
          <t>ราคาที่ลง ยังไม่รวมภาษี</t>
        </is>
      </c>
    </row>
    <row r="1197">
      <c r="A1197" s="75" t="n"/>
      <c r="B1197" s="6" t="inlineStr">
        <is>
          <t>กระดาษทรายเหลี่ยมขัดน้ำ 230มม.*280มม. เบอร์ 320</t>
        </is>
      </c>
      <c r="C1197" s="8" t="n">
        <v>4</v>
      </c>
      <c r="D1197" s="9" t="n">
        <v>700</v>
      </c>
      <c r="F1197" s="17" t="n">
        <v>0.3</v>
      </c>
      <c r="H1197" s="9" t="n">
        <v>1960</v>
      </c>
      <c r="I1197" s="10" t="inlineStr">
        <is>
          <t>ออโต้เทรด มาร์เก็ตติ้ง</t>
        </is>
      </c>
      <c r="J1197" s="161" t="n">
        <v>24385</v>
      </c>
      <c r="K1197" s="8" t="inlineStr">
        <is>
          <t>IV1438645</t>
        </is>
      </c>
      <c r="L1197" s="8" t="inlineStr">
        <is>
          <t>ราคาที่ลง ยังไม่รวมภาษี</t>
        </is>
      </c>
    </row>
    <row r="1198">
      <c r="B1198" s="6" t="inlineStr">
        <is>
          <t>กระดาษทรายเหลี่ยมขัดน้ำ 230มม.*280มม. เบอร์ 320</t>
        </is>
      </c>
      <c r="C1198" s="8" t="n">
        <v>200</v>
      </c>
      <c r="D1198" s="9" t="n">
        <v>7</v>
      </c>
      <c r="F1198" s="8" t="n">
        <v>30</v>
      </c>
      <c r="H1198" s="9">
        <f>SUM(C1198*D1198*0.7)</f>
        <v/>
      </c>
      <c r="I1198" s="10" t="inlineStr">
        <is>
          <t>ออโต้ สมาร์ท</t>
        </is>
      </c>
      <c r="J1198" s="161" t="n">
        <v>24429</v>
      </c>
      <c r="K1198" s="8" t="inlineStr">
        <is>
          <t>IV1440657</t>
        </is>
      </c>
      <c r="L1198" s="8" t="inlineStr">
        <is>
          <t>ราคาที่ลง ยังไม่รวมภาษี</t>
        </is>
      </c>
    </row>
    <row r="1199">
      <c r="B1199" s="6" t="inlineStr">
        <is>
          <t xml:space="preserve">กระดาษทรายเหลี่ยมขัดน้ำ 230มม.*280มม. เบอร์ 320 ตราม้าส้ม </t>
        </is>
      </c>
      <c r="C1199" s="8" t="n">
        <v>500</v>
      </c>
      <c r="D1199" s="9" t="n">
        <v>7</v>
      </c>
      <c r="F1199" s="17" t="n">
        <v>0.3</v>
      </c>
      <c r="H1199" s="9">
        <f>SUM(C1199*D1199*0.7)</f>
        <v/>
      </c>
      <c r="I1199" s="10" t="inlineStr">
        <is>
          <t>ออโต้เทรด มาร์เก็ตติ้ง</t>
        </is>
      </c>
      <c r="J1199" s="161" t="n">
        <v>24516</v>
      </c>
      <c r="K1199" s="8" t="inlineStr">
        <is>
          <t>IV1444437</t>
        </is>
      </c>
      <c r="L1199" s="8" t="inlineStr">
        <is>
          <t>ราคาที่ลง ยังไม่รวมภาษี</t>
        </is>
      </c>
    </row>
    <row r="1200">
      <c r="A1200" s="75" t="inlineStr">
        <is>
          <t>โปรซื้อ 20แพ็ค ลด 35%</t>
        </is>
      </c>
      <c r="B1200" s="6" t="inlineStr">
        <is>
          <t>กระดาษทรายเหลี่ยมขัดน้ำ 230มม.*280มม. เบอร์ 320</t>
        </is>
      </c>
      <c r="C1200" s="8" t="n">
        <v>8</v>
      </c>
      <c r="D1200" s="9" t="n">
        <v>700</v>
      </c>
      <c r="F1200" s="17" t="n">
        <v>0.35</v>
      </c>
      <c r="G1200" s="10">
        <f>SUM(H1200*0.65)</f>
        <v/>
      </c>
      <c r="H1200" s="9">
        <f>SUM(D1200*C1200)</f>
        <v/>
      </c>
      <c r="I1200" s="10" t="inlineStr">
        <is>
          <t>ออโต้เทรด มาร์เก็ตติ้ง</t>
        </is>
      </c>
      <c r="J1200" s="161" t="n">
        <v>24587</v>
      </c>
      <c r="K1200" s="57" t="inlineStr">
        <is>
          <t>IV1447634</t>
        </is>
      </c>
      <c r="L1200" s="8" t="inlineStr">
        <is>
          <t>ราคาที่ลง ยังไม่รวมภาษี</t>
        </is>
      </c>
    </row>
    <row r="1201">
      <c r="A1201" s="75" t="n"/>
      <c r="B1201" s="6" t="inlineStr">
        <is>
          <t>กระดาษทรายเหลี่ยมขัดน้ำ 230มม.*280มม. เบอร์ 320</t>
        </is>
      </c>
      <c r="C1201" s="8" t="n">
        <v>9</v>
      </c>
      <c r="D1201" s="9" t="n">
        <v>700</v>
      </c>
      <c r="F1201" s="17" t="n">
        <v>0.35</v>
      </c>
      <c r="G1201" s="10">
        <f>SUM(H1201*0.65)</f>
        <v/>
      </c>
      <c r="H1201" s="9">
        <f>SUM(D1201*C1201)</f>
        <v/>
      </c>
      <c r="I1201" s="10" t="inlineStr">
        <is>
          <t>ออโต้เทรด มาร์เก็ตติ้ง</t>
        </is>
      </c>
      <c r="J1201" s="161" t="n">
        <v>24710</v>
      </c>
      <c r="K1201" s="57" t="inlineStr">
        <is>
          <t>IV1453250</t>
        </is>
      </c>
      <c r="L1201" s="8" t="inlineStr">
        <is>
          <t>ราคาที่ลง ยังไม่รวมภาษี</t>
        </is>
      </c>
    </row>
    <row r="1202">
      <c r="A1202" s="75" t="inlineStr">
        <is>
          <t>โปรซื้อ 20แพ็ค ลด 35%</t>
        </is>
      </c>
      <c r="B1202" s="6" t="inlineStr">
        <is>
          <t>กระดาษทรายเหลี่ยมขัดน้ำ 230มม.*280มม. เบอร์ 320</t>
        </is>
      </c>
      <c r="C1202" s="8" t="n">
        <v>10</v>
      </c>
      <c r="D1202" s="9" t="n">
        <v>749</v>
      </c>
      <c r="F1202" s="17" t="n">
        <v>0.35</v>
      </c>
      <c r="G1202" s="10">
        <f>SUM(H1202*0.65)</f>
        <v/>
      </c>
      <c r="H1202" s="9">
        <f>SUM(D1202*C1202)</f>
        <v/>
      </c>
      <c r="I1202" s="10" t="inlineStr">
        <is>
          <t>ออโต้เทรด</t>
        </is>
      </c>
      <c r="J1202" s="161" t="n">
        <v>24846</v>
      </c>
      <c r="K1202" s="8" t="inlineStr">
        <is>
          <t>IV1459290</t>
        </is>
      </c>
      <c r="L1202" s="8" t="inlineStr">
        <is>
          <t>ราคารวม VAT แล้ว</t>
        </is>
      </c>
    </row>
    <row r="1203">
      <c r="A1203" s="68" t="n"/>
      <c r="B1203" s="6" t="inlineStr">
        <is>
          <t>กระดาษทรายเหลี่ยมขัดน้ำ 230มม.*280มม. เบอร์ 320 (จำนวนแพ็ค)</t>
        </is>
      </c>
      <c r="C1203" s="8" t="n">
        <v>7</v>
      </c>
      <c r="D1203" s="9" t="n">
        <v>700</v>
      </c>
      <c r="E1203" s="9">
        <f>SUM(C1203*D1203)</f>
        <v/>
      </c>
      <c r="F1203" s="17" t="n">
        <v>0.35</v>
      </c>
      <c r="G1203" s="10" t="inlineStr">
        <is>
          <t>รวม VAT =</t>
        </is>
      </c>
      <c r="H1203" s="9">
        <f>SUM(E1203*O1203/N1203*P1203)</f>
        <v/>
      </c>
      <c r="I1203" s="10" t="inlineStr">
        <is>
          <t>ออโต้เทรด</t>
        </is>
      </c>
      <c r="J1203" s="161" t="n">
        <v>24996</v>
      </c>
      <c r="K1203" s="8" t="inlineStr">
        <is>
          <t>IV1466221</t>
        </is>
      </c>
      <c r="L1203" s="8" t="inlineStr">
        <is>
          <t>ราคารวม VAT แล้ว</t>
        </is>
      </c>
      <c r="N1203" s="6" t="n">
        <v>100</v>
      </c>
      <c r="O1203" s="6" t="n">
        <v>107</v>
      </c>
      <c r="P1203" s="6" t="n">
        <v>0.65</v>
      </c>
    </row>
    <row r="1204">
      <c r="B1204" s="6" t="inlineStr">
        <is>
          <t xml:space="preserve">กระดาษทรายเหลี่ยมขัดน้ำ 230มม.*280มม. เบอร์ 320 ตราม้าส้ม </t>
        </is>
      </c>
      <c r="C1204" s="8" t="n">
        <v>700</v>
      </c>
      <c r="D1204" s="9" t="n">
        <v>7</v>
      </c>
      <c r="F1204" s="17" t="n">
        <v>0.3</v>
      </c>
      <c r="G1204" s="10">
        <f>SUM(C1204*D1204*0.65)</f>
        <v/>
      </c>
      <c r="H1204" s="9">
        <f>SUM(G1204*107/100)</f>
        <v/>
      </c>
      <c r="I1204" s="10" t="inlineStr">
        <is>
          <t>ออโต้เทรด มาร์เก็ตติ้ง</t>
        </is>
      </c>
      <c r="J1204" s="161" t="n">
        <v>25135</v>
      </c>
      <c r="K1204" s="8" t="inlineStr">
        <is>
          <t>IV1472726</t>
        </is>
      </c>
      <c r="L1204" s="8" t="inlineStr">
        <is>
          <t>ราคาที่ลง ยังไม่รวมภาษี</t>
        </is>
      </c>
    </row>
    <row r="1206">
      <c r="B1206" s="6" t="inlineStr">
        <is>
          <t>กระดาษทรายน้ำ Oslong 9"x11" เบอร์ 600</t>
        </is>
      </c>
      <c r="C1206" s="8" t="inlineStr">
        <is>
          <t>400แผ่น</t>
        </is>
      </c>
      <c r="D1206" s="9" t="n">
        <v>7.5</v>
      </c>
      <c r="H1206" s="9" t="n">
        <v>3000</v>
      </c>
      <c r="I1206" s="10" t="inlineStr">
        <is>
          <t>เบรนเวิคส์</t>
        </is>
      </c>
      <c r="J1206" s="161" t="n">
        <v>22423</v>
      </c>
      <c r="L1206" s="8" t="inlineStr">
        <is>
          <t>ราคาที่ลง ยังไม่รวมภาษี</t>
        </is>
      </c>
    </row>
    <row r="1207">
      <c r="B1207" s="6" t="inlineStr">
        <is>
          <t>กระดาษทรายเหลี่ยมขัดน้ำ 230มม.*280มม. เบอร์ 600</t>
        </is>
      </c>
      <c r="C1207" s="8" t="inlineStr">
        <is>
          <t>300แผ่น</t>
        </is>
      </c>
      <c r="D1207" s="9" t="n">
        <v>7</v>
      </c>
      <c r="H1207" s="9" t="n">
        <v>2100</v>
      </c>
      <c r="I1207" s="10" t="inlineStr">
        <is>
          <t>ออโต้ สมาร์ท</t>
        </is>
      </c>
      <c r="J1207" s="161" t="n">
        <v>22840</v>
      </c>
      <c r="L1207" s="8" t="inlineStr">
        <is>
          <t>ราคาที่ลง ยังไม่รวมภาษี</t>
        </is>
      </c>
    </row>
    <row r="1208">
      <c r="B1208" s="6" t="inlineStr">
        <is>
          <t>กระดาษทรายเหลี่ยมขัดน้ำ 230มม.*280มม. เบอร์ 600</t>
        </is>
      </c>
      <c r="C1208" s="8" t="inlineStr">
        <is>
          <t>300แผ่น</t>
        </is>
      </c>
      <c r="D1208" s="9" t="n">
        <v>7</v>
      </c>
      <c r="H1208" s="9" t="n">
        <v>2100</v>
      </c>
      <c r="I1208" s="10" t="inlineStr">
        <is>
          <t>ออโต้ สมาร์ท</t>
        </is>
      </c>
      <c r="J1208" s="161" t="n">
        <v>22849</v>
      </c>
      <c r="L1208" s="8" t="inlineStr">
        <is>
          <t>ราคาที่ลง ยังไม่รวมภาษี</t>
        </is>
      </c>
    </row>
    <row r="1209">
      <c r="B1209" s="6" t="inlineStr">
        <is>
          <t>กระดาษทรายเหลี่ยมขัดน้ำ 230มม.*280มม. เบอร์ 600</t>
        </is>
      </c>
      <c r="C1209" s="8" t="inlineStr">
        <is>
          <t>300แผ่น</t>
        </is>
      </c>
      <c r="D1209" s="9" t="n">
        <v>7</v>
      </c>
      <c r="H1209" s="9" t="n">
        <v>2100</v>
      </c>
      <c r="I1209" s="10" t="inlineStr">
        <is>
          <t>ออโต้ สมาร์ท</t>
        </is>
      </c>
      <c r="J1209" s="161" t="n">
        <v>22863</v>
      </c>
      <c r="L1209" s="8" t="inlineStr">
        <is>
          <t>ราคาที่ลง ยังไม่รวมภาษี</t>
        </is>
      </c>
    </row>
    <row r="1210">
      <c r="B1210" s="6" t="inlineStr">
        <is>
          <t>กระดาษทรายเหลี่ยมขัดน้ำ 230มม.*280มม. เบอร์ 600</t>
        </is>
      </c>
      <c r="C1210" s="8" t="inlineStr">
        <is>
          <t>300แผ่น</t>
        </is>
      </c>
      <c r="D1210" s="9" t="n">
        <v>7</v>
      </c>
      <c r="H1210" s="9" t="n">
        <v>2100</v>
      </c>
      <c r="I1210" s="10" t="inlineStr">
        <is>
          <t>ออโต้ สมาร์ท</t>
        </is>
      </c>
      <c r="J1210" s="161" t="n">
        <v>22871</v>
      </c>
      <c r="L1210" s="8" t="inlineStr">
        <is>
          <t>ราคาที่ลง ยังไม่รวมภาษี</t>
        </is>
      </c>
    </row>
    <row r="1211">
      <c r="B1211" s="6" t="inlineStr">
        <is>
          <t>กระดาษทรายเหลี่ยมขัดน้ำ 230มม.*280มม. เบอร์ 600</t>
        </is>
      </c>
      <c r="C1211" s="8" t="inlineStr">
        <is>
          <t>200แผ่น</t>
        </is>
      </c>
      <c r="D1211" s="9" t="n">
        <v>7</v>
      </c>
      <c r="H1211" s="9" t="n">
        <v>1400</v>
      </c>
      <c r="I1211" s="10" t="inlineStr">
        <is>
          <t>ออโต้ สมาร์ท</t>
        </is>
      </c>
      <c r="J1211" s="161" t="n">
        <v>22882</v>
      </c>
      <c r="L1211" s="8" t="inlineStr">
        <is>
          <t>ราคาที่ลง ยังไม่รวมภาษี</t>
        </is>
      </c>
    </row>
    <row r="1212">
      <c r="B1212" s="6" t="inlineStr">
        <is>
          <t>กระดาษทรายเหลี่ยมขัดน้ำ 230มม.*280มม. เบอร์ 600</t>
        </is>
      </c>
      <c r="C1212" s="8" t="inlineStr">
        <is>
          <t>300แผ่น</t>
        </is>
      </c>
      <c r="D1212" s="9" t="n">
        <v>7</v>
      </c>
      <c r="H1212" s="9" t="n">
        <v>2100</v>
      </c>
      <c r="I1212" s="10" t="inlineStr">
        <is>
          <t>ออโต้ สมาร์ท</t>
        </is>
      </c>
      <c r="J1212" s="161" t="n">
        <v>22893</v>
      </c>
      <c r="L1212" s="8" t="inlineStr">
        <is>
          <t>ราคาที่ลง ยังไม่รวมภาษี</t>
        </is>
      </c>
    </row>
    <row r="1213">
      <c r="B1213" s="6" t="inlineStr">
        <is>
          <t>กระดาษทรายเหลี่ยมขัดน้ำ 230มม.*280มม. เบอร์ 600</t>
        </is>
      </c>
      <c r="C1213" s="8" t="inlineStr">
        <is>
          <t>300แผ่น</t>
        </is>
      </c>
      <c r="D1213" s="9" t="n">
        <v>7</v>
      </c>
      <c r="H1213" s="9" t="n">
        <v>2100</v>
      </c>
      <c r="I1213" s="10" t="inlineStr">
        <is>
          <t>ออโต้ สมาร์ท</t>
        </is>
      </c>
      <c r="J1213" s="161" t="n">
        <v>22898</v>
      </c>
      <c r="L1213" s="8" t="inlineStr">
        <is>
          <t>ราคาที่ลง ยังไม่รวมภาษี</t>
        </is>
      </c>
    </row>
    <row r="1214">
      <c r="B1214" s="6" t="inlineStr">
        <is>
          <t>กระดาษทรายเหลี่ยมขัดน้ำ 230มม.*280มม. เบอร์ 600</t>
        </is>
      </c>
      <c r="C1214" s="8" t="inlineStr">
        <is>
          <t>300แผ่น</t>
        </is>
      </c>
      <c r="D1214" s="9" t="n">
        <v>7</v>
      </c>
      <c r="H1214" s="9" t="n">
        <v>2100</v>
      </c>
      <c r="I1214" s="10" t="inlineStr">
        <is>
          <t>ออโต้ สมาร์ท</t>
        </is>
      </c>
      <c r="J1214" s="161" t="n">
        <v>22997</v>
      </c>
      <c r="L1214" s="8" t="inlineStr">
        <is>
          <t>ราคาที่ลง ยังไม่รวมภาษี</t>
        </is>
      </c>
    </row>
    <row r="1215">
      <c r="B1215" s="6" t="inlineStr">
        <is>
          <t>กระดาษทรายเหลี่ยมขัดน้ำ 230มม.*280มม. เบอร์ 600</t>
        </is>
      </c>
      <c r="C1215" s="8" t="inlineStr">
        <is>
          <t>300แผ่น</t>
        </is>
      </c>
      <c r="D1215" s="9" t="n">
        <v>7</v>
      </c>
      <c r="H1215" s="9" t="n">
        <v>2100</v>
      </c>
      <c r="I1215" s="10" t="inlineStr">
        <is>
          <t>ออโต้ สมาร์ท</t>
        </is>
      </c>
      <c r="J1215" s="161" t="n">
        <v>23064</v>
      </c>
      <c r="L1215" s="8" t="inlineStr">
        <is>
          <t>ราคาที่ลง ยังไม่รวมภาษี</t>
        </is>
      </c>
    </row>
    <row r="1216">
      <c r="B1216" s="6" t="inlineStr">
        <is>
          <t>กระดาษทรายเหลี่ยมขัดน้ำ 230มม.*280มม. เบอร์ 600</t>
        </is>
      </c>
      <c r="C1216" s="8" t="inlineStr">
        <is>
          <t>400แผ่น</t>
        </is>
      </c>
      <c r="D1216" s="9" t="n">
        <v>7</v>
      </c>
      <c r="H1216" s="9" t="n">
        <v>2800</v>
      </c>
      <c r="I1216" s="10" t="inlineStr">
        <is>
          <t>ออโต้ สมาร์ท</t>
        </is>
      </c>
      <c r="J1216" s="161" t="n">
        <v>23080</v>
      </c>
      <c r="L1216" s="8" t="inlineStr">
        <is>
          <t>ราคาที่ลง ยังไม่รวมภาษี</t>
        </is>
      </c>
    </row>
    <row r="1217">
      <c r="B1217" s="6" t="inlineStr">
        <is>
          <t>กระดาษทรายเหลี่ยมขัดน้ำ 230มม.*280มม. เบอร์ 600</t>
        </is>
      </c>
      <c r="C1217" s="8" t="inlineStr">
        <is>
          <t>300แผ่น</t>
        </is>
      </c>
      <c r="D1217" s="9" t="n">
        <v>7</v>
      </c>
      <c r="H1217" s="9" t="n">
        <v>2100</v>
      </c>
      <c r="I1217" s="10" t="inlineStr">
        <is>
          <t>ออโต้ สมาร์ท</t>
        </is>
      </c>
      <c r="J1217" s="161" t="n">
        <v>23087</v>
      </c>
      <c r="L1217" s="8" t="inlineStr">
        <is>
          <t>ราคาที่ลง ยังไม่รวมภาษี</t>
        </is>
      </c>
    </row>
    <row r="1218">
      <c r="B1218" s="6" t="inlineStr">
        <is>
          <t>กระดาษทรายเหลี่ยมขัดน้ำ 230มม.*280มม. เบอร์ 600</t>
        </is>
      </c>
      <c r="C1218" s="8" t="inlineStr">
        <is>
          <t>300แผ่น</t>
        </is>
      </c>
      <c r="D1218" s="9" t="n">
        <v>7</v>
      </c>
      <c r="H1218" s="9" t="n">
        <v>2100</v>
      </c>
      <c r="I1218" s="10" t="inlineStr">
        <is>
          <t>ออโต้ สมาร์ท</t>
        </is>
      </c>
      <c r="J1218" s="161" t="n">
        <v>23095</v>
      </c>
      <c r="L1218" s="8" t="inlineStr">
        <is>
          <t>ราคาที่ลง ยังไม่รวมภาษี</t>
        </is>
      </c>
    </row>
    <row r="1219">
      <c r="B1219" s="6" t="inlineStr">
        <is>
          <t>กระดาษทรายเหลี่ยมขัดน้ำ 230มม.*280มม. เบอร์ 600</t>
        </is>
      </c>
      <c r="C1219" s="8" t="inlineStr">
        <is>
          <t>200แผ่น</t>
        </is>
      </c>
      <c r="D1219" s="9" t="n">
        <v>7</v>
      </c>
      <c r="H1219" s="9" t="n">
        <v>1400</v>
      </c>
      <c r="I1219" s="10" t="inlineStr">
        <is>
          <t>ออโต้ สมาร์ท</t>
        </is>
      </c>
      <c r="J1219" s="161" t="n">
        <v>23110</v>
      </c>
      <c r="L1219" s="8" t="inlineStr">
        <is>
          <t>ราคาที่ลง ยังไม่รวมภาษี</t>
        </is>
      </c>
    </row>
    <row r="1220">
      <c r="B1220" s="6" t="inlineStr">
        <is>
          <t>กระดาษทรายเหลี่ยมขัดน้ำ 230มม.*280มม. เบอร์ 600</t>
        </is>
      </c>
      <c r="C1220" s="8" t="inlineStr">
        <is>
          <t>300แผ่น</t>
        </is>
      </c>
      <c r="D1220" s="9" t="n">
        <v>7</v>
      </c>
      <c r="H1220" s="9" t="n">
        <v>2100</v>
      </c>
      <c r="I1220" s="10" t="inlineStr">
        <is>
          <t>ออโต้ สมาร์ท</t>
        </is>
      </c>
      <c r="J1220" s="161" t="n">
        <v>23142</v>
      </c>
      <c r="L1220" s="8" t="inlineStr">
        <is>
          <t>ราคาที่ลง ยังไม่รวมภาษี</t>
        </is>
      </c>
    </row>
    <row r="1221">
      <c r="B1221" s="6" t="inlineStr">
        <is>
          <t>กระดาษทรายเหลี่ยมขัดน้ำ 230มม.*280มม. เบอร์ 600</t>
        </is>
      </c>
      <c r="C1221" s="8" t="inlineStr">
        <is>
          <t>300แผ่น</t>
        </is>
      </c>
      <c r="D1221" s="9" t="n">
        <v>7</v>
      </c>
      <c r="H1221" s="9" t="n">
        <v>2100</v>
      </c>
      <c r="I1221" s="10" t="inlineStr">
        <is>
          <t>ออโต้ สมาร์ท</t>
        </is>
      </c>
      <c r="J1221" s="161" t="n">
        <v>23151</v>
      </c>
      <c r="L1221" s="8" t="inlineStr">
        <is>
          <t>ราคาที่ลง ยังไม่รวมภาษี</t>
        </is>
      </c>
    </row>
    <row r="1222">
      <c r="B1222" s="6" t="inlineStr">
        <is>
          <t>กระดาษทรายเหลี่ยมขัดน้ำ 230มม.*280มม. เบอร์ 600</t>
        </is>
      </c>
      <c r="C1222" s="8" t="inlineStr">
        <is>
          <t>200แผ่น</t>
        </is>
      </c>
      <c r="D1222" s="9" t="n">
        <v>7</v>
      </c>
      <c r="H1222" s="9" t="n">
        <v>1400</v>
      </c>
      <c r="I1222" s="10" t="inlineStr">
        <is>
          <t>ออโต้ สมาร์ท</t>
        </is>
      </c>
      <c r="J1222" s="161" t="n">
        <v>23157</v>
      </c>
      <c r="L1222" s="8" t="inlineStr">
        <is>
          <t>ราคาที่ลง ยังไม่รวมภาษี</t>
        </is>
      </c>
    </row>
    <row r="1223">
      <c r="B1223" s="6" t="inlineStr">
        <is>
          <t>กระดาษทรายเหลี่ยมขัดน้ำ 230มม.*280มม. เบอร์ 600</t>
        </is>
      </c>
      <c r="C1223" s="8" t="inlineStr">
        <is>
          <t>300แผ่น</t>
        </is>
      </c>
      <c r="D1223" s="9" t="n">
        <v>7</v>
      </c>
      <c r="H1223" s="9" t="n">
        <v>2100</v>
      </c>
      <c r="I1223" s="10" t="inlineStr">
        <is>
          <t>ออโต้ สมาร์ท</t>
        </is>
      </c>
      <c r="J1223" s="161" t="n">
        <v>23172</v>
      </c>
      <c r="L1223" s="8" t="inlineStr">
        <is>
          <t>ราคาที่ลง ยังไม่รวมภาษี</t>
        </is>
      </c>
    </row>
    <row r="1224">
      <c r="B1224" s="6" t="inlineStr">
        <is>
          <t>กระดาษทรายเหลี่ยมขัดน้ำ 230มม.*280มม. เบอร์ 600</t>
        </is>
      </c>
      <c r="C1224" s="8" t="inlineStr">
        <is>
          <t>300แผ่น</t>
        </is>
      </c>
      <c r="D1224" s="9" t="n">
        <v>7</v>
      </c>
      <c r="H1224" s="9" t="n">
        <v>2100</v>
      </c>
      <c r="I1224" s="10" t="inlineStr">
        <is>
          <t>ออโต้ สมาร์ท</t>
        </is>
      </c>
      <c r="J1224" s="161" t="n">
        <v>23186</v>
      </c>
      <c r="L1224" s="8" t="inlineStr">
        <is>
          <t>ราคาที่ลง ยังไม่รวมภาษี</t>
        </is>
      </c>
    </row>
    <row r="1225">
      <c r="B1225" s="6" t="inlineStr">
        <is>
          <t>กระดาษทรายเหลี่ยมขัดน้ำ 230มม.*280มม. เบอร์ 600</t>
        </is>
      </c>
      <c r="C1225" s="8" t="inlineStr">
        <is>
          <t>300แผ่น</t>
        </is>
      </c>
      <c r="D1225" s="9" t="n">
        <v>7</v>
      </c>
      <c r="H1225" s="9" t="n">
        <v>2100</v>
      </c>
      <c r="I1225" s="10" t="inlineStr">
        <is>
          <t>ออโต้ สมาร์ท</t>
        </is>
      </c>
      <c r="J1225" s="161" t="n">
        <v>23202</v>
      </c>
      <c r="L1225" s="8" t="inlineStr">
        <is>
          <t>ราคาที่ลง ยังไม่รวมภาษี</t>
        </is>
      </c>
    </row>
    <row r="1226">
      <c r="B1226" s="6" t="inlineStr">
        <is>
          <t>กระดาษทรายเหลี่ยมขัดน้ำ 230มม.*280มม. เบอร์ 600</t>
        </is>
      </c>
      <c r="C1226" s="8" t="inlineStr">
        <is>
          <t>300แผ่น</t>
        </is>
      </c>
      <c r="D1226" s="9" t="n">
        <v>7</v>
      </c>
      <c r="H1226" s="9" t="n">
        <v>2100</v>
      </c>
      <c r="I1226" s="10" t="inlineStr">
        <is>
          <t>ออโต้ สมาร์ท</t>
        </is>
      </c>
      <c r="J1226" s="161" t="n">
        <v>23212</v>
      </c>
      <c r="L1226" s="8" t="inlineStr">
        <is>
          <t>ราคาที่ลง ยังไม่รวมภาษี</t>
        </is>
      </c>
    </row>
    <row r="1227">
      <c r="B1227" s="6" t="inlineStr">
        <is>
          <t>กระดาษทรายเหลี่ยมขัดน้ำ 230มม.*280มม. เบอร์ 600</t>
        </is>
      </c>
      <c r="C1227" s="8" t="inlineStr">
        <is>
          <t>300แผ่น</t>
        </is>
      </c>
      <c r="D1227" s="9" t="n">
        <v>7</v>
      </c>
      <c r="H1227" s="9" t="n">
        <v>2100</v>
      </c>
      <c r="I1227" s="10" t="inlineStr">
        <is>
          <t>ออโต้ สมาร์ท</t>
        </is>
      </c>
      <c r="J1227" s="161" t="n">
        <v>23230</v>
      </c>
      <c r="L1227" s="8" t="inlineStr">
        <is>
          <t>ราคาที่ลง ยังไม่รวมภาษี</t>
        </is>
      </c>
    </row>
    <row r="1228">
      <c r="B1228" s="6" t="inlineStr">
        <is>
          <t>กระดาษทรายเหลี่ยมขัดน้ำ 230มม.*280มม. เบอร์ 600</t>
        </is>
      </c>
      <c r="C1228" s="8" t="inlineStr">
        <is>
          <t>300แผ่น</t>
        </is>
      </c>
      <c r="D1228" s="9" t="n">
        <v>7</v>
      </c>
      <c r="H1228" s="9" t="n">
        <v>2100</v>
      </c>
      <c r="I1228" s="10" t="inlineStr">
        <is>
          <t>ออโต้ สมาร์ท</t>
        </is>
      </c>
      <c r="J1228" s="161" t="n">
        <v>23254</v>
      </c>
      <c r="L1228" s="8" t="inlineStr">
        <is>
          <t>ราคาที่ลง ยังไม่รวมภาษี</t>
        </is>
      </c>
    </row>
    <row r="1229">
      <c r="B1229" s="6" t="inlineStr">
        <is>
          <t>กระดาษทรายเหลี่ยมขัดน้ำ 230มม.*280มม. เบอร์ 600</t>
        </is>
      </c>
      <c r="C1229" s="8" t="inlineStr">
        <is>
          <t>200แผ่น</t>
        </is>
      </c>
      <c r="D1229" s="9" t="n">
        <v>7</v>
      </c>
      <c r="H1229" s="9" t="n">
        <v>1400</v>
      </c>
      <c r="I1229" s="10" t="inlineStr">
        <is>
          <t>ออโต้ สมาร์ท</t>
        </is>
      </c>
      <c r="J1229" s="161" t="n">
        <v>23269</v>
      </c>
      <c r="L1229" s="8" t="inlineStr">
        <is>
          <t>ราคาที่ลง ยังไม่รวมภาษี</t>
        </is>
      </c>
    </row>
    <row r="1230">
      <c r="B1230" s="6" t="inlineStr">
        <is>
          <t>กระดาษทรายเหลี่ยมขัดน้ำ 230มม.*280มม. เบอร์ 600</t>
        </is>
      </c>
      <c r="C1230" s="8" t="inlineStr">
        <is>
          <t>200แผ่น</t>
        </is>
      </c>
      <c r="D1230" s="9" t="n">
        <v>7</v>
      </c>
      <c r="H1230" s="9" t="n">
        <v>1400</v>
      </c>
      <c r="I1230" s="10" t="inlineStr">
        <is>
          <t>ออโต้ สมาร์ท</t>
        </is>
      </c>
      <c r="J1230" s="161" t="n">
        <v>23279</v>
      </c>
      <c r="L1230" s="8" t="inlineStr">
        <is>
          <t>ราคาที่ลง ยังไม่รวมภาษี</t>
        </is>
      </c>
    </row>
    <row r="1231">
      <c r="B1231" s="6" t="inlineStr">
        <is>
          <t>กระดาษทรายเหลี่ยมขัดน้ำ 230มม.*280มม. เบอร์ 600</t>
        </is>
      </c>
      <c r="C1231" s="8" t="inlineStr">
        <is>
          <t>300แผ่น</t>
        </is>
      </c>
      <c r="D1231" s="9" t="n">
        <v>7</v>
      </c>
      <c r="H1231" s="9" t="n">
        <v>2100</v>
      </c>
      <c r="I1231" s="10" t="inlineStr">
        <is>
          <t>ออโต้ สมาร์ท</t>
        </is>
      </c>
      <c r="J1231" s="161" t="n">
        <v>23293</v>
      </c>
      <c r="L1231" s="8" t="inlineStr">
        <is>
          <t>ราคาที่ลง ยังไม่รวมภาษี</t>
        </is>
      </c>
    </row>
    <row r="1232">
      <c r="B1232" s="6" t="inlineStr">
        <is>
          <t>กระดาษทรายเหลี่ยมขัดน้ำ 230มม.*280มม. เบอร์ 600</t>
        </is>
      </c>
      <c r="C1232" s="8" t="inlineStr">
        <is>
          <t>200แผ่น</t>
        </is>
      </c>
      <c r="D1232" s="9" t="n">
        <v>7</v>
      </c>
      <c r="H1232" s="9" t="n">
        <v>1400</v>
      </c>
      <c r="I1232" s="10" t="inlineStr">
        <is>
          <t>ออโต้ สมาร์ท</t>
        </is>
      </c>
      <c r="J1232" s="161" t="n">
        <v>23322</v>
      </c>
      <c r="L1232" s="8" t="inlineStr">
        <is>
          <t>ราคาที่ลง ยังไม่รวมภาษี</t>
        </is>
      </c>
    </row>
    <row r="1233">
      <c r="B1233" s="6" t="inlineStr">
        <is>
          <t>กระดาษทรายเหลี่ยมขัดน้ำ 230มม.*280มม. เบอร์ 600</t>
        </is>
      </c>
      <c r="C1233" s="8" t="inlineStr">
        <is>
          <t>200แผ่น</t>
        </is>
      </c>
      <c r="D1233" s="9" t="n">
        <v>7</v>
      </c>
      <c r="H1233" s="9" t="n">
        <v>1400</v>
      </c>
      <c r="I1233" s="10" t="inlineStr">
        <is>
          <t>ออโต้ สมาร์ท</t>
        </is>
      </c>
      <c r="J1233" s="161" t="n">
        <v>23335</v>
      </c>
      <c r="L1233" s="8" t="inlineStr">
        <is>
          <t>ราคาที่ลง ยังไม่รวมภาษี</t>
        </is>
      </c>
    </row>
    <row r="1234">
      <c r="B1234" s="6" t="inlineStr">
        <is>
          <t>กระดาษทรายเหลี่ยมขัดน้ำ 230มม.*280มม. เบอร์ 600</t>
        </is>
      </c>
      <c r="C1234" s="8" t="inlineStr">
        <is>
          <t>200แผ่น</t>
        </is>
      </c>
      <c r="D1234" s="9" t="n">
        <v>7</v>
      </c>
      <c r="H1234" s="9" t="n">
        <v>1400</v>
      </c>
      <c r="I1234" s="10" t="inlineStr">
        <is>
          <t>ออโต้ สมาร์ท</t>
        </is>
      </c>
      <c r="J1234" s="161" t="n">
        <v>23349</v>
      </c>
      <c r="L1234" s="8" t="inlineStr">
        <is>
          <t>ราคาที่ลง ยังไม่รวมภาษี</t>
        </is>
      </c>
    </row>
    <row r="1235">
      <c r="B1235" s="6" t="inlineStr">
        <is>
          <t>กระดาษทรายเหลี่ยมขัดน้ำ 230มม.*280มม. เบอร์ 600</t>
        </is>
      </c>
      <c r="C1235" s="8" t="inlineStr">
        <is>
          <t>200แผ่น</t>
        </is>
      </c>
      <c r="D1235" s="9" t="n">
        <v>7</v>
      </c>
      <c r="H1235" s="9" t="n">
        <v>1400</v>
      </c>
      <c r="I1235" s="10" t="inlineStr">
        <is>
          <t>ออโต้ สมาร์ท</t>
        </is>
      </c>
      <c r="J1235" s="161" t="n">
        <v>23387</v>
      </c>
      <c r="L1235" s="8" t="inlineStr">
        <is>
          <t>ราคาที่ลง ยังไม่รวมภาษี</t>
        </is>
      </c>
    </row>
    <row r="1236">
      <c r="B1236" s="6" t="inlineStr">
        <is>
          <t>กระดาษทรายเหลี่ยมขัดน้ำ 230มม.*280มม. เบอร์ 600</t>
        </is>
      </c>
      <c r="C1236" s="8" t="inlineStr">
        <is>
          <t>300แผ่น</t>
        </is>
      </c>
      <c r="D1236" s="9" t="n">
        <v>7</v>
      </c>
      <c r="H1236" s="9" t="n">
        <v>2100</v>
      </c>
      <c r="I1236" s="10" t="inlineStr">
        <is>
          <t>ออโต้ สมาร์ท</t>
        </is>
      </c>
      <c r="J1236" s="161" t="n">
        <v>23399</v>
      </c>
      <c r="L1236" s="8" t="inlineStr">
        <is>
          <t>ราคาที่ลง ยังไม่รวมภาษี</t>
        </is>
      </c>
    </row>
    <row r="1237">
      <c r="B1237" s="6" t="inlineStr">
        <is>
          <t>กระดาษทรายเหลี่ยมขัดน้ำ 230มม.*280มม. เบอร์ 600</t>
        </is>
      </c>
      <c r="C1237" s="8" t="inlineStr">
        <is>
          <t>200แผ่น</t>
        </is>
      </c>
      <c r="D1237" s="9" t="n">
        <v>7</v>
      </c>
      <c r="H1237" s="9" t="n">
        <v>1400</v>
      </c>
      <c r="I1237" s="10" t="inlineStr">
        <is>
          <t>ออโต้ สมาร์ท</t>
        </is>
      </c>
      <c r="J1237" s="161" t="n">
        <v>23411</v>
      </c>
      <c r="L1237" s="8" t="inlineStr">
        <is>
          <t>ราคาที่ลง ยังไม่รวมภาษี</t>
        </is>
      </c>
    </row>
    <row r="1238">
      <c r="B1238" s="6" t="inlineStr">
        <is>
          <t>กระดาษทรายเหลี่ยมขัดน้ำ 230มม.*280มม. เบอร์ 600</t>
        </is>
      </c>
      <c r="C1238" s="8" t="inlineStr">
        <is>
          <t>200แผ่น</t>
        </is>
      </c>
      <c r="D1238" s="9" t="n">
        <v>7</v>
      </c>
      <c r="H1238" s="9" t="n">
        <v>1400</v>
      </c>
      <c r="I1238" s="10" t="inlineStr">
        <is>
          <t>ออโต้ สมาร์ท</t>
        </is>
      </c>
      <c r="J1238" s="161" t="n">
        <v>23442</v>
      </c>
      <c r="L1238" s="8" t="inlineStr">
        <is>
          <t>ราคาที่ลง ยังไม่รวมภาษี</t>
        </is>
      </c>
    </row>
    <row r="1239">
      <c r="B1239" s="6" t="inlineStr">
        <is>
          <t>กระดาษทรายเหลี่ยมขัดน้ำ 230มม.*280มม. เบอร์ 600</t>
        </is>
      </c>
      <c r="C1239" s="8" t="inlineStr">
        <is>
          <t>300แผ่น</t>
        </is>
      </c>
      <c r="D1239" s="9" t="n">
        <v>7</v>
      </c>
      <c r="H1239" s="9" t="n">
        <v>2100</v>
      </c>
      <c r="I1239" s="10" t="inlineStr">
        <is>
          <t>ออโต้ สมาร์ท</t>
        </is>
      </c>
      <c r="J1239" s="161" t="n">
        <v>23455</v>
      </c>
      <c r="L1239" s="8" t="inlineStr">
        <is>
          <t>ราคาที่ลง ยังไม่รวมภาษี</t>
        </is>
      </c>
    </row>
    <row r="1240">
      <c r="B1240" s="6" t="inlineStr">
        <is>
          <t>กระดาษทรายเหลี่ยมขัดน้ำ 230มม.*280มม. เบอร์ 600</t>
        </is>
      </c>
      <c r="C1240" s="8" t="inlineStr">
        <is>
          <t>200แผ่น</t>
        </is>
      </c>
      <c r="D1240" s="9" t="n">
        <v>7</v>
      </c>
      <c r="H1240" s="9" t="n">
        <v>1400</v>
      </c>
      <c r="I1240" s="10" t="inlineStr">
        <is>
          <t>ออโต้ สมาร์ท</t>
        </is>
      </c>
      <c r="J1240" s="161" t="n">
        <v>23462</v>
      </c>
      <c r="L1240" s="8" t="inlineStr">
        <is>
          <t>ราคาที่ลง ยังไม่รวมภาษี</t>
        </is>
      </c>
    </row>
    <row r="1241">
      <c r="B1241" s="6" t="inlineStr">
        <is>
          <t>กระดาษทรายเหลี่ยมขัดน้ำ 230มม.*280มม. เบอร์ 600</t>
        </is>
      </c>
      <c r="C1241" s="8" t="inlineStr">
        <is>
          <t>200แผ่น</t>
        </is>
      </c>
      <c r="D1241" s="9" t="n">
        <v>7</v>
      </c>
      <c r="H1241" s="9" t="n">
        <v>1400</v>
      </c>
      <c r="I1241" s="10" t="inlineStr">
        <is>
          <t>ออโต้ สมาร์ท</t>
        </is>
      </c>
      <c r="J1241" s="161" t="n">
        <v>23503</v>
      </c>
      <c r="L1241" s="8" t="inlineStr">
        <is>
          <t>ราคาที่ลง ยังไม่รวมภาษี</t>
        </is>
      </c>
    </row>
    <row r="1242">
      <c r="B1242" s="6" t="inlineStr">
        <is>
          <t>กระดาษทรายเหลี่ยมขัดน้ำ 230มม.*280มม. เบอร์ 600</t>
        </is>
      </c>
      <c r="C1242" s="8" t="inlineStr">
        <is>
          <t>200แผ่น</t>
        </is>
      </c>
      <c r="D1242" s="9" t="n">
        <v>7</v>
      </c>
      <c r="H1242" s="9" t="n">
        <v>1400</v>
      </c>
      <c r="I1242" s="10" t="inlineStr">
        <is>
          <t>ออโต้ สมาร์ท</t>
        </is>
      </c>
      <c r="J1242" s="161" t="n">
        <v>23571</v>
      </c>
      <c r="L1242" s="8" t="inlineStr">
        <is>
          <t>ราคาที่ลง ยังไม่รวมภาษี</t>
        </is>
      </c>
    </row>
    <row r="1243">
      <c r="B1243" s="6" t="inlineStr">
        <is>
          <t>กระดาษทรายเหลี่ยมขัดน้ำ 230มม.*280มม. เบอร์ 600</t>
        </is>
      </c>
      <c r="C1243" s="8" t="inlineStr">
        <is>
          <t>200แผ่น</t>
        </is>
      </c>
      <c r="D1243" s="9" t="n">
        <v>7</v>
      </c>
      <c r="H1243" s="9" t="n">
        <v>1400</v>
      </c>
      <c r="I1243" s="10" t="inlineStr">
        <is>
          <t>ออโต้ สมาร์ท</t>
        </is>
      </c>
      <c r="J1243" s="161" t="n">
        <v>23577</v>
      </c>
      <c r="L1243" s="8" t="inlineStr">
        <is>
          <t>ราคาที่ลง ยังไม่รวมภาษี</t>
        </is>
      </c>
    </row>
    <row r="1244">
      <c r="B1244" s="6" t="inlineStr">
        <is>
          <t>กระดาษทรายเหลี่ยมขัดน้ำ 230มม.*280มม. เบอร์ 600</t>
        </is>
      </c>
      <c r="C1244" s="8" t="inlineStr">
        <is>
          <t>200แผ่น</t>
        </is>
      </c>
      <c r="D1244" s="9" t="n">
        <v>7</v>
      </c>
      <c r="H1244" s="9" t="n">
        <v>1400</v>
      </c>
      <c r="I1244" s="10" t="inlineStr">
        <is>
          <t>ออโต้ สมาร์ท</t>
        </is>
      </c>
      <c r="J1244" s="161" t="n">
        <v>23598</v>
      </c>
      <c r="L1244" s="8" t="inlineStr">
        <is>
          <t>ราคาที่ลง ยังไม่รวมภาษี</t>
        </is>
      </c>
    </row>
    <row r="1245">
      <c r="B1245" s="6" t="inlineStr">
        <is>
          <t>กระดาษทรายเหลี่ยมขัดน้ำ 230มม.*280มม. เบอร์ 600</t>
        </is>
      </c>
      <c r="C1245" s="8" t="inlineStr">
        <is>
          <t>200แผ่น</t>
        </is>
      </c>
      <c r="D1245" s="9" t="n">
        <v>7</v>
      </c>
      <c r="H1245" s="9" t="n">
        <v>1400</v>
      </c>
      <c r="I1245" s="10" t="inlineStr">
        <is>
          <t>ออโต้ สมาร์ท</t>
        </is>
      </c>
      <c r="J1245" s="161" t="n">
        <v>23620</v>
      </c>
      <c r="K1245" s="8" t="n">
        <v>202108203</v>
      </c>
      <c r="L1245" s="8" t="inlineStr">
        <is>
          <t>ราคาที่ลง ยังไม่รวมภาษี</t>
        </is>
      </c>
    </row>
    <row r="1246">
      <c r="B1246" s="6" t="inlineStr">
        <is>
          <t>กระดาษทรายเหลี่ยมขัดน้ำ 230มม.*280มม. เบอร์ 600</t>
        </is>
      </c>
      <c r="C1246" s="8" t="inlineStr">
        <is>
          <t>400แผ่น</t>
        </is>
      </c>
      <c r="D1246" s="9" t="n">
        <v>7</v>
      </c>
      <c r="H1246" s="9" t="n">
        <v>2800</v>
      </c>
      <c r="I1246" s="10" t="inlineStr">
        <is>
          <t>ออโต้ สมาร์ท</t>
        </is>
      </c>
      <c r="J1246" s="161" t="n">
        <v>23643</v>
      </c>
      <c r="K1246" s="8" t="n">
        <v>202109165</v>
      </c>
      <c r="L1246" s="8" t="inlineStr">
        <is>
          <t>ราคาที่ลง ยังไม่รวมภาษี</t>
        </is>
      </c>
    </row>
    <row r="1247">
      <c r="B1247" s="6" t="inlineStr">
        <is>
          <t>กระดาษทรายเหลี่ยมขัดน้ำ 230มม.*280มม. เบอร์ 600</t>
        </is>
      </c>
      <c r="C1247" s="8" t="inlineStr">
        <is>
          <t>300แผ่น</t>
        </is>
      </c>
      <c r="D1247" s="9" t="n">
        <v>7</v>
      </c>
      <c r="H1247" s="9" t="n">
        <v>2100</v>
      </c>
      <c r="I1247" s="10" t="inlineStr">
        <is>
          <t>ออโต้ สมาร์ท</t>
        </is>
      </c>
      <c r="J1247" s="161" t="n">
        <v>23661</v>
      </c>
      <c r="K1247" s="8" t="n">
        <v>202110080</v>
      </c>
      <c r="L1247" s="8" t="inlineStr">
        <is>
          <t>ราคาที่ลง ยังไม่รวมภาษี</t>
        </is>
      </c>
    </row>
    <row r="1248">
      <c r="B1248" s="6" t="inlineStr">
        <is>
          <t>กระดาษทรายเหลี่ยมขัดน้ำ 230มม.*280มม. เบอร์ 600</t>
        </is>
      </c>
      <c r="C1248" s="8" t="inlineStr">
        <is>
          <t>300แผ่น</t>
        </is>
      </c>
      <c r="D1248" s="9" t="n">
        <v>7</v>
      </c>
      <c r="H1248" s="9" t="n">
        <v>2100</v>
      </c>
      <c r="I1248" s="10" t="inlineStr">
        <is>
          <t>ออโต้ สมาร์ท</t>
        </is>
      </c>
      <c r="J1248" s="161" t="n">
        <v>23691</v>
      </c>
      <c r="K1248" s="8" t="n">
        <v>202111095</v>
      </c>
      <c r="L1248" s="8" t="inlineStr">
        <is>
          <t>ราคาที่ลง ยังไม่รวมภาษี</t>
        </is>
      </c>
    </row>
    <row r="1249">
      <c r="B1249" s="6" t="inlineStr">
        <is>
          <t>กระดาษทรายเหลี่ยมขัดน้ำ 230มม.*280มม. เบอร์ 600</t>
        </is>
      </c>
      <c r="C1249" s="8" t="inlineStr">
        <is>
          <t>300แผ่น</t>
        </is>
      </c>
      <c r="D1249" s="9" t="n">
        <v>7</v>
      </c>
      <c r="H1249" s="9" t="n">
        <v>2100</v>
      </c>
      <c r="I1249" s="10" t="inlineStr">
        <is>
          <t>ออโต้ สมาร์ท</t>
        </is>
      </c>
      <c r="J1249" s="161" t="n">
        <v>23718</v>
      </c>
      <c r="K1249" s="8" t="n">
        <v>202112058</v>
      </c>
      <c r="L1249" s="8" t="inlineStr">
        <is>
          <t>ราคาที่ลง ยังไม่รวมภาษี</t>
        </is>
      </c>
    </row>
    <row r="1250">
      <c r="B1250" s="6" t="inlineStr">
        <is>
          <t>กระดาษทรายเหลี่ยมขัดน้ำ 230มม.*280มม. เบอร์ 600 -- แถมฟรี</t>
        </is>
      </c>
      <c r="C1250" s="8" t="inlineStr">
        <is>
          <t>100แผ่น</t>
        </is>
      </c>
      <c r="H1250" s="16" t="inlineStr">
        <is>
          <t>ได้โปรแถมฟรี</t>
        </is>
      </c>
      <c r="I1250" s="10" t="inlineStr">
        <is>
          <t>ออโต้ สมาร์ท</t>
        </is>
      </c>
      <c r="J1250" s="161" t="n">
        <v>23718</v>
      </c>
      <c r="K1250" s="8" t="n">
        <v>202112058</v>
      </c>
      <c r="L1250" s="8" t="inlineStr">
        <is>
          <t>ราคาที่ลง ยังไม่รวมภาษี</t>
        </is>
      </c>
    </row>
    <row r="1251">
      <c r="B1251" s="6" t="inlineStr">
        <is>
          <t>กระดาษทรายเหลี่ยมขัดน้ำ 230มม.*280มม. เบอร์ 600</t>
        </is>
      </c>
      <c r="C1251" s="8" t="inlineStr">
        <is>
          <t>200แผ่น</t>
        </is>
      </c>
      <c r="D1251" s="9" t="n">
        <v>7</v>
      </c>
      <c r="H1251" s="9" t="n">
        <v>1400</v>
      </c>
      <c r="I1251" s="10" t="inlineStr">
        <is>
          <t>ออโต้ สมาร์ท</t>
        </is>
      </c>
      <c r="J1251" s="161" t="n">
        <v>23762</v>
      </c>
      <c r="K1251" s="8" t="n">
        <v>202201143</v>
      </c>
      <c r="L1251" s="8" t="inlineStr">
        <is>
          <t>ราคาที่ลง ยังไม่รวมภาษี</t>
        </is>
      </c>
    </row>
    <row r="1252">
      <c r="B1252" s="6" t="inlineStr">
        <is>
          <t>กระดาษทรายเหลี่ยมขัดน้ำ 230มม.*280มม. เบอร์ 600 -- แถมฟรี</t>
        </is>
      </c>
      <c r="C1252" s="8" t="inlineStr">
        <is>
          <t>100แผ่น</t>
        </is>
      </c>
      <c r="H1252" s="16" t="inlineStr">
        <is>
          <t>ได้โปรแถมฟรี</t>
        </is>
      </c>
      <c r="I1252" s="10" t="inlineStr">
        <is>
          <t>ออโต้ สมาร์ท</t>
        </is>
      </c>
      <c r="J1252" s="161" t="n">
        <v>23762</v>
      </c>
      <c r="K1252" s="8" t="n">
        <v>202201143</v>
      </c>
      <c r="L1252" s="8" t="inlineStr">
        <is>
          <t>ราคาที่ลง ยังไม่รวมภาษี</t>
        </is>
      </c>
    </row>
    <row r="1253">
      <c r="B1253" s="6" t="inlineStr">
        <is>
          <t>กระดาษทรายเหลี่ยมขัดน้ำ 230มม.*280มม. เบอร์ 600</t>
        </is>
      </c>
      <c r="C1253" s="8" t="inlineStr">
        <is>
          <t>300แผ่น</t>
        </is>
      </c>
      <c r="D1253" s="9" t="n">
        <v>7</v>
      </c>
      <c r="H1253" s="9" t="n">
        <v>2100</v>
      </c>
      <c r="I1253" s="10" t="inlineStr">
        <is>
          <t>ออโต้ สมาร์ท</t>
        </is>
      </c>
      <c r="J1253" s="161" t="n">
        <v>23829</v>
      </c>
      <c r="K1253" s="8" t="n">
        <v>202203217</v>
      </c>
      <c r="L1253" s="8" t="inlineStr">
        <is>
          <t>ราคาที่ลง ยังไม่รวมภาษี</t>
        </is>
      </c>
    </row>
    <row r="1254">
      <c r="B1254" s="6" t="inlineStr">
        <is>
          <t>กระดาษทรายเหลี่ยมขัดน้ำ 230มม.*280มม. เบอร์ 600</t>
        </is>
      </c>
      <c r="C1254" s="8" t="inlineStr">
        <is>
          <t>100แผ่น</t>
        </is>
      </c>
      <c r="D1254" s="9" t="n">
        <v>7</v>
      </c>
      <c r="H1254" s="9" t="n">
        <v>700</v>
      </c>
      <c r="I1254" s="10" t="inlineStr">
        <is>
          <t>ออโต้ สมาร์ท</t>
        </is>
      </c>
      <c r="J1254" s="161" t="n">
        <v>23868</v>
      </c>
      <c r="K1254" s="8" t="n">
        <v>202205057</v>
      </c>
      <c r="L1254" s="8" t="inlineStr">
        <is>
          <t>ราคาที่ลง ยังไม่รวมภาษี</t>
        </is>
      </c>
    </row>
    <row r="1255">
      <c r="B1255" s="6" t="inlineStr">
        <is>
          <t>กระดาษทรายเหลี่ยมขัดน้ำ 230มม.*280มม. เบอร์ 600 -- แถมฟรี</t>
        </is>
      </c>
      <c r="C1255" s="8" t="inlineStr">
        <is>
          <t>100แผ่น</t>
        </is>
      </c>
      <c r="H1255" s="16" t="inlineStr">
        <is>
          <t>ได้โปรแถมฟรี</t>
        </is>
      </c>
      <c r="I1255" s="10" t="inlineStr">
        <is>
          <t>ออโต้ สมาร์ท</t>
        </is>
      </c>
      <c r="J1255" s="161" t="n">
        <v>23868</v>
      </c>
      <c r="K1255" s="8" t="n">
        <v>202205057</v>
      </c>
      <c r="L1255" s="8" t="inlineStr">
        <is>
          <t>ราคาที่ลง ยังไม่รวมภาษี</t>
        </is>
      </c>
    </row>
    <row r="1256">
      <c r="B1256" s="6" t="inlineStr">
        <is>
          <t>กระดาษทรายเหลี่ยมขัดน้ำ 230มม.*280มม. เบอร์ 600</t>
        </is>
      </c>
      <c r="C1256" s="8" t="inlineStr">
        <is>
          <t>200แผ่น</t>
        </is>
      </c>
      <c r="D1256" s="9" t="n">
        <v>7</v>
      </c>
      <c r="H1256" s="9" t="n">
        <v>1400</v>
      </c>
      <c r="I1256" s="10" t="inlineStr">
        <is>
          <t>ออโต้ สมาร์ท</t>
        </is>
      </c>
      <c r="J1256" s="161" t="n">
        <v>23888</v>
      </c>
      <c r="K1256" s="8" t="n">
        <v>202205231</v>
      </c>
      <c r="L1256" s="8" t="inlineStr">
        <is>
          <t>ราคาที่ลง ยังไม่รวมภาษี</t>
        </is>
      </c>
    </row>
    <row r="1257">
      <c r="B1257" s="6" t="inlineStr">
        <is>
          <t>กระดาษทรายเหลี่ยมขัดน้ำ 230มม.*280มม. เบอร์ 600</t>
        </is>
      </c>
      <c r="C1257" s="8" t="inlineStr">
        <is>
          <t>1100แผ่น</t>
        </is>
      </c>
      <c r="D1257" s="9" t="n">
        <v>7</v>
      </c>
      <c r="F1257" s="17" t="n">
        <v>0.35</v>
      </c>
      <c r="H1257" s="9" t="n">
        <v>5005</v>
      </c>
      <c r="I1257" s="10" t="inlineStr">
        <is>
          <t>ออโต้เทรด มาร์เก็ตติ้ง</t>
        </is>
      </c>
      <c r="J1257" s="161" t="n">
        <v>23907</v>
      </c>
      <c r="K1257" s="8" t="inlineStr">
        <is>
          <t>IV1417481</t>
        </is>
      </c>
      <c r="L1257" s="8" t="inlineStr">
        <is>
          <t>ราคาที่ลง ยังไม่รวมภาษี</t>
        </is>
      </c>
    </row>
    <row r="1258">
      <c r="B1258" s="6" t="inlineStr">
        <is>
          <t xml:space="preserve">กระดาษทรายเหลี่ยมขัดน้ำ 230มม.*280มม. เบอร์ 600 ตราม้าส้ม </t>
        </is>
      </c>
      <c r="C1258" s="8" t="inlineStr">
        <is>
          <t>800แผ่น</t>
        </is>
      </c>
      <c r="D1258" s="9" t="n">
        <v>7</v>
      </c>
      <c r="F1258" s="17" t="n">
        <v>0.35</v>
      </c>
      <c r="H1258" s="9" t="n">
        <v>3640</v>
      </c>
      <c r="I1258" s="10" t="inlineStr">
        <is>
          <t>ออโต้เทรด มาร์เก็ตติ้ง</t>
        </is>
      </c>
      <c r="J1258" s="161" t="n">
        <v>23997</v>
      </c>
      <c r="K1258" s="8" t="inlineStr">
        <is>
          <t>IV1421363</t>
        </is>
      </c>
      <c r="L1258" s="8" t="inlineStr">
        <is>
          <t>ราคาที่ลง ยังไม่รวมภาษี</t>
        </is>
      </c>
    </row>
    <row r="1259">
      <c r="B1259" s="6" t="inlineStr">
        <is>
          <t xml:space="preserve">กระดาษทรายเหลี่ยมขัดน้ำ 230มม.*280มม. เบอร์ 600 ตราม้าส้ม </t>
        </is>
      </c>
      <c r="C1259" s="8" t="inlineStr">
        <is>
          <t>7แพ็ค</t>
        </is>
      </c>
      <c r="D1259" s="9" t="n">
        <v>700</v>
      </c>
      <c r="F1259" s="17" t="n">
        <v>0.35</v>
      </c>
      <c r="H1259" s="9" t="n">
        <v>3185</v>
      </c>
      <c r="I1259" s="10" t="inlineStr">
        <is>
          <t>ออโต้เทรด มาร์เก็ตติ้ง</t>
        </is>
      </c>
      <c r="J1259" s="161" t="n">
        <v>24084</v>
      </c>
      <c r="K1259" s="8" t="inlineStr">
        <is>
          <t>IV1425090</t>
        </is>
      </c>
      <c r="L1259" s="8" t="inlineStr">
        <is>
          <t>ราคาที่ลง ยังไม่รวมภาษี</t>
        </is>
      </c>
    </row>
    <row r="1260">
      <c r="B1260" s="6" t="inlineStr">
        <is>
          <t>กระดาษทรายเหลี่ยมขัดน้ำ 230มม.*280มม. เบอร์ 600 ตราม้าเขียว</t>
        </is>
      </c>
      <c r="C1260" s="8" t="inlineStr">
        <is>
          <t>6แพ็ค</t>
        </is>
      </c>
      <c r="D1260" s="9" t="n">
        <v>900</v>
      </c>
      <c r="F1260" s="17" t="n">
        <v>0.35</v>
      </c>
      <c r="H1260" s="9" t="n">
        <v>3510</v>
      </c>
      <c r="I1260" s="10" t="inlineStr">
        <is>
          <t>ออโต้เทรด มาร์เก็ตติ้ง</t>
        </is>
      </c>
      <c r="J1260" s="161" t="n">
        <v>24138</v>
      </c>
      <c r="K1260" s="8" t="inlineStr">
        <is>
          <t>IV1427206</t>
        </is>
      </c>
      <c r="L1260" s="8" t="inlineStr">
        <is>
          <t>ราคาที่ลง ยังไม่รวมภาษี</t>
        </is>
      </c>
    </row>
    <row r="1261">
      <c r="B1261" s="6" t="inlineStr">
        <is>
          <t xml:space="preserve">กระดาษทรายเหลี่ยมขัดน้ำ 230มม.*280มม. เบอร์ 600 ตราม้าส้ม </t>
        </is>
      </c>
      <c r="C1261" s="8" t="inlineStr">
        <is>
          <t>15แพ็ค</t>
        </is>
      </c>
      <c r="D1261" s="9" t="n">
        <v>700</v>
      </c>
      <c r="F1261" s="17" t="n">
        <v>0.35</v>
      </c>
      <c r="H1261" s="9" t="n">
        <v>7350</v>
      </c>
      <c r="I1261" s="10" t="inlineStr">
        <is>
          <t>ออโต้เทรด มาร์เก็ตติ้ง</t>
        </is>
      </c>
      <c r="J1261" s="161" t="n">
        <v>24145</v>
      </c>
      <c r="K1261" s="8" t="inlineStr">
        <is>
          <t>IV1427669</t>
        </is>
      </c>
      <c r="L1261" s="8" t="inlineStr">
        <is>
          <t>ราคาที่ลง ยังไม่รวมภาษี</t>
        </is>
      </c>
    </row>
    <row r="1262">
      <c r="A1262" s="68" t="n"/>
      <c r="B1262" s="6" t="inlineStr">
        <is>
          <t xml:space="preserve">กระดาษทรายเหลี่ยมขัดน้ำ 230มม.*280มม. เบอร์ 600 ตราม้าส้ม </t>
        </is>
      </c>
      <c r="C1262" s="8" t="inlineStr">
        <is>
          <t>6แพ็ค</t>
        </is>
      </c>
      <c r="D1262" s="9" t="n">
        <v>700</v>
      </c>
      <c r="F1262" s="17" t="n">
        <v>0.3</v>
      </c>
      <c r="H1262" s="9" t="n">
        <v>2940</v>
      </c>
      <c r="I1262" s="10" t="inlineStr">
        <is>
          <t>ออโต้เทรด มาร์เก็ตติ้ง</t>
        </is>
      </c>
      <c r="J1262" s="161" t="n">
        <v>24202</v>
      </c>
      <c r="K1262" s="8" t="inlineStr">
        <is>
          <t>IV1430190</t>
        </is>
      </c>
      <c r="L1262" s="8" t="inlineStr">
        <is>
          <t>ราคาที่ลง ยังไม่รวมภาษี</t>
        </is>
      </c>
    </row>
    <row r="1263">
      <c r="A1263" s="75" t="n"/>
      <c r="B1263" s="6" t="inlineStr">
        <is>
          <t>กระดาษทรายเหลี่ยมขัดน้ำ 230มม.*280มม. เบอร์ 600</t>
        </is>
      </c>
      <c r="C1263" s="8" t="n">
        <v>4</v>
      </c>
      <c r="D1263" s="9" t="n">
        <v>700</v>
      </c>
      <c r="F1263" s="17" t="n">
        <v>0.3</v>
      </c>
      <c r="H1263" s="9" t="n">
        <v>1960</v>
      </c>
      <c r="I1263" s="10" t="inlineStr">
        <is>
          <t>ออโต้เทรด มาร์เก็ตติ้ง</t>
        </is>
      </c>
      <c r="J1263" s="161" t="n">
        <v>24272</v>
      </c>
      <c r="K1263" s="8" t="inlineStr">
        <is>
          <t>IV1433445</t>
        </is>
      </c>
      <c r="L1263" s="8" t="inlineStr">
        <is>
          <t>ราคาที่ลง ยังไม่รวมภาษี</t>
        </is>
      </c>
    </row>
    <row r="1264">
      <c r="A1264" s="75" t="inlineStr">
        <is>
          <t>โปรซื้อ 11-19แพ็ค ลด 30%</t>
        </is>
      </c>
      <c r="B1264" s="6" t="inlineStr">
        <is>
          <t>กระดาษทรายเหลี่ยมขัดน้ำ 230มม.*280มม. เบอร์ 600</t>
        </is>
      </c>
      <c r="C1264" s="8" t="n">
        <v>9</v>
      </c>
      <c r="D1264" s="9" t="n">
        <v>700</v>
      </c>
      <c r="F1264" s="17" t="n">
        <v>0.3</v>
      </c>
      <c r="H1264" s="9" t="n">
        <v>4410</v>
      </c>
      <c r="I1264" s="10" t="inlineStr">
        <is>
          <t>ออโต้เทรด มาร์เก็ตติ้ง</t>
        </is>
      </c>
      <c r="J1264" s="161" t="n">
        <v>24326</v>
      </c>
      <c r="K1264" s="8" t="inlineStr">
        <is>
          <t>IV1435877</t>
        </is>
      </c>
      <c r="L1264" s="8" t="inlineStr">
        <is>
          <t>ราคาที่ลง ยังไม่รวมภาษี</t>
        </is>
      </c>
    </row>
    <row r="1265">
      <c r="A1265" s="75" t="inlineStr">
        <is>
          <t>โปรซื้อ 20แพ็ค ลด 35%</t>
        </is>
      </c>
      <c r="B1265" s="6" t="inlineStr">
        <is>
          <t>กระดาษทรายเหลี่ยมขัดน้ำ 230มม.*280มม. เบอร์ 600</t>
        </is>
      </c>
      <c r="C1265" s="8" t="n">
        <v>3</v>
      </c>
      <c r="D1265" s="9" t="n">
        <v>700</v>
      </c>
      <c r="F1265" s="17" t="n">
        <v>0.3</v>
      </c>
      <c r="H1265" s="9" t="n">
        <v>1470</v>
      </c>
      <c r="I1265" s="10" t="inlineStr">
        <is>
          <t>ออโต้เทรด มาร์เก็ตติ้ง</t>
        </is>
      </c>
      <c r="J1265" s="161" t="n">
        <v>24385</v>
      </c>
      <c r="K1265" s="8" t="inlineStr">
        <is>
          <t>IV1438645</t>
        </is>
      </c>
      <c r="L1265" s="8" t="inlineStr">
        <is>
          <t>ราคาที่ลง ยังไม่รวมภาษี</t>
        </is>
      </c>
    </row>
    <row r="1266">
      <c r="B1266" s="6" t="inlineStr">
        <is>
          <t>กระดาษทรายเหลี่ยมขัดน้ำ 230มม.*280มม. เบอร์ 600</t>
        </is>
      </c>
      <c r="C1266" s="8" t="n">
        <v>300</v>
      </c>
      <c r="D1266" s="9" t="n">
        <v>7</v>
      </c>
      <c r="F1266" s="8" t="n">
        <v>30</v>
      </c>
      <c r="H1266" s="9">
        <f>SUM(C1266*D1266*0.7)</f>
        <v/>
      </c>
      <c r="I1266" s="10" t="inlineStr">
        <is>
          <t>ออโต้ สมาร์ท</t>
        </is>
      </c>
      <c r="J1266" s="161" t="n">
        <v>24429</v>
      </c>
      <c r="K1266" s="8" t="inlineStr">
        <is>
          <t>IV1440657</t>
        </is>
      </c>
      <c r="L1266" s="8" t="inlineStr">
        <is>
          <t>ราคาที่ลง ยังไม่รวมภาษี</t>
        </is>
      </c>
    </row>
    <row r="1267">
      <c r="B1267" s="6" t="inlineStr">
        <is>
          <t xml:space="preserve">กระดาษทรายเหลี่ยมขัดน้ำ 230มม.*280มม. เบอร์ 600 ตราม้าส้ม </t>
        </is>
      </c>
      <c r="C1267" s="8" t="n">
        <v>500</v>
      </c>
      <c r="D1267" s="9" t="n">
        <v>7</v>
      </c>
      <c r="F1267" s="17" t="n">
        <v>0.3</v>
      </c>
      <c r="H1267" s="9">
        <f>SUM(C1267*D1267*0.7)</f>
        <v/>
      </c>
      <c r="I1267" s="10" t="inlineStr">
        <is>
          <t>ออโต้เทรด มาร์เก็ตติ้ง</t>
        </is>
      </c>
      <c r="J1267" s="161" t="n">
        <v>24516</v>
      </c>
      <c r="K1267" s="8" t="inlineStr">
        <is>
          <t>IV1444437</t>
        </is>
      </c>
      <c r="L1267" s="8" t="inlineStr">
        <is>
          <t>ราคาที่ลง ยังไม่รวมภาษี</t>
        </is>
      </c>
    </row>
    <row r="1268">
      <c r="A1268" s="75" t="inlineStr">
        <is>
          <t>โปรซื้อ 20แพ็ค ลด 35%</t>
        </is>
      </c>
      <c r="B1268" s="6" t="inlineStr">
        <is>
          <t>กระดาษทรายเหลี่ยมขัดน้ำ 230มม.*280มม. เบอร์ 600</t>
        </is>
      </c>
      <c r="C1268" s="8" t="n">
        <v>10</v>
      </c>
      <c r="D1268" s="9" t="n">
        <v>700</v>
      </c>
      <c r="F1268" s="17" t="n">
        <v>0.35</v>
      </c>
      <c r="G1268" s="10">
        <f>SUM(H1268*0.65)</f>
        <v/>
      </c>
      <c r="H1268" s="9">
        <f>SUM(D1268*C1268)</f>
        <v/>
      </c>
      <c r="I1268" s="10" t="inlineStr">
        <is>
          <t>ออโต้เทรด มาร์เก็ตติ้ง</t>
        </is>
      </c>
      <c r="J1268" s="161" t="n">
        <v>24587</v>
      </c>
      <c r="K1268" s="57" t="inlineStr">
        <is>
          <t>IV1447634</t>
        </is>
      </c>
      <c r="L1268" s="8" t="inlineStr">
        <is>
          <t>ราคาที่ลง ยังไม่รวมภาษี</t>
        </is>
      </c>
    </row>
    <row r="1269">
      <c r="A1269" s="75" t="n"/>
      <c r="B1269" s="6" t="inlineStr">
        <is>
          <t>กระดาษทรายเหลี่ยมขัดน้ำ 230มม.*280มม. เบอร์ 600</t>
        </is>
      </c>
      <c r="C1269" s="8" t="n">
        <v>6</v>
      </c>
      <c r="D1269" s="9" t="n">
        <v>700</v>
      </c>
      <c r="F1269" s="17" t="n">
        <v>0.35</v>
      </c>
      <c r="G1269" s="10">
        <f>SUM(H1269*0.65)</f>
        <v/>
      </c>
      <c r="H1269" s="9">
        <f>SUM(D1269*C1269)</f>
        <v/>
      </c>
      <c r="I1269" s="10" t="inlineStr">
        <is>
          <t>ออโต้เทรด มาร์เก็ตติ้ง</t>
        </is>
      </c>
      <c r="J1269" s="161" t="n">
        <v>24710</v>
      </c>
      <c r="K1269" s="57" t="inlineStr">
        <is>
          <t>IV1453250</t>
        </is>
      </c>
      <c r="L1269" s="8" t="inlineStr">
        <is>
          <t>ราคาที่ลง ยังไม่รวมภาษี</t>
        </is>
      </c>
    </row>
    <row r="1270">
      <c r="A1270" s="75" t="inlineStr">
        <is>
          <t>โปรซื้อ 20แพ็ค ลด 35%</t>
        </is>
      </c>
      <c r="B1270" s="6" t="inlineStr">
        <is>
          <t>กระดาษทรายเหลี่ยมขัดน้ำ 230มม.*280มม. เบอร์ 600</t>
        </is>
      </c>
      <c r="C1270" s="8" t="n">
        <v>8</v>
      </c>
      <c r="D1270" s="9" t="n">
        <v>749</v>
      </c>
      <c r="F1270" s="17" t="n">
        <v>0.35</v>
      </c>
      <c r="G1270" s="10">
        <f>SUM(H1270*0.65)</f>
        <v/>
      </c>
      <c r="H1270" s="9">
        <f>SUM(D1270*C1270)</f>
        <v/>
      </c>
      <c r="I1270" s="10" t="inlineStr">
        <is>
          <t>ออโต้เทรด</t>
        </is>
      </c>
      <c r="J1270" s="161" t="n">
        <v>24846</v>
      </c>
      <c r="K1270" s="8" t="inlineStr">
        <is>
          <t>IV1459290</t>
        </is>
      </c>
      <c r="L1270" s="8" t="inlineStr">
        <is>
          <t>ราคารวม VAT แล้ว</t>
        </is>
      </c>
    </row>
    <row r="1271">
      <c r="A1271" s="68" t="n"/>
      <c r="B1271" s="6" t="inlineStr">
        <is>
          <t>กระดาษทรายเหลี่ยมขัดน้ำ 230มม.*280มม. เบอร์ 600 (จำนวนแพ็ค)</t>
        </is>
      </c>
      <c r="C1271" s="8" t="n">
        <v>7</v>
      </c>
      <c r="D1271" s="9" t="n">
        <v>700</v>
      </c>
      <c r="E1271" s="9">
        <f>SUM(C1271*D1271)</f>
        <v/>
      </c>
      <c r="F1271" s="17" t="n">
        <v>0.35</v>
      </c>
      <c r="G1271" s="10" t="inlineStr">
        <is>
          <t>รวม VAT =</t>
        </is>
      </c>
      <c r="H1271" s="9">
        <f>SUM(E1271*O1271/N1271*P1271)</f>
        <v/>
      </c>
      <c r="I1271" s="10" t="inlineStr">
        <is>
          <t>ออโต้เทรด</t>
        </is>
      </c>
      <c r="J1271" s="161" t="n">
        <v>24996</v>
      </c>
      <c r="K1271" s="8" t="inlineStr">
        <is>
          <t>IV1466221</t>
        </is>
      </c>
      <c r="L1271" s="8" t="inlineStr">
        <is>
          <t>ราคารวม VAT แล้ว</t>
        </is>
      </c>
      <c r="N1271" s="6" t="n">
        <v>100</v>
      </c>
      <c r="O1271" s="6" t="n">
        <v>107</v>
      </c>
      <c r="P1271" s="6" t="n">
        <v>0.65</v>
      </c>
    </row>
    <row r="1272">
      <c r="B1272" s="6" t="inlineStr">
        <is>
          <t xml:space="preserve">กระดาษทรายเหลี่ยมขัดน้ำ 230มม.*280มม. เบอร์ 600 ตราม้าส้ม </t>
        </is>
      </c>
      <c r="C1272" s="8" t="n">
        <v>800</v>
      </c>
      <c r="D1272" s="9" t="n">
        <v>7</v>
      </c>
      <c r="F1272" s="17" t="n">
        <v>0.3</v>
      </c>
      <c r="G1272" s="10">
        <f>SUM(C1272*D1272*0.65)</f>
        <v/>
      </c>
      <c r="H1272" s="9">
        <f>SUM(G1272*107/100)</f>
        <v/>
      </c>
      <c r="I1272" s="10" t="inlineStr">
        <is>
          <t>ออโต้เทรด มาร์เก็ตติ้ง</t>
        </is>
      </c>
      <c r="J1272" s="161" t="n">
        <v>25135</v>
      </c>
      <c r="K1272" s="8" t="inlineStr">
        <is>
          <t>IV1472726</t>
        </is>
      </c>
      <c r="L1272" s="8" t="inlineStr">
        <is>
          <t>ราคาที่ลง ยังไม่รวมภาษี</t>
        </is>
      </c>
    </row>
    <row r="1273">
      <c r="A1273" s="68" t="n"/>
    </row>
    <row r="1274">
      <c r="B1274" s="6" t="inlineStr">
        <is>
          <t>กระดาษทรายน้ำ Oslong 9"x11" เบอร์ 1000</t>
        </is>
      </c>
      <c r="C1274" s="8" t="inlineStr">
        <is>
          <t>100แผ่น</t>
        </is>
      </c>
      <c r="D1274" s="9" t="n">
        <v>7.5</v>
      </c>
      <c r="H1274" s="9" t="n">
        <v>750</v>
      </c>
      <c r="I1274" s="10" t="inlineStr">
        <is>
          <t>เบรนเวิคส์</t>
        </is>
      </c>
      <c r="J1274" s="161" t="n">
        <v>22423</v>
      </c>
      <c r="L1274" s="8" t="inlineStr">
        <is>
          <t>ราคาที่ลง ยังไม่รวมภาษี</t>
        </is>
      </c>
    </row>
    <row r="1275">
      <c r="B1275" s="6" t="inlineStr">
        <is>
          <t>กระดาษทรายน้ำ (ม้าส้ม) 9"x11" เบอร์ 1000</t>
        </is>
      </c>
      <c r="C1275" s="8" t="inlineStr">
        <is>
          <t>100แผ่น</t>
        </is>
      </c>
      <c r="I1275" s="10" t="inlineStr">
        <is>
          <t>เบรนเวิคส์</t>
        </is>
      </c>
      <c r="J1275" s="161" t="n">
        <v>22423</v>
      </c>
      <c r="L1275" s="8" t="inlineStr">
        <is>
          <t>ราคาที่ลง ยังไม่รวมภาษี</t>
        </is>
      </c>
    </row>
    <row r="1276">
      <c r="B1276" s="6" t="inlineStr">
        <is>
          <t>กระดาษทรายเหลี่ยมขัดน้ำ 230มม.*280มม. เบอร์ 1000</t>
        </is>
      </c>
      <c r="C1276" s="8" t="inlineStr">
        <is>
          <t>100แผ่น</t>
        </is>
      </c>
      <c r="D1276" s="9" t="n">
        <v>7</v>
      </c>
      <c r="H1276" s="9" t="n">
        <v>700</v>
      </c>
      <c r="I1276" s="10" t="inlineStr">
        <is>
          <t>ออโต้ สมาร์ท</t>
        </is>
      </c>
      <c r="J1276" s="161" t="n">
        <v>22431</v>
      </c>
      <c r="L1276" s="8" t="inlineStr">
        <is>
          <t>ราคาที่ลง ยังไม่รวมภาษี</t>
        </is>
      </c>
    </row>
    <row r="1277">
      <c r="B1277" s="6" t="inlineStr">
        <is>
          <t>กระดาษทรายเหลี่ยมขัดน้ำ 230มม.*280มม. เบอร์ 1000</t>
        </is>
      </c>
      <c r="C1277" s="8" t="inlineStr">
        <is>
          <t>100แผ่น</t>
        </is>
      </c>
      <c r="D1277" s="9" t="n">
        <v>7</v>
      </c>
      <c r="H1277" s="9" t="n">
        <v>700</v>
      </c>
      <c r="I1277" s="10" t="inlineStr">
        <is>
          <t>ออโต้ สมาร์ท</t>
        </is>
      </c>
      <c r="J1277" s="161" t="n">
        <v>22840</v>
      </c>
      <c r="L1277" s="8" t="inlineStr">
        <is>
          <t>ราคาที่ลง ยังไม่รวมภาษี</t>
        </is>
      </c>
    </row>
    <row r="1278">
      <c r="B1278" s="6" t="inlineStr">
        <is>
          <t>กระดาษทรายเหลี่ยมขัดน้ำ 230มม.*280มม. เบอร์ 1000 -- แถมฟรี</t>
        </is>
      </c>
      <c r="C1278" s="8" t="inlineStr">
        <is>
          <t>100แผ่น</t>
        </is>
      </c>
      <c r="H1278" s="16" t="inlineStr">
        <is>
          <t>ได้โปรแถมฟรี</t>
        </is>
      </c>
      <c r="I1278" s="10" t="inlineStr">
        <is>
          <t>ออโต้ สมาร์ท</t>
        </is>
      </c>
      <c r="J1278" s="161" t="n">
        <v>22882</v>
      </c>
      <c r="L1278" s="8" t="inlineStr">
        <is>
          <t>ราคาที่ลง ยังไม่รวมภาษี</t>
        </is>
      </c>
    </row>
    <row r="1279">
      <c r="B1279" s="6" t="inlineStr">
        <is>
          <t>กระดาษทรายเหลี่ยมขัดน้ำ 230มม.*280มม. เบอร์ 1000 -- แถมฟรี</t>
        </is>
      </c>
      <c r="C1279" s="8" t="inlineStr">
        <is>
          <t>100แผ่น</t>
        </is>
      </c>
      <c r="H1279" s="16" t="inlineStr">
        <is>
          <t>ได้โปรแถมฟรี</t>
        </is>
      </c>
      <c r="I1279" s="10" t="inlineStr">
        <is>
          <t>ออโต้ สมาร์ท</t>
        </is>
      </c>
      <c r="J1279" s="161" t="n">
        <v>23064</v>
      </c>
      <c r="L1279" s="8" t="inlineStr">
        <is>
          <t>ราคาที่ลง ยังไม่รวมภาษี</t>
        </is>
      </c>
    </row>
    <row r="1280">
      <c r="B1280" s="6" t="inlineStr">
        <is>
          <t>กระดาษทรายเหลี่ยมขัดน้ำ 230มม.*280มม. เบอร์ 1000 -- แถมฟรี</t>
        </is>
      </c>
      <c r="C1280" s="8" t="inlineStr">
        <is>
          <t>100แผ่น</t>
        </is>
      </c>
      <c r="H1280" s="16" t="inlineStr">
        <is>
          <t>ได้โปรแถมฟรี</t>
        </is>
      </c>
      <c r="I1280" s="10" t="inlineStr">
        <is>
          <t>ออโต้ สมาร์ท</t>
        </is>
      </c>
      <c r="J1280" s="161" t="n">
        <v>23080</v>
      </c>
      <c r="L1280" s="8" t="inlineStr">
        <is>
          <t>ราคาที่ลง ยังไม่รวมภาษี</t>
        </is>
      </c>
    </row>
    <row r="1281">
      <c r="B1281" s="6" t="inlineStr">
        <is>
          <t>กระดาษทรายเหลี่ยมขัดน้ำ 230มม.*280มม. เบอร์ 1000 -- แถมฟรี</t>
        </is>
      </c>
      <c r="C1281" s="8" t="inlineStr">
        <is>
          <t>100แผ่น</t>
        </is>
      </c>
      <c r="H1281" s="16" t="inlineStr">
        <is>
          <t>ได้โปรแถมฟรี</t>
        </is>
      </c>
      <c r="I1281" s="10" t="inlineStr">
        <is>
          <t>ออโต้ สมาร์ท</t>
        </is>
      </c>
      <c r="J1281" s="161" t="n">
        <v>23110</v>
      </c>
      <c r="L1281" s="8" t="inlineStr">
        <is>
          <t>ราคาที่ลง ยังไม่รวมภาษี</t>
        </is>
      </c>
    </row>
    <row r="1282">
      <c r="B1282" s="6" t="inlineStr">
        <is>
          <t>กระดาษทรายเหลี่ยมขัดน้ำ 230มม.*280มม. เบอร์ 1000 -- แถมฟรี</t>
        </is>
      </c>
      <c r="C1282" s="8" t="inlineStr">
        <is>
          <t>100แผ่น</t>
        </is>
      </c>
      <c r="H1282" s="16" t="inlineStr">
        <is>
          <t>ได้โปรแถมฟรี</t>
        </is>
      </c>
      <c r="I1282" s="10" t="inlineStr">
        <is>
          <t>ออโต้ สมาร์ท</t>
        </is>
      </c>
      <c r="J1282" s="161" t="n">
        <v>23151</v>
      </c>
      <c r="L1282" s="8" t="inlineStr">
        <is>
          <t>ราคาที่ลง ยังไม่รวมภาษี</t>
        </is>
      </c>
    </row>
    <row r="1283">
      <c r="B1283" s="6" t="inlineStr">
        <is>
          <t>กระดาษทรายเหลี่ยมขัดน้ำ 230มม.*280มม. เบอร์ 1000 -- แถมฟรี</t>
        </is>
      </c>
      <c r="C1283" s="8" t="inlineStr">
        <is>
          <t>100แผ่น</t>
        </is>
      </c>
      <c r="H1283" s="16" t="inlineStr">
        <is>
          <t>ได้โปรแถมฟรี</t>
        </is>
      </c>
      <c r="I1283" s="10" t="inlineStr">
        <is>
          <t>ออโต้ สมาร์ท</t>
        </is>
      </c>
      <c r="J1283" s="161" t="n">
        <v>23172</v>
      </c>
      <c r="L1283" s="8" t="inlineStr">
        <is>
          <t>ราคาที่ลง ยังไม่รวมภาษี</t>
        </is>
      </c>
    </row>
    <row r="1284">
      <c r="B1284" s="6" t="inlineStr">
        <is>
          <t>กระดาษทรายเหลี่ยมขัดน้ำ 230มม.*280มม. เบอร์ 1000</t>
        </is>
      </c>
      <c r="C1284" s="8" t="inlineStr">
        <is>
          <t>100แผ่น</t>
        </is>
      </c>
      <c r="D1284" s="9" t="n">
        <v>7</v>
      </c>
      <c r="H1284" s="9" t="n">
        <v>700</v>
      </c>
      <c r="I1284" s="10" t="inlineStr">
        <is>
          <t>ออโต้ สมาร์ท</t>
        </is>
      </c>
      <c r="J1284" s="161" t="n">
        <v>23212</v>
      </c>
      <c r="L1284" s="8" t="inlineStr">
        <is>
          <t>ราคาที่ลง ยังไม่รวมภาษี</t>
        </is>
      </c>
    </row>
    <row r="1285">
      <c r="B1285" s="6" t="inlineStr">
        <is>
          <t>กระดาษทรายเหลี่ยมขัดน้ำ 230มม.*280มม. เบอร์ 1000</t>
        </is>
      </c>
      <c r="C1285" s="8" t="inlineStr">
        <is>
          <t>100แผ่น</t>
        </is>
      </c>
      <c r="D1285" s="9" t="n">
        <v>7</v>
      </c>
      <c r="H1285" s="9" t="n">
        <v>700</v>
      </c>
      <c r="I1285" s="10" t="inlineStr">
        <is>
          <t>ออโต้ สมาร์ท</t>
        </is>
      </c>
      <c r="J1285" s="161" t="n">
        <v>23269</v>
      </c>
      <c r="L1285" s="8" t="inlineStr">
        <is>
          <t>ราคาที่ลง ยังไม่รวมภาษี</t>
        </is>
      </c>
    </row>
    <row r="1286">
      <c r="B1286" s="6" t="inlineStr">
        <is>
          <t>กระดาษทรายเหลี่ยมขัดน้ำ 230มม.*280มม. เบอร์ 1000 -- แถมฟรี</t>
        </is>
      </c>
      <c r="C1286" s="8" t="inlineStr">
        <is>
          <t>100แผ่น</t>
        </is>
      </c>
      <c r="H1286" s="16" t="inlineStr">
        <is>
          <t>ได้โปรแถมฟรี</t>
        </is>
      </c>
      <c r="I1286" s="10" t="inlineStr">
        <is>
          <t>ออโต้ สมาร์ท</t>
        </is>
      </c>
      <c r="J1286" s="161" t="n">
        <v>23293</v>
      </c>
      <c r="L1286" s="8" t="inlineStr">
        <is>
          <t>ราคาที่ลง ยังไม่รวมภาษี</t>
        </is>
      </c>
    </row>
    <row r="1287">
      <c r="B1287" s="6" t="inlineStr">
        <is>
          <t>กระดาษทรายเหลี่ยมขัดน้ำ 230มม.*280มม. เบอร์ 1000 -- แถมฟรี</t>
        </is>
      </c>
      <c r="C1287" s="8" t="inlineStr">
        <is>
          <t>100แผ่น</t>
        </is>
      </c>
      <c r="H1287" s="16" t="inlineStr">
        <is>
          <t>ได้โปรแถมฟรี</t>
        </is>
      </c>
      <c r="I1287" s="10" t="inlineStr">
        <is>
          <t>ออโต้ สมาร์ท</t>
        </is>
      </c>
      <c r="J1287" s="161" t="n">
        <v>23335</v>
      </c>
      <c r="L1287" s="8" t="inlineStr">
        <is>
          <t>ราคาที่ลง ยังไม่รวมภาษี</t>
        </is>
      </c>
    </row>
    <row r="1288">
      <c r="B1288" s="6" t="inlineStr">
        <is>
          <t>กระดาษทรายเหลี่ยมขัดน้ำ 230มม.*280มม. เบอร์ 1000 -- แถมฟรี</t>
        </is>
      </c>
      <c r="C1288" s="8" t="inlineStr">
        <is>
          <t>100แผ่น</t>
        </is>
      </c>
      <c r="H1288" s="16" t="inlineStr">
        <is>
          <t>ได้โปรแถมฟรี</t>
        </is>
      </c>
      <c r="I1288" s="10" t="inlineStr">
        <is>
          <t>ออโต้ สมาร์ท</t>
        </is>
      </c>
      <c r="J1288" s="161" t="n">
        <v>23387</v>
      </c>
      <c r="L1288" s="8" t="inlineStr">
        <is>
          <t>ราคาที่ลง ยังไม่รวมภาษี</t>
        </is>
      </c>
    </row>
    <row r="1289">
      <c r="B1289" s="6" t="inlineStr">
        <is>
          <t xml:space="preserve">กระดาษทรายเหลี่ยมขัดน้ำ 230มม.*280มม. เบอร์ 1000 </t>
        </is>
      </c>
      <c r="C1289" s="8" t="inlineStr">
        <is>
          <t>100แผ่น</t>
        </is>
      </c>
      <c r="D1289" s="9" t="n">
        <v>7</v>
      </c>
      <c r="H1289" s="9" t="n">
        <v>700</v>
      </c>
      <c r="I1289" s="10" t="inlineStr">
        <is>
          <t>ออโต้ สมาร์ท</t>
        </is>
      </c>
      <c r="J1289" s="161" t="n">
        <v>23442</v>
      </c>
      <c r="L1289" s="8" t="inlineStr">
        <is>
          <t>ราคาที่ลง ยังไม่รวมภาษี</t>
        </is>
      </c>
    </row>
    <row r="1290">
      <c r="B1290" s="6" t="inlineStr">
        <is>
          <t>กระดาษทรายเหลี่ยมขัดน้ำ 230มม.*280มม. เบอร์ 1000 -- แถมฟรี</t>
        </is>
      </c>
      <c r="C1290" s="8" t="inlineStr">
        <is>
          <t>100แผ่น</t>
        </is>
      </c>
      <c r="H1290" s="16" t="inlineStr">
        <is>
          <t>ได้โปรแถมฟรี</t>
        </is>
      </c>
      <c r="I1290" s="10" t="inlineStr">
        <is>
          <t>ออโต้ สมาร์ท</t>
        </is>
      </c>
      <c r="J1290" s="161" t="n">
        <v>23462</v>
      </c>
      <c r="L1290" s="8" t="inlineStr">
        <is>
          <t>ราคาที่ลง ยังไม่รวมภาษี</t>
        </is>
      </c>
    </row>
    <row r="1291">
      <c r="B1291" s="6" t="inlineStr">
        <is>
          <t xml:space="preserve">กระดาษทรายเหลี่ยมขัดน้ำ 230มม.*280มม. เบอร์ 1000 </t>
        </is>
      </c>
      <c r="C1291" s="8" t="inlineStr">
        <is>
          <t>100แผ่น</t>
        </is>
      </c>
      <c r="D1291" s="9" t="n">
        <v>7</v>
      </c>
      <c r="H1291" s="9" t="n">
        <v>700</v>
      </c>
      <c r="I1291" s="10" t="inlineStr">
        <is>
          <t>ออโต้ สมาร์ท</t>
        </is>
      </c>
      <c r="J1291" s="161" t="n">
        <v>23577</v>
      </c>
      <c r="L1291" s="8" t="inlineStr">
        <is>
          <t>ราคาที่ลง ยังไม่รวมภาษี</t>
        </is>
      </c>
    </row>
    <row r="1292">
      <c r="B1292" s="6" t="inlineStr">
        <is>
          <t>กระดาษทรายเหลี่ยมขัดน้ำ 230มม.*280มม. เบอร์ 1000 -- แถมฟรี</t>
        </is>
      </c>
      <c r="C1292" s="8" t="inlineStr">
        <is>
          <t>100แผ่น</t>
        </is>
      </c>
      <c r="H1292" s="16" t="inlineStr">
        <is>
          <t>ได้โปรแถมฟรี</t>
        </is>
      </c>
      <c r="I1292" s="10" t="inlineStr">
        <is>
          <t>ออโต้ สมาร์ท</t>
        </is>
      </c>
      <c r="J1292" s="161" t="n">
        <v>23577</v>
      </c>
      <c r="L1292" s="8" t="inlineStr">
        <is>
          <t>ราคาที่ลง ยังไม่รวมภาษี</t>
        </is>
      </c>
    </row>
    <row r="1293">
      <c r="B1293" s="6" t="inlineStr">
        <is>
          <t>กระดาษทรายเหลี่ยมขัดน้ำ 230มม.*280มม. เบอร์ 1000 -- แถมฟรี</t>
        </is>
      </c>
      <c r="C1293" s="8" t="inlineStr">
        <is>
          <t>100แผ่น</t>
        </is>
      </c>
      <c r="H1293" s="16" t="inlineStr">
        <is>
          <t>ได้โปรแถมฟรี</t>
        </is>
      </c>
      <c r="I1293" s="10" t="inlineStr">
        <is>
          <t>ออโต้ สมาร์ท</t>
        </is>
      </c>
      <c r="J1293" s="161" t="n">
        <v>23691</v>
      </c>
      <c r="L1293" s="8" t="inlineStr">
        <is>
          <t>ราคาที่ลง ยังไม่รวมภาษี</t>
        </is>
      </c>
    </row>
    <row r="1294">
      <c r="B1294" s="6" t="inlineStr">
        <is>
          <t>กระดาษทรายเหลี่ยมขัดน้ำ 230มม.*280มม. เบอร์ 1000 -- แถมฟรี</t>
        </is>
      </c>
      <c r="C1294" s="8" t="inlineStr">
        <is>
          <t>100แผ่น</t>
        </is>
      </c>
      <c r="H1294" s="16" t="inlineStr">
        <is>
          <t>ได้โปรแถมฟรี</t>
        </is>
      </c>
      <c r="I1294" s="10" t="inlineStr">
        <is>
          <t>ออโต้ สมาร์ท</t>
        </is>
      </c>
      <c r="J1294" s="161" t="n">
        <v>23829</v>
      </c>
      <c r="L1294" s="8" t="inlineStr">
        <is>
          <t>ราคาที่ลง ยังไม่รวมภาษี</t>
        </is>
      </c>
    </row>
    <row r="1295">
      <c r="B1295" s="6" t="inlineStr">
        <is>
          <t xml:space="preserve">กระดาษทรายเหลี่ยมขัดน้ำ 230มม.*280มม. เบอร์ 1000 </t>
        </is>
      </c>
      <c r="C1295" s="8" t="inlineStr">
        <is>
          <t>100แผ่น</t>
        </is>
      </c>
      <c r="D1295" s="9" t="n">
        <v>7</v>
      </c>
      <c r="H1295" s="9" t="n">
        <v>700</v>
      </c>
      <c r="I1295" s="10" t="inlineStr">
        <is>
          <t>ออโต้ สมาร์ท</t>
        </is>
      </c>
      <c r="J1295" s="161" t="n">
        <v>23888</v>
      </c>
      <c r="K1295" s="8" t="n">
        <v>202205231</v>
      </c>
      <c r="L1295" s="8" t="inlineStr">
        <is>
          <t>ราคาที่ลง ยังไม่รวมภาษี</t>
        </is>
      </c>
    </row>
    <row r="1296">
      <c r="B1296" s="6" t="inlineStr">
        <is>
          <t xml:space="preserve">กระดาษทรายเหลี่ยมขัดน้ำ 230มม.*280มม. เบอร์ 1000 </t>
        </is>
      </c>
      <c r="C1296" s="8" t="inlineStr">
        <is>
          <t>200แผ่น</t>
        </is>
      </c>
      <c r="D1296" s="9" t="n">
        <v>7</v>
      </c>
      <c r="F1296" s="17" t="n">
        <v>0.35</v>
      </c>
      <c r="H1296" s="9" t="n">
        <v>910</v>
      </c>
      <c r="I1296" s="10" t="inlineStr">
        <is>
          <t>ออโต้เทรด มาร์เก็ตติ้ง</t>
        </is>
      </c>
      <c r="J1296" s="161" t="n">
        <v>23907</v>
      </c>
      <c r="K1296" s="8" t="inlineStr">
        <is>
          <t>IV1417481</t>
        </is>
      </c>
      <c r="L1296" s="8" t="inlineStr">
        <is>
          <t>ราคาที่ลง ยังไม่รวมภาษี</t>
        </is>
      </c>
    </row>
    <row r="1297">
      <c r="B1297" s="6" t="inlineStr">
        <is>
          <t xml:space="preserve">กระดาษทรายเหลี่ยมขัดน้ำ 230มม.*280มม. เบอร์ 1000 ตราม้าส้ม </t>
        </is>
      </c>
      <c r="C1297" s="8" t="inlineStr">
        <is>
          <t>400แผ่น</t>
        </is>
      </c>
      <c r="D1297" s="9" t="n">
        <v>7</v>
      </c>
      <c r="F1297" s="17" t="n">
        <v>0.35</v>
      </c>
      <c r="H1297" s="9" t="n">
        <v>1820</v>
      </c>
      <c r="I1297" s="10" t="inlineStr">
        <is>
          <t>ออโต้เทรด มาร์เก็ตติ้ง</t>
        </is>
      </c>
      <c r="J1297" s="161" t="n">
        <v>23997</v>
      </c>
      <c r="K1297" s="8" t="inlineStr">
        <is>
          <t>IV1421363</t>
        </is>
      </c>
      <c r="L1297" s="8" t="inlineStr">
        <is>
          <t>ราคาที่ลง ยังไม่รวมภาษี</t>
        </is>
      </c>
    </row>
    <row r="1298">
      <c r="A1298" s="75" t="n"/>
      <c r="B1298" s="6" t="inlineStr">
        <is>
          <t>กระดาษทรายเหลี่ยมขัดน้ำ 230มม.*280มม. เบอร์ 1000</t>
        </is>
      </c>
      <c r="C1298" s="8" t="n">
        <v>2</v>
      </c>
      <c r="D1298" s="9" t="n">
        <v>700</v>
      </c>
      <c r="F1298" s="17" t="n">
        <v>0.3</v>
      </c>
      <c r="H1298" s="9" t="n">
        <v>980</v>
      </c>
      <c r="I1298" s="10" t="inlineStr">
        <is>
          <t>ออโต้เทรด มาร์เก็ตติ้ง</t>
        </is>
      </c>
      <c r="J1298" s="161" t="n">
        <v>24272</v>
      </c>
      <c r="K1298" s="8" t="inlineStr">
        <is>
          <t>IV1433445</t>
        </is>
      </c>
      <c r="L1298" s="8" t="inlineStr">
        <is>
          <t>ราคาที่ลง ยังไม่รวมภาษี</t>
        </is>
      </c>
    </row>
    <row r="1299">
      <c r="A1299" s="75" t="inlineStr">
        <is>
          <t>โปรซื้อ 11-19แพ็ค ลด 30%</t>
        </is>
      </c>
      <c r="B1299" s="6" t="inlineStr">
        <is>
          <t>กระดาษทรายเหลี่ยมขัดน้ำ 230มม.*280มม. เบอร์ 1000</t>
        </is>
      </c>
      <c r="C1299" s="8" t="n">
        <v>1</v>
      </c>
      <c r="D1299" s="9" t="n">
        <v>700</v>
      </c>
      <c r="F1299" s="17" t="n">
        <v>0.3</v>
      </c>
      <c r="H1299" s="9" t="n">
        <v>490</v>
      </c>
      <c r="I1299" s="10" t="inlineStr">
        <is>
          <t>ออโต้เทรด มาร์เก็ตติ้ง</t>
        </is>
      </c>
      <c r="J1299" s="161" t="n">
        <v>24326</v>
      </c>
      <c r="K1299" s="8" t="inlineStr">
        <is>
          <t>IV1435877</t>
        </is>
      </c>
      <c r="L1299" s="8" t="inlineStr">
        <is>
          <t>ราคาที่ลง ยังไม่รวมภาษี</t>
        </is>
      </c>
    </row>
    <row r="1300">
      <c r="A1300" s="75" t="inlineStr">
        <is>
          <t>โปรซื้อ 20แพ็ค ลด 35%</t>
        </is>
      </c>
      <c r="B1300" s="6" t="inlineStr">
        <is>
          <t>กระดาษทรายเหลี่ยมขัดน้ำ 230มม.*280มม. เบอร์ 1000</t>
        </is>
      </c>
      <c r="C1300" s="8" t="n">
        <v>2</v>
      </c>
      <c r="D1300" s="9" t="n">
        <v>700</v>
      </c>
      <c r="F1300" s="17" t="n">
        <v>0.3</v>
      </c>
      <c r="H1300" s="9" t="n">
        <v>980</v>
      </c>
      <c r="I1300" s="10" t="inlineStr">
        <is>
          <t>ออโต้เทรด มาร์เก็ตติ้ง</t>
        </is>
      </c>
      <c r="J1300" s="161" t="n">
        <v>24385</v>
      </c>
      <c r="K1300" s="8" t="inlineStr">
        <is>
          <t>IV1438645</t>
        </is>
      </c>
      <c r="L1300" s="8" t="inlineStr">
        <is>
          <t>ราคาที่ลง ยังไม่รวมภาษี</t>
        </is>
      </c>
    </row>
    <row r="1301">
      <c r="B1301" s="6" t="inlineStr">
        <is>
          <t>กระดาษทรายเหลี่ยมขัดน้ำ 230มม.*280มม. เบอร์ 1000</t>
        </is>
      </c>
      <c r="C1301" s="8" t="n">
        <v>200</v>
      </c>
      <c r="D1301" s="9" t="n">
        <v>7</v>
      </c>
      <c r="F1301" s="8" t="n">
        <v>30</v>
      </c>
      <c r="H1301" s="9">
        <f>SUM(C1301*D1301*0.7)</f>
        <v/>
      </c>
      <c r="I1301" s="10" t="inlineStr">
        <is>
          <t>ออโต้ สมาร์ท</t>
        </is>
      </c>
      <c r="J1301" s="161" t="n">
        <v>24429</v>
      </c>
      <c r="K1301" s="8" t="inlineStr">
        <is>
          <t>IV1440657</t>
        </is>
      </c>
      <c r="L1301" s="8" t="inlineStr">
        <is>
          <t>ราคาที่ลง ยังไม่รวมภาษี</t>
        </is>
      </c>
    </row>
    <row r="1302">
      <c r="B1302" s="6" t="inlineStr">
        <is>
          <t>กระดาษทรายเหลี่ยมขัดน้ำ 230มม.*280มม. เบอร์ 1000</t>
        </is>
      </c>
      <c r="C1302" s="8" t="n">
        <v>100</v>
      </c>
      <c r="D1302" s="9" t="n">
        <v>7</v>
      </c>
      <c r="F1302" s="17" t="n">
        <v>0.3</v>
      </c>
      <c r="H1302" s="9">
        <f>SUM(C1302*D1302*0.7)</f>
        <v/>
      </c>
      <c r="I1302" s="10" t="inlineStr">
        <is>
          <t>ออโต้เทรด มาร์เก็ตติ้ง</t>
        </is>
      </c>
      <c r="J1302" s="161" t="n">
        <v>24516</v>
      </c>
      <c r="K1302" s="8" t="inlineStr">
        <is>
          <t>IV1444437</t>
        </is>
      </c>
      <c r="L1302" s="8" t="inlineStr">
        <is>
          <t>ราคาที่ลง ยังไม่รวมภาษี</t>
        </is>
      </c>
    </row>
    <row r="1303">
      <c r="B1303" s="6" t="inlineStr">
        <is>
          <t>กระดาษทรายเหลี่ยมขัดน้ำ 230มม.*280มม. เบอร์ 1000</t>
        </is>
      </c>
      <c r="C1303" s="8" t="n">
        <v>300</v>
      </c>
      <c r="D1303" s="9" t="n">
        <v>7</v>
      </c>
      <c r="F1303" s="17" t="n">
        <v>35</v>
      </c>
      <c r="H1303" s="9">
        <f>SUM(C1303*D1303*0.65)</f>
        <v/>
      </c>
      <c r="I1303" s="10" t="inlineStr">
        <is>
          <t>ออโต้เทรด มาร์เก็ตติ้ง</t>
        </is>
      </c>
      <c r="J1303" s="161" t="n">
        <v>24710</v>
      </c>
      <c r="K1303" s="8" t="inlineStr">
        <is>
          <t>IV1453250</t>
        </is>
      </c>
      <c r="L1303" s="8" t="inlineStr">
        <is>
          <t>ราคาที่ลง ยังไม่รวมภาษี</t>
        </is>
      </c>
    </row>
    <row r="1304">
      <c r="A1304" s="75" t="inlineStr">
        <is>
          <t>โปรซื้อ 20แพ็ค ลด 35%</t>
        </is>
      </c>
      <c r="B1304" s="6" t="inlineStr">
        <is>
          <t>กระดาษทรายเหลี่ยมขัดน้ำ 230มม.*280มม. เบอร์ 1000</t>
        </is>
      </c>
      <c r="C1304" s="8" t="n">
        <v>1</v>
      </c>
      <c r="D1304" s="9" t="n">
        <v>749</v>
      </c>
      <c r="F1304" s="17" t="n">
        <v>0.35</v>
      </c>
      <c r="G1304" s="10">
        <f>SUM(H1304*0.65)</f>
        <v/>
      </c>
      <c r="H1304" s="9">
        <f>SUM(D1304*C1304)</f>
        <v/>
      </c>
      <c r="I1304" s="10" t="inlineStr">
        <is>
          <t>ออโต้เทรด</t>
        </is>
      </c>
      <c r="J1304" s="161" t="n">
        <v>24846</v>
      </c>
      <c r="K1304" s="8" t="inlineStr">
        <is>
          <t>IV1459290</t>
        </is>
      </c>
      <c r="L1304" s="8" t="inlineStr">
        <is>
          <t>ราคารวม VAT แล้ว</t>
        </is>
      </c>
    </row>
    <row r="1305">
      <c r="A1305" s="68" t="n"/>
      <c r="B1305" s="6" t="inlineStr">
        <is>
          <t>กระดาษทรายเหลี่ยมขัดน้ำ 230มม.*280มม. เบอร์ 1000 (จำนวนแพ็ค)</t>
        </is>
      </c>
      <c r="C1305" s="8" t="n">
        <v>1</v>
      </c>
      <c r="D1305" s="9" t="n">
        <v>700</v>
      </c>
      <c r="E1305" s="9">
        <f>SUM(C1305*D1305)</f>
        <v/>
      </c>
      <c r="F1305" s="17" t="n">
        <v>0.35</v>
      </c>
      <c r="G1305" s="10" t="inlineStr">
        <is>
          <t>รวม VAT =</t>
        </is>
      </c>
      <c r="H1305" s="9">
        <f>SUM(E1305*O1305/N1305*P1305)</f>
        <v/>
      </c>
      <c r="I1305" s="10" t="inlineStr">
        <is>
          <t>ออโต้เทรด</t>
        </is>
      </c>
      <c r="J1305" s="161" t="n">
        <v>24996</v>
      </c>
      <c r="K1305" s="8" t="inlineStr">
        <is>
          <t>IV1466221</t>
        </is>
      </c>
      <c r="L1305" s="8" t="inlineStr">
        <is>
          <t>ราคารวม VAT แล้ว</t>
        </is>
      </c>
      <c r="N1305" s="6" t="n">
        <v>100</v>
      </c>
      <c r="O1305" s="6" t="n">
        <v>107</v>
      </c>
      <c r="P1305" s="6" t="n">
        <v>0.65</v>
      </c>
    </row>
    <row r="1306">
      <c r="B1306" s="6" t="inlineStr">
        <is>
          <t xml:space="preserve">กระดาษทรายเหลี่ยมขัดน้ำ 230มม.*280มม. เบอร์ 1000 ตราม้าส้ม </t>
        </is>
      </c>
      <c r="C1306" s="8" t="n">
        <v>200</v>
      </c>
      <c r="D1306" s="9" t="n">
        <v>7</v>
      </c>
      <c r="F1306" s="17" t="n">
        <v>0.3</v>
      </c>
      <c r="G1306" s="10">
        <f>SUM(C1306*D1306*0.65)</f>
        <v/>
      </c>
      <c r="H1306" s="9">
        <f>SUM(G1306*107/100)</f>
        <v/>
      </c>
      <c r="I1306" s="10" t="inlineStr">
        <is>
          <t>ออโต้เทรด มาร์เก็ตติ้ง</t>
        </is>
      </c>
      <c r="J1306" s="161" t="n">
        <v>25135</v>
      </c>
      <c r="K1306" s="8" t="inlineStr">
        <is>
          <t>IV1472726</t>
        </is>
      </c>
      <c r="L1306" s="8" t="inlineStr">
        <is>
          <t>ราคาที่ลง ยังไม่รวมภาษี</t>
        </is>
      </c>
    </row>
    <row r="1308">
      <c r="B1308" s="6" t="inlineStr">
        <is>
          <t>กระดาษทรายเหลี่ยมขัดน้ำ 230มม.*280มม. เบอร์ 1200</t>
        </is>
      </c>
      <c r="C1308" s="8" t="inlineStr">
        <is>
          <t>100แผ่น</t>
        </is>
      </c>
      <c r="I1308" s="10" t="inlineStr">
        <is>
          <t>ออโต้ สมาร์ท</t>
        </is>
      </c>
      <c r="J1308" s="161" t="n">
        <v>22849</v>
      </c>
      <c r="L1308" s="8" t="inlineStr">
        <is>
          <t>ราคาที่ลง ยังไม่รวมภาษี</t>
        </is>
      </c>
    </row>
    <row r="1309">
      <c r="B1309" s="6" t="inlineStr">
        <is>
          <t>กระดาษทรายเหลี่ยมขัดน้ำ 230มม.*280มม. เบอร์ 1200</t>
        </is>
      </c>
      <c r="C1309" s="8" t="inlineStr">
        <is>
          <t>100แผ่น</t>
        </is>
      </c>
      <c r="D1309" s="9" t="n">
        <v>7</v>
      </c>
      <c r="H1309" s="9" t="n">
        <v>700</v>
      </c>
      <c r="I1309" s="10" t="inlineStr">
        <is>
          <t>ออโต้ สมาร์ท</t>
        </is>
      </c>
      <c r="J1309" s="161" t="n">
        <v>22898</v>
      </c>
      <c r="L1309" s="8" t="inlineStr">
        <is>
          <t>ราคาที่ลง ยังไม่รวมภาษี</t>
        </is>
      </c>
    </row>
    <row r="1310">
      <c r="B1310" s="6" t="inlineStr">
        <is>
          <t>กระดาษทรายเหลี่ยมขัดน้ำ 230มม.*280มม. เบอร์ 1200 -- แถมฟรี</t>
        </is>
      </c>
      <c r="C1310" s="8" t="inlineStr">
        <is>
          <t>100แผ่น</t>
        </is>
      </c>
      <c r="H1310" s="16" t="inlineStr">
        <is>
          <t>ได้โปรแถมฟรี</t>
        </is>
      </c>
      <c r="I1310" s="10" t="inlineStr">
        <is>
          <t>ออโต้ สมาร์ท</t>
        </is>
      </c>
      <c r="J1310" s="161" t="n">
        <v>23087</v>
      </c>
      <c r="L1310" s="8" t="inlineStr">
        <is>
          <t>ราคาที่ลง ยังไม่รวมภาษี</t>
        </is>
      </c>
    </row>
    <row r="1311">
      <c r="B1311" s="6" t="inlineStr">
        <is>
          <t>กระดาษทรายเหลี่ยมขัดน้ำ 230มม.*280มม. เบอร์ 1200 -- แถมฟรี</t>
        </is>
      </c>
      <c r="C1311" s="8" t="inlineStr">
        <is>
          <t>100แผ่น</t>
        </is>
      </c>
      <c r="H1311" s="16" t="inlineStr">
        <is>
          <t>ได้โปรแถมฟรี</t>
        </is>
      </c>
      <c r="I1311" s="10" t="inlineStr">
        <is>
          <t>ออโต้ สมาร์ท</t>
        </is>
      </c>
      <c r="J1311" s="161" t="n">
        <v>23157</v>
      </c>
      <c r="L1311" s="8" t="inlineStr">
        <is>
          <t>ราคาที่ลง ยังไม่รวมภาษี</t>
        </is>
      </c>
    </row>
    <row r="1312">
      <c r="B1312" s="6" t="inlineStr">
        <is>
          <t>กระดาษทรายเหลี่ยมขัดน้ำ 230มม.*280มม. เบอร์ 1200 -- แถมฟรี</t>
        </is>
      </c>
      <c r="C1312" s="8" t="inlineStr">
        <is>
          <t>100แผ่น</t>
        </is>
      </c>
      <c r="H1312" s="16" t="inlineStr">
        <is>
          <t>ได้โปรแถมฟรี</t>
        </is>
      </c>
      <c r="I1312" s="10" t="inlineStr">
        <is>
          <t>ออโต้ สมาร์ท</t>
        </is>
      </c>
      <c r="J1312" s="161" t="n">
        <v>23212</v>
      </c>
      <c r="L1312" s="8" t="inlineStr">
        <is>
          <t>ราคาที่ลง ยังไม่รวมภาษี</t>
        </is>
      </c>
    </row>
    <row r="1313">
      <c r="B1313" s="6" t="inlineStr">
        <is>
          <t>กระดาษทรายเหลี่ยมขัดน้ำ 230มม.*280มม. เบอร์ 1200</t>
        </is>
      </c>
      <c r="C1313" s="8" t="inlineStr">
        <is>
          <t>100แผ่น</t>
        </is>
      </c>
      <c r="D1313" s="9" t="n">
        <v>7</v>
      </c>
      <c r="H1313" s="9" t="n">
        <v>700</v>
      </c>
      <c r="I1313" s="10" t="inlineStr">
        <is>
          <t>ออโต้ สมาร์ท</t>
        </is>
      </c>
      <c r="J1313" s="161" t="n">
        <v>23269</v>
      </c>
      <c r="L1313" s="8" t="inlineStr">
        <is>
          <t>ราคาที่ลง ยังไม่รวมภาษี</t>
        </is>
      </c>
    </row>
    <row r="1314">
      <c r="B1314" s="6" t="inlineStr">
        <is>
          <t>กระดาษทรายเหลี่ยมขัดน้ำ 230มม.*280มม. เบอร์ 1200 -- แถมฟรี</t>
        </is>
      </c>
      <c r="C1314" s="8" t="inlineStr">
        <is>
          <t>100แผ่น</t>
        </is>
      </c>
      <c r="I1314" s="10" t="inlineStr">
        <is>
          <t>ออโต้ สมาร์ท</t>
        </is>
      </c>
      <c r="J1314" s="161" t="n">
        <v>23349</v>
      </c>
      <c r="L1314" s="8" t="inlineStr">
        <is>
          <t>ราคาที่ลง ยังไม่รวมภาษี</t>
        </is>
      </c>
    </row>
    <row r="1315">
      <c r="B1315" s="6" t="inlineStr">
        <is>
          <t>กระดาษทรายเหลี่ยมขัดน้ำ 230มม.*280มม. เบอร์ 1200</t>
        </is>
      </c>
      <c r="C1315" s="8" t="inlineStr">
        <is>
          <t>100แผ่น</t>
        </is>
      </c>
      <c r="D1315" s="9" t="n">
        <v>7</v>
      </c>
      <c r="H1315" s="9" t="n">
        <v>700</v>
      </c>
      <c r="I1315" s="10" t="inlineStr">
        <is>
          <t>ออโต้ สมาร์ท</t>
        </is>
      </c>
      <c r="J1315" s="161" t="n">
        <v>23387</v>
      </c>
      <c r="L1315" s="8" t="inlineStr">
        <is>
          <t>ราคาที่ลง ยังไม่รวมภาษี</t>
        </is>
      </c>
    </row>
    <row r="1316">
      <c r="B1316" s="6" t="inlineStr">
        <is>
          <t>กระดาษทรายเหลี่ยมขัดน้ำ 230มม.*280มม. เบอร์ 1200 -- แถมฟรี</t>
        </is>
      </c>
      <c r="C1316" s="8" t="inlineStr">
        <is>
          <t>100แผ่น</t>
        </is>
      </c>
      <c r="H1316" s="16" t="inlineStr">
        <is>
          <t>ได้โปรแถมฟรี</t>
        </is>
      </c>
      <c r="I1316" s="10" t="inlineStr">
        <is>
          <t>ออโต้ สมาร์ท</t>
        </is>
      </c>
      <c r="J1316" s="161" t="n">
        <v>23442</v>
      </c>
      <c r="L1316" s="8" t="inlineStr">
        <is>
          <t>ราคาที่ลง ยังไม่รวมภาษี</t>
        </is>
      </c>
    </row>
    <row r="1317">
      <c r="B1317" s="6" t="inlineStr">
        <is>
          <t>กระดาษทรายเหลี่ยมขัดน้ำ 230มม.*280มม. เบอร์ 1200 -- แถมฟรี</t>
        </is>
      </c>
      <c r="C1317" s="8" t="inlineStr">
        <is>
          <t>100แผ่น</t>
        </is>
      </c>
      <c r="D1317" s="9" t="n">
        <v>7</v>
      </c>
      <c r="H1317" s="16" t="inlineStr">
        <is>
          <t>ได้โปรแถมฟรี</t>
        </is>
      </c>
      <c r="I1317" s="10" t="inlineStr">
        <is>
          <t>ออโต้ สมาร์ท</t>
        </is>
      </c>
      <c r="J1317" s="161" t="n">
        <v>23503</v>
      </c>
      <c r="L1317" s="8" t="inlineStr">
        <is>
          <t>ราคาที่ลง ยังไม่รวมภาษี</t>
        </is>
      </c>
    </row>
    <row r="1318">
      <c r="B1318" s="6" t="inlineStr">
        <is>
          <t>กระดาษทรายเหลี่ยมขัดน้ำ 230มม.*280มม. เบอร์ 1200 -- แถมฟรี</t>
        </is>
      </c>
      <c r="C1318" s="8" t="inlineStr">
        <is>
          <t>100แผ่น</t>
        </is>
      </c>
      <c r="H1318" s="16" t="inlineStr">
        <is>
          <t>ได้โปรแถมฟรี</t>
        </is>
      </c>
      <c r="I1318" s="10" t="inlineStr">
        <is>
          <t>ออโต้ สมาร์ท</t>
        </is>
      </c>
      <c r="J1318" s="161" t="n">
        <v>23571</v>
      </c>
      <c r="L1318" s="8" t="inlineStr">
        <is>
          <t>ราคาที่ลง ยังไม่รวมภาษี</t>
        </is>
      </c>
    </row>
    <row r="1319">
      <c r="B1319" s="6" t="inlineStr">
        <is>
          <t>กระดาษทรายเหลี่ยมขัดน้ำ 230มม.*280มม. เบอร์ 1200 -- แถมฟรี</t>
        </is>
      </c>
      <c r="C1319" s="8" t="inlineStr">
        <is>
          <t>100แผ่น</t>
        </is>
      </c>
      <c r="H1319" s="16" t="inlineStr">
        <is>
          <t>ได้โปรแถมฟรี</t>
        </is>
      </c>
      <c r="I1319" s="10" t="inlineStr">
        <is>
          <t>ออโต้ สมาร์ท</t>
        </is>
      </c>
      <c r="J1319" s="161" t="n">
        <v>23598</v>
      </c>
      <c r="L1319" s="8" t="inlineStr">
        <is>
          <t>ราคาที่ลง ยังไม่รวมภาษี</t>
        </is>
      </c>
    </row>
    <row r="1320">
      <c r="B1320" s="6" t="inlineStr">
        <is>
          <t>กระดาษทรายเหลี่ยมขัดน้ำ 230มม.*280มม. เบอร์ 1200 -- แถมฟรี</t>
        </is>
      </c>
      <c r="C1320" s="8" t="inlineStr">
        <is>
          <t>100แผ่น</t>
        </is>
      </c>
      <c r="H1320" s="16" t="inlineStr">
        <is>
          <t>ได้โปรแถมฟรี</t>
        </is>
      </c>
      <c r="I1320" s="10" t="inlineStr">
        <is>
          <t>ออโต้ สมาร์ท</t>
        </is>
      </c>
      <c r="J1320" s="161" t="n">
        <v>23661</v>
      </c>
      <c r="K1320" s="8" t="n">
        <v>202110080</v>
      </c>
      <c r="L1320" s="8" t="inlineStr">
        <is>
          <t>ราคาที่ลง ยังไม่รวมภาษี</t>
        </is>
      </c>
    </row>
    <row r="1321">
      <c r="B1321" s="6" t="inlineStr">
        <is>
          <t>กระดาษทรายเหลี่ยมขัดน้ำ 230มม.*280มม. เบอร์ 1200</t>
        </is>
      </c>
      <c r="C1321" s="8" t="inlineStr">
        <is>
          <t>100แผ่น</t>
        </is>
      </c>
      <c r="D1321" s="9" t="n">
        <v>7</v>
      </c>
      <c r="H1321" s="9" t="n">
        <v>700</v>
      </c>
      <c r="I1321" s="10" t="inlineStr">
        <is>
          <t>ออโต้ สมาร์ท</t>
        </is>
      </c>
      <c r="J1321" s="161" t="n">
        <v>23787</v>
      </c>
      <c r="K1321" s="8" t="n">
        <v>202202131</v>
      </c>
      <c r="L1321" s="8" t="inlineStr">
        <is>
          <t>ราคาที่ลง ยังไม่รวมภาษี</t>
        </is>
      </c>
    </row>
    <row r="1322">
      <c r="B1322" s="6" t="inlineStr">
        <is>
          <t>กระดาษทรายเหลี่ยมขัดน้ำ 230มม.*280มม. เบอร์ 1200 -- แถมฟรี</t>
        </is>
      </c>
      <c r="C1322" s="8" t="inlineStr">
        <is>
          <t>100แผ่น</t>
        </is>
      </c>
      <c r="H1322" s="16" t="inlineStr">
        <is>
          <t>ได้โปรแถมฟรี</t>
        </is>
      </c>
      <c r="I1322" s="10" t="inlineStr">
        <is>
          <t>ออโต้ สมาร์ท</t>
        </is>
      </c>
      <c r="J1322" s="161" t="n">
        <v>23787</v>
      </c>
      <c r="K1322" s="8" t="n">
        <v>202202131</v>
      </c>
      <c r="L1322" s="8" t="inlineStr">
        <is>
          <t>ราคาที่ลง ยังไม่รวมภาษี</t>
        </is>
      </c>
    </row>
    <row r="1323">
      <c r="B1323" s="6" t="inlineStr">
        <is>
          <t>กระดาษทรายเหลี่ยมขัดน้ำ 230มม.*280มม. เบอร์ 1200 -- แถมฟรี</t>
        </is>
      </c>
      <c r="C1323" s="8" t="inlineStr">
        <is>
          <t>100แผ่น</t>
        </is>
      </c>
      <c r="H1323" s="16" t="inlineStr">
        <is>
          <t>ได้โปรแถมฟรี</t>
        </is>
      </c>
      <c r="I1323" s="10" t="inlineStr">
        <is>
          <t>ออโต้ สมาร์ท</t>
        </is>
      </c>
      <c r="J1323" s="161" t="n">
        <v>23888</v>
      </c>
      <c r="K1323" s="8" t="n">
        <v>202205231</v>
      </c>
      <c r="L1323" s="8" t="inlineStr">
        <is>
          <t>ราคาที่ลง ยังไม่รวมภาษี</t>
        </is>
      </c>
    </row>
    <row r="1324">
      <c r="A1324" s="75" t="inlineStr">
        <is>
          <t>โปรซื้อ 11-19แพ็ค ลด 30%</t>
        </is>
      </c>
      <c r="B1324" s="6" t="inlineStr">
        <is>
          <t xml:space="preserve">กระดาษทรายเหลี่ยมขัดน้ำ 230มม.*280มม. เบอร์ 1200 ตราม้าส้ม </t>
        </is>
      </c>
      <c r="C1324" s="8" t="inlineStr">
        <is>
          <t>300แผ่น</t>
        </is>
      </c>
      <c r="D1324" s="9" t="n">
        <v>7</v>
      </c>
      <c r="F1324" s="17" t="n">
        <v>0.35</v>
      </c>
      <c r="H1324" s="9" t="n">
        <v>1365</v>
      </c>
      <c r="I1324" s="10" t="inlineStr">
        <is>
          <t>ออโต้เทรด มาร์เก็ตติ้ง</t>
        </is>
      </c>
      <c r="J1324" s="161" t="n">
        <v>23997</v>
      </c>
      <c r="K1324" s="8" t="inlineStr">
        <is>
          <t>IV1421363</t>
        </is>
      </c>
      <c r="L1324" s="8" t="inlineStr">
        <is>
          <t>ราคาที่ลง ยังไม่รวมภาษี</t>
        </is>
      </c>
    </row>
    <row r="1325">
      <c r="A1325" s="75" t="inlineStr">
        <is>
          <t>โปรซื้อ 20แพ็ค ลด 35%</t>
        </is>
      </c>
      <c r="B1325" s="6" t="inlineStr">
        <is>
          <t>กระดาษทรายเหลี่ยมขัดน้ำ 230มม.*280มม. เบอร์ 1200</t>
        </is>
      </c>
      <c r="C1325" s="8" t="n">
        <v>1</v>
      </c>
      <c r="D1325" s="9" t="n">
        <v>700</v>
      </c>
      <c r="F1325" s="17" t="n">
        <v>0.3</v>
      </c>
      <c r="H1325" s="9" t="n">
        <v>490</v>
      </c>
      <c r="I1325" s="10" t="inlineStr">
        <is>
          <t>ออโต้เทรด มาร์เก็ตติ้ง</t>
        </is>
      </c>
      <c r="J1325" s="161" t="n">
        <v>24326</v>
      </c>
      <c r="K1325" s="8" t="inlineStr">
        <is>
          <t>IV1435877</t>
        </is>
      </c>
      <c r="L1325" s="8" t="inlineStr">
        <is>
          <t>ราคาที่ลง ยังไม่รวมภาษี</t>
        </is>
      </c>
    </row>
    <row r="1326">
      <c r="A1326" s="75" t="n"/>
      <c r="B1326" s="6" t="inlineStr">
        <is>
          <t>กระดาษทรายเหลี่ยมขัดน้ำ 230มม.*280มม. เบอร์ 1200</t>
        </is>
      </c>
      <c r="C1326" s="8" t="n">
        <v>100</v>
      </c>
      <c r="D1326" s="9" t="n">
        <v>7</v>
      </c>
      <c r="F1326" s="17" t="n">
        <v>0.35</v>
      </c>
      <c r="H1326" s="9">
        <f>SUM(C1326*D1326*0.65)</f>
        <v/>
      </c>
      <c r="I1326" s="10" t="inlineStr">
        <is>
          <t>ออโต้เทรด มาร์เก็ตติ้ง</t>
        </is>
      </c>
      <c r="J1326" s="161" t="n">
        <v>24710</v>
      </c>
      <c r="K1326" s="8" t="inlineStr">
        <is>
          <t>IV1453250</t>
        </is>
      </c>
      <c r="L1326" s="8" t="inlineStr">
        <is>
          <t>ราคาที่ลง ยังไม่รวมภาษี</t>
        </is>
      </c>
    </row>
    <row r="1327">
      <c r="A1327" s="75" t="inlineStr">
        <is>
          <t>โปรซื้อ 20แพ็ค ลด 35%</t>
        </is>
      </c>
      <c r="B1327" s="6" t="inlineStr">
        <is>
          <t>กระดาษทรายเหลี่ยมขัดน้ำ 230มม.*280มม. เบอร์ 1200</t>
        </is>
      </c>
      <c r="C1327" s="8" t="n">
        <v>1</v>
      </c>
      <c r="D1327" s="9" t="n">
        <v>749</v>
      </c>
      <c r="F1327" s="17" t="n">
        <v>0.35</v>
      </c>
      <c r="G1327" s="10">
        <f>SUM(H1327*0.65)</f>
        <v/>
      </c>
      <c r="H1327" s="9">
        <f>SUM(D1327*C1327)</f>
        <v/>
      </c>
      <c r="I1327" s="10" t="inlineStr">
        <is>
          <t>ออโต้เทรด</t>
        </is>
      </c>
      <c r="J1327" s="161" t="n">
        <v>24846</v>
      </c>
      <c r="K1327" s="8" t="inlineStr">
        <is>
          <t>IV1459290</t>
        </is>
      </c>
      <c r="L1327" s="8" t="inlineStr">
        <is>
          <t>ราคารวม VAT แล้ว</t>
        </is>
      </c>
    </row>
    <row r="1328">
      <c r="B1328" s="6" t="inlineStr">
        <is>
          <t xml:space="preserve">กระดาษทรายเหลี่ยมขัดน้ำ 230มม.*280มม. เบอร์ 1200 ตราม้าส้ม </t>
        </is>
      </c>
      <c r="C1328" s="8" t="n">
        <v>200</v>
      </c>
      <c r="D1328" s="9" t="n">
        <v>7</v>
      </c>
      <c r="F1328" s="17" t="n">
        <v>0.3</v>
      </c>
      <c r="G1328" s="10">
        <f>SUM(C1328*D1328*0.65)</f>
        <v/>
      </c>
      <c r="H1328" s="9">
        <f>SUM(G1328*107/100)</f>
        <v/>
      </c>
      <c r="I1328" s="10" t="inlineStr">
        <is>
          <t>ออโต้เทรด มาร์เก็ตติ้ง</t>
        </is>
      </c>
      <c r="J1328" s="161" t="n">
        <v>25135</v>
      </c>
      <c r="K1328" s="8" t="inlineStr">
        <is>
          <t>IV1472726</t>
        </is>
      </c>
      <c r="L1328" s="8" t="inlineStr">
        <is>
          <t>ราคาที่ลง ยังไม่รวมภาษี</t>
        </is>
      </c>
    </row>
    <row r="1330">
      <c r="B1330" s="6" t="inlineStr">
        <is>
          <t>กระดาษทรายน้ำ Oslong 9"x11" เบอร์ 1500</t>
        </is>
      </c>
      <c r="C1330" s="8" t="inlineStr">
        <is>
          <t>100แผ่น</t>
        </is>
      </c>
      <c r="I1330" s="10" t="inlineStr">
        <is>
          <t>เบรนเวิคส์</t>
        </is>
      </c>
      <c r="J1330" s="161" t="n">
        <v>22423</v>
      </c>
      <c r="L1330" s="8" t="inlineStr">
        <is>
          <t>ราคาที่ลง ยังไม่รวมภาษี</t>
        </is>
      </c>
    </row>
    <row r="1331">
      <c r="B1331" s="6" t="inlineStr">
        <is>
          <t>กระดาษทรายเหลี่ยมขัดน้ำ 230มม.*280มม. เบอร์ 1500</t>
        </is>
      </c>
      <c r="C1331" s="8" t="inlineStr">
        <is>
          <t>100แผ่น</t>
        </is>
      </c>
      <c r="I1331" s="10" t="inlineStr">
        <is>
          <t>ออโต้ สมาร์ท</t>
        </is>
      </c>
      <c r="J1331" s="161" t="n">
        <v>22840</v>
      </c>
      <c r="L1331" s="8" t="inlineStr">
        <is>
          <t>ราคาที่ลง ยังไม่รวมภาษี</t>
        </is>
      </c>
    </row>
    <row r="1332">
      <c r="B1332" s="6" t="inlineStr">
        <is>
          <t>กระดาษทรายเหลี่ยมขัดน้ำ 230มม.*280มม. เบอร์ 1500</t>
        </is>
      </c>
      <c r="C1332" s="8" t="inlineStr">
        <is>
          <t>100แผ่น</t>
        </is>
      </c>
      <c r="D1332" s="9" t="n">
        <v>7</v>
      </c>
      <c r="H1332" s="9" t="n">
        <v>700</v>
      </c>
      <c r="I1332" s="10" t="inlineStr">
        <is>
          <t>ออโต้ สมาร์ท</t>
        </is>
      </c>
      <c r="J1332" s="161" t="n">
        <v>23157</v>
      </c>
      <c r="L1332" s="8" t="inlineStr">
        <is>
          <t>ราคาที่ลง ยังไม่รวมภาษี</t>
        </is>
      </c>
    </row>
    <row r="1333">
      <c r="B1333" s="6" t="inlineStr">
        <is>
          <t>กระดาษทรายเหลี่ยมขัดน้ำ 230มม.*280มม. เบอร์ 1500</t>
        </is>
      </c>
      <c r="C1333" s="8" t="inlineStr">
        <is>
          <t>100แผ่น</t>
        </is>
      </c>
      <c r="H1333" s="16" t="inlineStr">
        <is>
          <t>ได้โปรแถมฟรี</t>
        </is>
      </c>
      <c r="I1333" s="10" t="inlineStr">
        <is>
          <t>ออโต้ สมาร์ท</t>
        </is>
      </c>
      <c r="J1333" s="161" t="n">
        <v>23230</v>
      </c>
      <c r="L1333" s="8" t="inlineStr">
        <is>
          <t>ราคาที่ลง ยังไม่รวมภาษี</t>
        </is>
      </c>
    </row>
    <row r="1334">
      <c r="B1334" s="6" t="inlineStr">
        <is>
          <t>กระดาษทรายเหลี่ยมขัดน้ำ 230มม.*280มม. เบอร์ 1500</t>
        </is>
      </c>
      <c r="C1334" s="8" t="inlineStr">
        <is>
          <t>100แผ่น</t>
        </is>
      </c>
      <c r="H1334" s="16" t="inlineStr">
        <is>
          <t>ได้โปรแถมฟรี</t>
        </is>
      </c>
      <c r="I1334" s="10" t="inlineStr">
        <is>
          <t>ออโต้ สมาร์ท</t>
        </is>
      </c>
      <c r="J1334" s="161" t="n">
        <v>23269</v>
      </c>
      <c r="L1334" s="8" t="inlineStr">
        <is>
          <t>ราคาที่ลง ยังไม่รวมภาษี</t>
        </is>
      </c>
    </row>
    <row r="1335">
      <c r="A1335" s="75" t="inlineStr">
        <is>
          <t>โปรซื้อ 11-19แพ็ค ลด 30%</t>
        </is>
      </c>
      <c r="B1335" s="6" t="inlineStr">
        <is>
          <t>กระดาษทรายเหลี่ยมขัดน้ำ 230มม.*280มม. เบอร์ 1500</t>
        </is>
      </c>
      <c r="C1335" s="8" t="inlineStr">
        <is>
          <t>100แผ่น</t>
        </is>
      </c>
      <c r="H1335" s="16" t="inlineStr">
        <is>
          <t>ได้โปรแถมฟรี</t>
        </is>
      </c>
      <c r="I1335" s="10" t="inlineStr">
        <is>
          <t>ออโต้ สมาร์ท</t>
        </is>
      </c>
      <c r="J1335" s="161" t="n">
        <v>23322</v>
      </c>
      <c r="L1335" s="8" t="inlineStr">
        <is>
          <t>ราคาที่ลง ยังไม่รวมภาษี</t>
        </is>
      </c>
    </row>
    <row r="1336">
      <c r="A1336" s="75" t="inlineStr">
        <is>
          <t>โปรซื้อ 20แพ็ค ลด 35%</t>
        </is>
      </c>
      <c r="B1336" s="6" t="inlineStr">
        <is>
          <t xml:space="preserve">กระดาษทรายเหลี่ยมขัดน้ำ 230มม.*280มม. เบอร์ 1500 ตราม้าส้ม </t>
        </is>
      </c>
      <c r="C1336" s="8" t="inlineStr">
        <is>
          <t>300แผ่น</t>
        </is>
      </c>
      <c r="D1336" s="9" t="n">
        <v>7</v>
      </c>
      <c r="F1336" s="17" t="n">
        <v>0.35</v>
      </c>
      <c r="H1336" s="9" t="n">
        <v>1365</v>
      </c>
      <c r="I1336" s="10" t="inlineStr">
        <is>
          <t>ออโต้เทรด มาร์เก็ตติ้ง</t>
        </is>
      </c>
      <c r="J1336" s="161" t="n">
        <v>23997</v>
      </c>
      <c r="K1336" s="8" t="inlineStr">
        <is>
          <t>IV1421363</t>
        </is>
      </c>
      <c r="L1336" s="8" t="inlineStr">
        <is>
          <t>ราคาที่ลง ยังไม่รวมภาษี</t>
        </is>
      </c>
    </row>
    <row r="1338">
      <c r="B1338" s="6" t="inlineStr">
        <is>
          <t xml:space="preserve">กระดาษทรายขัดแห้งหลังกาว 120*50 เมตร (ม้วน) </t>
        </is>
      </c>
      <c r="C1338" s="8" t="inlineStr">
        <is>
          <t>1อัน</t>
        </is>
      </c>
      <c r="D1338" s="9" t="n">
        <v>950</v>
      </c>
      <c r="H1338" s="9" t="n">
        <v>950</v>
      </c>
      <c r="I1338" s="10" t="inlineStr">
        <is>
          <t>ออโต้ สมาร์ท</t>
        </is>
      </c>
      <c r="J1338" s="161" t="n">
        <v>22893</v>
      </c>
      <c r="L1338" s="8" t="inlineStr">
        <is>
          <t>ราคาที่ลง ยังไม่รวมภาษี</t>
        </is>
      </c>
    </row>
    <row r="1340">
      <c r="B1340" s="6" t="inlineStr">
        <is>
          <t xml:space="preserve">กระดาษทรายขัดแห้งหลังกาว 80*50 เมตร (ม้วน) </t>
        </is>
      </c>
      <c r="C1340" s="8" t="inlineStr">
        <is>
          <t>1อัน</t>
        </is>
      </c>
      <c r="D1340" s="9" t="n">
        <v>950</v>
      </c>
      <c r="H1340" s="9" t="n">
        <v>950</v>
      </c>
      <c r="I1340" s="10" t="inlineStr">
        <is>
          <t>ออโต้ สมาร์ท</t>
        </is>
      </c>
      <c r="J1340" s="161" t="n">
        <v>22863</v>
      </c>
      <c r="L1340" s="8" t="inlineStr">
        <is>
          <t>ราคาที่ลง ยังไม่รวมภาษี</t>
        </is>
      </c>
    </row>
    <row r="1341">
      <c r="B1341" s="6" t="inlineStr">
        <is>
          <t xml:space="preserve">กระดาษทรายขัดแห้งหลังกาว 80*50 เมตร (ม้วน) </t>
        </is>
      </c>
      <c r="C1341" s="8" t="inlineStr">
        <is>
          <t>1อัน</t>
        </is>
      </c>
      <c r="D1341" s="9" t="n">
        <v>950</v>
      </c>
      <c r="H1341" s="9" t="n">
        <v>950</v>
      </c>
      <c r="I1341" s="10" t="inlineStr">
        <is>
          <t>ออโต้ สมาร์ท</t>
        </is>
      </c>
      <c r="J1341" s="161" t="n">
        <v>22997</v>
      </c>
      <c r="L1341" s="8" t="inlineStr">
        <is>
          <t>ราคาที่ลง ยังไม่รวมภาษี</t>
        </is>
      </c>
    </row>
    <row r="1342">
      <c r="B1342" s="6" t="inlineStr">
        <is>
          <t xml:space="preserve">กระดาษทรายขัดแห้งหลังกาว 80*50 เมตร (ม้วน) </t>
        </is>
      </c>
      <c r="C1342" s="8" t="inlineStr">
        <is>
          <t>1อัน</t>
        </is>
      </c>
      <c r="D1342" s="9" t="n">
        <v>950</v>
      </c>
      <c r="H1342" s="9" t="n">
        <v>950</v>
      </c>
      <c r="I1342" s="10" t="inlineStr">
        <is>
          <t>ออโต้ สมาร์ท</t>
        </is>
      </c>
      <c r="J1342" s="161" t="n">
        <v>23620</v>
      </c>
      <c r="K1342" s="8" t="n">
        <v>202108203</v>
      </c>
      <c r="L1342" s="8" t="inlineStr">
        <is>
          <t>ราคาที่ลง ยังไม่รวมภาษี</t>
        </is>
      </c>
    </row>
    <row r="1343">
      <c r="B1343" s="6" t="inlineStr">
        <is>
          <t xml:space="preserve">กระดาษทรายขัดแห้งหลังกาว 80*50 เมตร (ม้วน) </t>
        </is>
      </c>
      <c r="C1343" s="8" t="inlineStr">
        <is>
          <t>1อัน</t>
        </is>
      </c>
      <c r="D1343" s="9" t="n">
        <v>950</v>
      </c>
      <c r="H1343" s="9" t="n">
        <v>950</v>
      </c>
      <c r="I1343" s="10" t="inlineStr">
        <is>
          <t>ออโต้ สมาร์ท</t>
        </is>
      </c>
      <c r="J1343" s="161" t="n">
        <v>23753</v>
      </c>
      <c r="K1343" s="8" t="n">
        <v>202201071</v>
      </c>
      <c r="L1343" s="8" t="inlineStr">
        <is>
          <t>ราคาที่ลง ยังไม่รวมภาษี</t>
        </is>
      </c>
    </row>
    <row r="1345">
      <c r="B1345" s="6" t="inlineStr">
        <is>
          <t>กระดาษทรายม้วนหลังกาว เบอร์ 80 (ม้วนใหญ่ แบบหลังกาว)</t>
        </is>
      </c>
      <c r="C1345" s="8" t="inlineStr">
        <is>
          <t>2ม้วน</t>
        </is>
      </c>
      <c r="D1345" s="9" t="n">
        <v>1390</v>
      </c>
      <c r="F1345" s="17" t="n">
        <v>0.1</v>
      </c>
      <c r="H1345" s="9" t="n">
        <v>2502</v>
      </c>
      <c r="I1345" s="10" t="inlineStr">
        <is>
          <t>ออโต้เทรด มาร์เก็ตติ้ง</t>
        </is>
      </c>
      <c r="J1345" s="161" t="n">
        <v>24084</v>
      </c>
      <c r="K1345" s="8" t="inlineStr">
        <is>
          <t>IV1425090</t>
        </is>
      </c>
      <c r="L1345" s="8" t="inlineStr">
        <is>
          <t>ราคาที่ลง ยังไม่รวมภาษี</t>
        </is>
      </c>
    </row>
    <row r="1346">
      <c r="B1346" s="6" t="inlineStr">
        <is>
          <t>กระดาษทรายม้วนหลังกาว เบอร์ 80 (ม้วนใหญ่ แบบหลังกาว)</t>
        </is>
      </c>
      <c r="C1346" s="8" t="inlineStr">
        <is>
          <t>1ม้วน</t>
        </is>
      </c>
      <c r="D1346" s="9" t="n">
        <v>1390</v>
      </c>
      <c r="F1346" s="17" t="n">
        <v>0.1</v>
      </c>
      <c r="H1346" s="9" t="n">
        <v>1251</v>
      </c>
      <c r="I1346" s="10" t="inlineStr">
        <is>
          <t>ออโต้เทรด มาร์เก็ตติ้ง</t>
        </is>
      </c>
      <c r="J1346" s="161" t="n">
        <v>24244</v>
      </c>
      <c r="K1346" s="8" t="inlineStr">
        <is>
          <t>IV1432091</t>
        </is>
      </c>
      <c r="L1346" s="8" t="inlineStr">
        <is>
          <t>ราคาที่ลง ยังไม่รวมภาษี</t>
        </is>
      </c>
    </row>
    <row r="1347">
      <c r="A1347" s="68" t="inlineStr">
        <is>
          <t>โปร 2ม้วน ลด15%</t>
        </is>
      </c>
      <c r="B1347" s="6" t="inlineStr">
        <is>
          <t>กระดาษทรายม้วนหลังกาว เบอร์ 80 (ม้วนใหญ่ แบบหลังกาว)</t>
        </is>
      </c>
      <c r="C1347" s="8" t="n">
        <v>2</v>
      </c>
      <c r="D1347" s="9" t="n">
        <v>1390</v>
      </c>
      <c r="F1347" s="17" t="n">
        <v>0.15</v>
      </c>
      <c r="H1347" s="9" t="n">
        <v>2363</v>
      </c>
      <c r="I1347" s="10" t="inlineStr">
        <is>
          <t>ออโต้เทรด มาร์เก็ตติ้ง</t>
        </is>
      </c>
      <c r="J1347" s="161" t="n">
        <v>24272</v>
      </c>
      <c r="K1347" s="8" t="inlineStr">
        <is>
          <t>IV1433445</t>
        </is>
      </c>
      <c r="L1347" s="8" t="inlineStr">
        <is>
          <t>ราคาที่ลง ยังไม่รวมภาษี</t>
        </is>
      </c>
    </row>
    <row r="1348">
      <c r="A1348" s="68" t="n"/>
      <c r="B1348" s="6" t="inlineStr">
        <is>
          <t>กระดาษทรายม้วนหลังกาว เบอร์ 80 (ม้วนใหญ่ แบบหลังกาว)</t>
        </is>
      </c>
      <c r="C1348" s="8" t="n">
        <v>2</v>
      </c>
      <c r="D1348" s="9" t="n">
        <v>1390</v>
      </c>
      <c r="F1348" s="17" t="n">
        <v>0.15</v>
      </c>
      <c r="H1348" s="9" t="n">
        <v>2363</v>
      </c>
      <c r="I1348" s="10" t="inlineStr">
        <is>
          <t>ออโต้เทรด มาร์เก็ตติ้ง</t>
        </is>
      </c>
      <c r="J1348" s="161" t="n">
        <v>24429</v>
      </c>
      <c r="K1348" s="8" t="inlineStr">
        <is>
          <t>IV1440657</t>
        </is>
      </c>
      <c r="L1348" s="8" t="inlineStr">
        <is>
          <t>ราคาที่ลง ยังไม่รวมภาษี</t>
        </is>
      </c>
    </row>
    <row r="1349">
      <c r="A1349" s="68" t="n"/>
      <c r="B1349" s="6" t="inlineStr">
        <is>
          <t>กระดาษทรายม้วนหลังกาว เบอร์ 80 (ม้วนใหญ่ แบบหลังกาว)</t>
        </is>
      </c>
      <c r="C1349" s="8" t="n">
        <v>4</v>
      </c>
      <c r="D1349" s="9" t="n">
        <v>1390</v>
      </c>
      <c r="F1349" s="17" t="n">
        <v>0.15</v>
      </c>
      <c r="G1349" s="10">
        <f>SUM(H1349*0.85)</f>
        <v/>
      </c>
      <c r="H1349" s="9">
        <f>SUM(D1349*C1349)</f>
        <v/>
      </c>
      <c r="I1349" s="10" t="inlineStr">
        <is>
          <t>ออโต้เทรด มาร์เก็ตติ้ง</t>
        </is>
      </c>
      <c r="J1349" s="161" t="n">
        <v>24587</v>
      </c>
      <c r="K1349" s="8" t="inlineStr">
        <is>
          <t>IV1447634</t>
        </is>
      </c>
      <c r="L1349" s="8" t="inlineStr">
        <is>
          <t>ราคาที่ลง ยังไม่รวมภาษี</t>
        </is>
      </c>
    </row>
    <row r="1350">
      <c r="A1350" s="68" t="n"/>
      <c r="B1350" s="6" t="inlineStr">
        <is>
          <t>กระดาษทรายม้วนหลังกาว เบอร์ 80 (ม้วนใหญ่ แบบหลังกาว)</t>
        </is>
      </c>
      <c r="C1350" s="8" t="n">
        <v>4</v>
      </c>
      <c r="D1350" s="9" t="n">
        <v>1390</v>
      </c>
      <c r="E1350" s="9">
        <f>SUM(C1350*D1350)</f>
        <v/>
      </c>
      <c r="F1350" s="17" t="n">
        <v>0.2</v>
      </c>
      <c r="G1350" s="10" t="inlineStr">
        <is>
          <t>รวม VAT =</t>
        </is>
      </c>
      <c r="H1350" s="9">
        <f>SUM(E1350*O1350/N1350*P1350)</f>
        <v/>
      </c>
      <c r="I1350" s="10" t="inlineStr">
        <is>
          <t>ออโต้เทรด</t>
        </is>
      </c>
      <c r="J1350" s="161" t="n">
        <v>24996</v>
      </c>
      <c r="K1350" s="8" t="inlineStr">
        <is>
          <t>IV1466221</t>
        </is>
      </c>
      <c r="L1350" s="8" t="inlineStr">
        <is>
          <t>ราคารวม VAT แล้ว</t>
        </is>
      </c>
      <c r="N1350" s="6" t="n">
        <v>100</v>
      </c>
      <c r="O1350" s="6" t="n">
        <v>107</v>
      </c>
      <c r="P1350" s="6" t="n">
        <v>0.8</v>
      </c>
    </row>
    <row r="1353">
      <c r="A1353" s="66" t="inlineStr">
        <is>
          <t>สีพื้น อิบ๊อกซี่</t>
        </is>
      </c>
      <c r="B1353" s="6" t="inlineStr">
        <is>
          <t>สีพื้น อิบ๊อกซี่ Epoxy primer surface (3.5ลิตร) -- น้ำยาเกาะเหล็ก</t>
        </is>
      </c>
      <c r="C1353" s="8" t="inlineStr">
        <is>
          <t>2กป.</t>
        </is>
      </c>
      <c r="D1353" s="9" t="n">
        <v>3700</v>
      </c>
      <c r="F1353" s="8" t="n">
        <v>23</v>
      </c>
      <c r="H1353" s="9" t="n">
        <v>5698</v>
      </c>
      <c r="I1353" s="10" t="inlineStr">
        <is>
          <t>ออโต้ สมาร์ท</t>
        </is>
      </c>
      <c r="J1353" s="161" t="n">
        <v>22431</v>
      </c>
    </row>
    <row r="1354">
      <c r="A1354" s="67" t="inlineStr">
        <is>
          <t>(น้ำยาเกาะเหล็ก)</t>
        </is>
      </c>
      <c r="B1354" s="6" t="inlineStr">
        <is>
          <t>สีพื้น อิบ๊อกซี่ Epoxy primer surface (3.5ลิตร) -- น้ำยาเกาะเหล็ก</t>
        </is>
      </c>
      <c r="C1354" s="8" t="inlineStr">
        <is>
          <t>2กป.</t>
        </is>
      </c>
      <c r="D1354" s="9" t="n">
        <v>3700</v>
      </c>
      <c r="F1354" s="8" t="n">
        <v>23</v>
      </c>
      <c r="G1354" s="10" t="n">
        <v>2849</v>
      </c>
      <c r="H1354" s="9" t="n">
        <v>5698</v>
      </c>
      <c r="I1354" s="10" t="inlineStr">
        <is>
          <t>ออโต้ สมาร์ท</t>
        </is>
      </c>
      <c r="J1354" s="161" t="n">
        <v>22840</v>
      </c>
      <c r="L1354" s="8" t="inlineStr">
        <is>
          <t>ราคาที่ลง ยังไม่รวมภาษี</t>
        </is>
      </c>
    </row>
    <row r="1355">
      <c r="B1355" s="6" t="inlineStr">
        <is>
          <t>สีพื้น อิบ๊อกซี่ Epoxy primer surface (3.5ลิตร) -- น้ำยาเกาะเหล็ก</t>
        </is>
      </c>
      <c r="C1355" s="8" t="inlineStr">
        <is>
          <t>2กป.</t>
        </is>
      </c>
      <c r="D1355" s="9" t="n">
        <v>3700</v>
      </c>
      <c r="F1355" s="8" t="n">
        <v>23</v>
      </c>
      <c r="G1355" s="10" t="n">
        <v>2849</v>
      </c>
      <c r="H1355" s="9" t="n">
        <v>5698</v>
      </c>
      <c r="I1355" s="10" t="inlineStr">
        <is>
          <t>ออโต้ สมาร์ท</t>
        </is>
      </c>
      <c r="J1355" s="161" t="n">
        <v>22863</v>
      </c>
      <c r="L1355" s="8" t="inlineStr">
        <is>
          <t>ราคาที่ลง ยังไม่รวมภาษี</t>
        </is>
      </c>
    </row>
    <row r="1356">
      <c r="B1356" s="6" t="inlineStr">
        <is>
          <t>สีพื้น อิบ๊อกซี่ Epoxy primer surface (3.5ลิตร) -- น้ำยาเกาะเหล็ก</t>
        </is>
      </c>
      <c r="C1356" s="8" t="inlineStr">
        <is>
          <t>1กป.</t>
        </is>
      </c>
      <c r="D1356" s="9" t="n">
        <v>3700</v>
      </c>
      <c r="F1356" s="8" t="n">
        <v>23</v>
      </c>
      <c r="G1356" s="10" t="n">
        <v>2849</v>
      </c>
      <c r="H1356" s="9" t="n">
        <v>2849</v>
      </c>
      <c r="I1356" s="10" t="inlineStr">
        <is>
          <t>ออโต้ สมาร์ท</t>
        </is>
      </c>
      <c r="J1356" s="161" t="n">
        <v>22871</v>
      </c>
      <c r="L1356" s="8" t="inlineStr">
        <is>
          <t>ราคาที่ลง ยังไม่รวมภาษี</t>
        </is>
      </c>
    </row>
    <row r="1357">
      <c r="B1357" s="6" t="inlineStr">
        <is>
          <t>สีพื้น อิบ๊อกซี่ Epoxy primer surface (3.5ลิตร) -- น้ำยาเกาะเหล็ก</t>
        </is>
      </c>
      <c r="C1357" s="8" t="inlineStr">
        <is>
          <t>1กป.</t>
        </is>
      </c>
      <c r="D1357" s="9" t="n">
        <v>3700</v>
      </c>
      <c r="F1357" s="8" t="n">
        <v>23</v>
      </c>
      <c r="G1357" s="10" t="n">
        <v>2849</v>
      </c>
      <c r="H1357" s="9" t="n">
        <v>2849</v>
      </c>
      <c r="I1357" s="10" t="inlineStr">
        <is>
          <t>ออโต้ สมาร์ท</t>
        </is>
      </c>
      <c r="J1357" s="161" t="n">
        <v>22893</v>
      </c>
      <c r="L1357" s="8" t="inlineStr">
        <is>
          <t>ราคาที่ลง ยังไม่รวมภาษี</t>
        </is>
      </c>
    </row>
    <row r="1358">
      <c r="B1358" s="6" t="inlineStr">
        <is>
          <t>สีพื้น อิบ๊อกซี่ Epoxy primer surface (3.5ลิตร) -- น้ำยาเกาะเหล็ก</t>
        </is>
      </c>
      <c r="C1358" s="8" t="inlineStr">
        <is>
          <t>1กป.</t>
        </is>
      </c>
      <c r="D1358" s="9" t="n">
        <v>3700</v>
      </c>
      <c r="F1358" s="8" t="n">
        <v>23</v>
      </c>
      <c r="G1358" s="10" t="n">
        <v>2849</v>
      </c>
      <c r="H1358" s="9" t="n">
        <v>2849</v>
      </c>
      <c r="I1358" s="10" t="inlineStr">
        <is>
          <t>ออโต้ สมาร์ท</t>
        </is>
      </c>
      <c r="J1358" s="161" t="n">
        <v>22898</v>
      </c>
      <c r="L1358" s="8" t="inlineStr">
        <is>
          <t>ราคาที่ลง ยังไม่รวมภาษี</t>
        </is>
      </c>
    </row>
    <row r="1359">
      <c r="B1359" s="6" t="inlineStr">
        <is>
          <t>สีพื้น อิบ๊อกซี่ Epoxy primer surface (3.5ลิตร) -- น้ำยาเกาะเหล็ก</t>
        </is>
      </c>
      <c r="C1359" s="8" t="inlineStr">
        <is>
          <t>1กป.</t>
        </is>
      </c>
      <c r="D1359" s="9" t="n">
        <v>3700</v>
      </c>
      <c r="F1359" s="8" t="n">
        <v>23</v>
      </c>
      <c r="G1359" s="10" t="n">
        <v>2849</v>
      </c>
      <c r="H1359" s="9" t="n">
        <v>2849</v>
      </c>
      <c r="I1359" s="10" t="inlineStr">
        <is>
          <t>ออโต้ สมาร์ท</t>
        </is>
      </c>
      <c r="J1359" s="161" t="n">
        <v>23064</v>
      </c>
      <c r="L1359" s="8" t="inlineStr">
        <is>
          <t>ราคาที่ลง ยังไม่รวมภาษี</t>
        </is>
      </c>
    </row>
    <row r="1360">
      <c r="B1360" s="6" t="inlineStr">
        <is>
          <t>สีพื้น อิบ๊อกซี่ Epoxy primer surface (3.5ลิตร) -- น้ำยาเกาะเหล็ก</t>
        </is>
      </c>
      <c r="C1360" s="8" t="inlineStr">
        <is>
          <t>1กป.</t>
        </is>
      </c>
      <c r="D1360" s="9" t="n">
        <v>3700</v>
      </c>
      <c r="F1360" s="8" t="n">
        <v>23</v>
      </c>
      <c r="G1360" s="10" t="n">
        <v>2849</v>
      </c>
      <c r="H1360" s="9" t="n">
        <v>2849</v>
      </c>
      <c r="I1360" s="10" t="inlineStr">
        <is>
          <t>ออโต้ สมาร์ท</t>
        </is>
      </c>
      <c r="J1360" s="161" t="n">
        <v>23157</v>
      </c>
      <c r="L1360" s="8" t="inlineStr">
        <is>
          <t>ราคาที่ลง ยังไม่รวมภาษี</t>
        </is>
      </c>
    </row>
    <row r="1361">
      <c r="B1361" s="6" t="inlineStr">
        <is>
          <t>สีพื้น อิบ๊อกซี่ Epoxy primer surface (3.5ลิตร) -- น้ำยาเกาะเหล็ก</t>
        </is>
      </c>
      <c r="C1361" s="8" t="inlineStr">
        <is>
          <t>1กป.</t>
        </is>
      </c>
      <c r="D1361" s="9" t="n">
        <v>3700</v>
      </c>
      <c r="F1361" s="8" t="n">
        <v>23</v>
      </c>
      <c r="G1361" s="10" t="n">
        <v>2849</v>
      </c>
      <c r="H1361" s="9" t="n">
        <v>2849</v>
      </c>
      <c r="I1361" s="10" t="inlineStr">
        <is>
          <t>ออโต้ สมาร์ท</t>
        </is>
      </c>
      <c r="J1361" s="161" t="n">
        <v>23212</v>
      </c>
      <c r="L1361" s="8" t="inlineStr">
        <is>
          <t>ราคาที่ลง ยังไม่รวมภาษี</t>
        </is>
      </c>
    </row>
    <row r="1362">
      <c r="B1362" s="6" t="inlineStr">
        <is>
          <t>สีพื้น อิบ๊อกซี่ Epoxy primer surface (3.5ลิตร) -- น้ำยาเกาะเหล็ก</t>
        </is>
      </c>
      <c r="C1362" s="8" t="inlineStr">
        <is>
          <t>1กป.</t>
        </is>
      </c>
      <c r="D1362" s="9" t="n">
        <v>3700</v>
      </c>
      <c r="F1362" s="8" t="n">
        <v>23</v>
      </c>
      <c r="G1362" s="10" t="n">
        <v>2849</v>
      </c>
      <c r="H1362" s="9" t="n">
        <v>2849</v>
      </c>
      <c r="I1362" s="10" t="inlineStr">
        <is>
          <t>ออโต้ สมาร์ท</t>
        </is>
      </c>
      <c r="J1362" s="161" t="n">
        <v>23269</v>
      </c>
      <c r="L1362" s="8" t="inlineStr">
        <is>
          <t>ราคาที่ลง ยังไม่รวมภาษี</t>
        </is>
      </c>
    </row>
    <row r="1363">
      <c r="B1363" s="6" t="inlineStr">
        <is>
          <t>สีพื้น อิบ๊อกซี่ Epoxy primer surface (3.5ลิตร) -- น้ำยาเกาะเหล็ก</t>
        </is>
      </c>
      <c r="C1363" s="8" t="inlineStr">
        <is>
          <t>1กป.</t>
        </is>
      </c>
      <c r="D1363" s="9" t="n">
        <v>3700</v>
      </c>
      <c r="F1363" s="8" t="n">
        <v>23</v>
      </c>
      <c r="G1363" s="10" t="n">
        <v>2849</v>
      </c>
      <c r="H1363" s="9" t="n">
        <v>2849</v>
      </c>
      <c r="I1363" s="10" t="inlineStr">
        <is>
          <t>ออโต้ สมาร์ท</t>
        </is>
      </c>
      <c r="J1363" s="161" t="n">
        <v>23308</v>
      </c>
      <c r="L1363" s="8" t="inlineStr">
        <is>
          <t>ราคาที่ลง ยังไม่รวมภาษี</t>
        </is>
      </c>
    </row>
    <row r="1364">
      <c r="B1364" s="6" t="inlineStr">
        <is>
          <t>สีพื้น อิบ๊อกซี่ Epoxy primer surface (3.5ลิตร) -- น้ำยาเกาะเหล็ก</t>
        </is>
      </c>
      <c r="C1364" s="8" t="inlineStr">
        <is>
          <t>1กป.</t>
        </is>
      </c>
      <c r="D1364" s="9" t="n">
        <v>3700</v>
      </c>
      <c r="F1364" s="8" t="n">
        <v>23</v>
      </c>
      <c r="G1364" s="10" t="n">
        <v>2849</v>
      </c>
      <c r="H1364" s="9" t="n">
        <v>2849</v>
      </c>
      <c r="I1364" s="10" t="inlineStr">
        <is>
          <t>ออโต้ สมาร์ท</t>
        </is>
      </c>
      <c r="J1364" s="161" t="n">
        <v>23349</v>
      </c>
      <c r="L1364" s="8" t="inlineStr">
        <is>
          <t>ราคาที่ลง ยังไม่รวมภาษี</t>
        </is>
      </c>
    </row>
    <row r="1365">
      <c r="B1365" s="6" t="inlineStr">
        <is>
          <t>สีพื้น อิบ๊อกซี่ Epoxy primer surface (3.5ลิตร) -- น้ำยาเกาะเหล็ก</t>
        </is>
      </c>
      <c r="C1365" s="8" t="inlineStr">
        <is>
          <t>1กป.</t>
        </is>
      </c>
      <c r="D1365" s="9" t="n">
        <v>3700</v>
      </c>
      <c r="F1365" s="8" t="n">
        <v>23</v>
      </c>
      <c r="G1365" s="10" t="n">
        <v>2849</v>
      </c>
      <c r="H1365" s="9" t="n">
        <v>2849</v>
      </c>
      <c r="I1365" s="10" t="inlineStr">
        <is>
          <t>ออโต้ สมาร์ท</t>
        </is>
      </c>
      <c r="J1365" s="161" t="n">
        <v>23399</v>
      </c>
      <c r="L1365" s="8" t="inlineStr">
        <is>
          <t>ราคาที่ลง ยังไม่รวมภาษี</t>
        </is>
      </c>
    </row>
    <row r="1366">
      <c r="B1366" s="6" t="inlineStr">
        <is>
          <t>สีพื้น อิบ๊อกซี่ Epoxy primer surface (3.5ลิตร) -- น้ำยาเกาะเหล็ก</t>
        </is>
      </c>
      <c r="C1366" s="8" t="inlineStr">
        <is>
          <t>1กป.</t>
        </is>
      </c>
      <c r="D1366" s="9" t="n">
        <v>3700</v>
      </c>
      <c r="F1366" s="8" t="n">
        <v>23</v>
      </c>
      <c r="G1366" s="10" t="n">
        <v>2849</v>
      </c>
      <c r="H1366" s="9" t="n">
        <v>2849</v>
      </c>
      <c r="I1366" s="10" t="inlineStr">
        <is>
          <t>ออโต้ สมาร์ท</t>
        </is>
      </c>
      <c r="J1366" s="161" t="n">
        <v>23462</v>
      </c>
      <c r="L1366" s="8" t="inlineStr">
        <is>
          <t>ราคาที่ลง ยังไม่รวมภาษี</t>
        </is>
      </c>
    </row>
    <row r="1367">
      <c r="A1367" s="67" t="inlineStr">
        <is>
          <t>ยี่ห้อ COMAX</t>
        </is>
      </c>
      <c r="B1367" s="6" t="inlineStr">
        <is>
          <t>สีพื้น อิบ๊อกซี่ Epoxy primer surface EX 840R (4ลิตร) -- น้ำยาเกาะเหล็ก</t>
        </is>
      </c>
      <c r="C1367" s="8" t="inlineStr">
        <is>
          <t>1กป.</t>
        </is>
      </c>
      <c r="D1367" s="9" t="n">
        <v>4230</v>
      </c>
      <c r="F1367" s="8" t="n">
        <v>23</v>
      </c>
      <c r="G1367" s="10" t="n">
        <v>3257.1</v>
      </c>
      <c r="H1367" s="9" t="n">
        <v>3257.1</v>
      </c>
      <c r="I1367" s="10" t="inlineStr">
        <is>
          <t>ออโต้ สมาร์ท</t>
        </is>
      </c>
      <c r="J1367" s="161" t="n">
        <v>23753</v>
      </c>
      <c r="K1367" s="8" t="n">
        <v>202201071</v>
      </c>
      <c r="L1367" s="8" t="inlineStr">
        <is>
          <t>ราคาที่ลง ยังไม่รวมภาษี</t>
        </is>
      </c>
    </row>
    <row r="1368">
      <c r="A1368" s="67" t="inlineStr">
        <is>
          <t>ยี่ห้อ COMAX</t>
        </is>
      </c>
      <c r="B1368" s="6" t="inlineStr">
        <is>
          <t>สีพื้น อิบ๊อกซี่ Epoxy primer surface EX 840R (4ลิตร) -- น้ำยาเกาะเหล็ก</t>
        </is>
      </c>
      <c r="C1368" s="8" t="inlineStr">
        <is>
          <t>1กป.</t>
        </is>
      </c>
      <c r="D1368" s="9" t="n">
        <v>4230</v>
      </c>
      <c r="F1368" s="8" t="n">
        <v>23</v>
      </c>
      <c r="G1368" s="10" t="n">
        <v>3257.1</v>
      </c>
      <c r="H1368" s="9" t="n">
        <v>3257.1</v>
      </c>
      <c r="I1368" s="10" t="inlineStr">
        <is>
          <t>ออโต้ สมาร์ท</t>
        </is>
      </c>
      <c r="J1368" s="161" t="n">
        <v>23811</v>
      </c>
      <c r="K1368" s="8" t="n">
        <v>202203091</v>
      </c>
      <c r="L1368" s="8" t="inlineStr">
        <is>
          <t>ราคาที่ลง ยังไม่รวมภาษี</t>
        </is>
      </c>
    </row>
    <row r="1369">
      <c r="A1369" s="67" t="inlineStr">
        <is>
          <t>ยี่ห้อ COMAX</t>
        </is>
      </c>
      <c r="B1369" s="6" t="inlineStr">
        <is>
          <t>สีพื้น อิบ๊อกซี่ Epoxy primer surface EX 840R (4ลิตร) -- น้ำยาเกาะเหล็ก</t>
        </is>
      </c>
      <c r="C1369" s="8" t="inlineStr">
        <is>
          <t>1กป.</t>
        </is>
      </c>
      <c r="D1369" s="9" t="n">
        <v>4230</v>
      </c>
      <c r="F1369" s="8" t="n">
        <v>23</v>
      </c>
      <c r="G1369" s="10" t="n">
        <v>3257.1</v>
      </c>
      <c r="H1369" s="9" t="n">
        <v>3257.1</v>
      </c>
      <c r="I1369" s="10" t="inlineStr">
        <is>
          <t>ออโต้ สมาร์ท</t>
        </is>
      </c>
      <c r="J1369" s="161" t="n">
        <v>23868</v>
      </c>
      <c r="K1369" s="8" t="n">
        <v>202205057</v>
      </c>
      <c r="L1369" s="8" t="inlineStr">
        <is>
          <t>ราคาที่ลง ยังไม่รวมภาษี</t>
        </is>
      </c>
    </row>
    <row r="1370">
      <c r="A1370" s="67" t="inlineStr">
        <is>
          <t>ยี่ห้อ COMAX</t>
        </is>
      </c>
      <c r="B1370" s="6" t="inlineStr">
        <is>
          <t>สีพื้น อิบ๊อกซี่ Epoxy primer surface EX 840R (4ลิตร) -- น้ำยาเกาะเหล็ก</t>
        </is>
      </c>
      <c r="C1370" s="8" t="inlineStr">
        <is>
          <t>1กป.</t>
        </is>
      </c>
      <c r="D1370" s="9" t="n">
        <v>4480</v>
      </c>
      <c r="F1370" s="8" t="n">
        <v>23</v>
      </c>
      <c r="G1370" s="10" t="n">
        <v>3449.6</v>
      </c>
      <c r="H1370" s="9" t="n">
        <v>3449.6</v>
      </c>
      <c r="I1370" s="10" t="inlineStr">
        <is>
          <t>บมจ. วีที คัลเลอร์ โปร</t>
        </is>
      </c>
      <c r="J1370" s="161" t="n">
        <v>23943</v>
      </c>
      <c r="K1370" s="8" t="inlineStr">
        <is>
          <t>IV100-65</t>
        </is>
      </c>
      <c r="L1370" s="8" t="inlineStr">
        <is>
          <t>ราคาที่ลง ยังไม่รวมภาษี</t>
        </is>
      </c>
    </row>
    <row r="1371">
      <c r="A1371" s="67" t="inlineStr">
        <is>
          <t>ยี่ห้อ COMAX</t>
        </is>
      </c>
      <c r="B1371" s="6" t="inlineStr">
        <is>
          <t>สีพื้น อิบ๊อกซี่ Epoxy primer surface EX 840R (4ลิตร) -- น้ำยาเกาะเหล็ก</t>
        </is>
      </c>
      <c r="C1371" s="8" t="inlineStr">
        <is>
          <t>1กป.</t>
        </is>
      </c>
      <c r="D1371" s="9" t="n">
        <v>4480</v>
      </c>
      <c r="F1371" s="8" t="n">
        <v>23</v>
      </c>
      <c r="G1371" s="10" t="n">
        <v>3449.6</v>
      </c>
      <c r="H1371" s="9" t="n">
        <v>3449.6</v>
      </c>
      <c r="I1371" s="10" t="inlineStr">
        <is>
          <t>บมจ. วีที คัลเลอร์ โปร</t>
        </is>
      </c>
      <c r="J1371" s="161" t="n">
        <v>23980</v>
      </c>
      <c r="K1371" s="8" t="inlineStr">
        <is>
          <t>IV152-65</t>
        </is>
      </c>
      <c r="L1371" s="8" t="inlineStr">
        <is>
          <t>ราคาที่ลง ยังไม่รวมภาษี</t>
        </is>
      </c>
    </row>
    <row r="1372">
      <c r="B1372" s="6" t="inlineStr">
        <is>
          <t>สีพื้นเกาะเหล็ก EP SC 2:1 (กป.ละ1ลิตร)</t>
        </is>
      </c>
      <c r="C1372" s="8" t="inlineStr">
        <is>
          <t>4กป.</t>
        </is>
      </c>
      <c r="D1372" s="9" t="n">
        <v>420</v>
      </c>
      <c r="H1372" s="9" t="n">
        <v>1680</v>
      </c>
      <c r="I1372" s="10" t="inlineStr">
        <is>
          <t>บมจ. วีที คัลเลอร์ โปร</t>
        </is>
      </c>
      <c r="J1372" s="161" t="n">
        <v>24061</v>
      </c>
      <c r="K1372" s="8" t="inlineStr">
        <is>
          <t>IV261-65</t>
        </is>
      </c>
      <c r="L1372" s="8" t="inlineStr">
        <is>
          <t>ราคาที่ลง ยังไม่รวมภาษี</t>
        </is>
      </c>
    </row>
    <row r="1373">
      <c r="B1373" s="6" t="inlineStr">
        <is>
          <t>สีพื้นเกาะเหล็ก EP Hybrid 2:1 (กป.ละ1ลิตร)</t>
        </is>
      </c>
      <c r="C1373" s="8" t="inlineStr">
        <is>
          <t>2กป.</t>
        </is>
      </c>
      <c r="D1373" s="9" t="n">
        <v>420</v>
      </c>
      <c r="H1373" s="9" t="n">
        <v>840</v>
      </c>
      <c r="I1373" s="10" t="inlineStr">
        <is>
          <t>บมจ. วีที คัลเลอร์ โปร</t>
        </is>
      </c>
      <c r="J1373" s="161" t="n">
        <v>24315</v>
      </c>
      <c r="K1373" s="8" t="inlineStr">
        <is>
          <t>IV425-66</t>
        </is>
      </c>
      <c r="L1373" s="8" t="inlineStr">
        <is>
          <t>ราคาที่ลง ยังไม่รวมภาษี</t>
        </is>
      </c>
    </row>
    <row r="1374">
      <c r="B1374" s="6" t="inlineStr">
        <is>
          <t>สีพื้นเกาะเหล็ก EP Hybrid 2:1 (กป.ละ1ลิตร)</t>
        </is>
      </c>
      <c r="C1374" s="8" t="n">
        <v>1</v>
      </c>
      <c r="D1374" s="9" t="n">
        <v>420</v>
      </c>
      <c r="H1374" s="9">
        <f>SUM(D1374*C1374)</f>
        <v/>
      </c>
      <c r="I1374" s="10" t="inlineStr">
        <is>
          <t>บมจ. วีที คัลเลอร์ โปร</t>
        </is>
      </c>
      <c r="J1374" s="161" t="n">
        <v>24401</v>
      </c>
      <c r="K1374" s="8" t="inlineStr">
        <is>
          <t>IV685-66</t>
        </is>
      </c>
      <c r="L1374" s="8" t="inlineStr">
        <is>
          <t>ราคาที่ลง ยังไม่รวมภาษี</t>
        </is>
      </c>
    </row>
    <row r="1375">
      <c r="B1375" s="6" t="inlineStr">
        <is>
          <t>สีพื้นเกาะเหล็ก EP Hybrid 2:1 (กป.ละ1ลิตร)</t>
        </is>
      </c>
      <c r="C1375" s="8" t="n">
        <v>1</v>
      </c>
      <c r="D1375" s="9" t="n">
        <v>420</v>
      </c>
      <c r="H1375" s="9">
        <f>SUM(D1375*C1375)</f>
        <v/>
      </c>
      <c r="I1375" s="10" t="inlineStr">
        <is>
          <t>บมจ. วีที คัลเลอร์ โปร</t>
        </is>
      </c>
      <c r="J1375" s="161" t="n">
        <v>24613</v>
      </c>
      <c r="K1375" s="8" t="inlineStr">
        <is>
          <t>IV6705105</t>
        </is>
      </c>
      <c r="L1375" s="8" t="inlineStr">
        <is>
          <t>ราคาที่ลง ยังไม่รวมภาษี</t>
        </is>
      </c>
    </row>
    <row r="1376">
      <c r="B1376" s="6" t="inlineStr">
        <is>
          <t>สีพื้นเกาะเหล็ก EP Hybrid 2:1 (กป.ละ1ลิตร)</t>
        </is>
      </c>
      <c r="C1376" s="8" t="n">
        <v>2</v>
      </c>
      <c r="D1376" s="9" t="n">
        <v>420</v>
      </c>
      <c r="H1376" s="9">
        <f>SUM(D1376*C1376)</f>
        <v/>
      </c>
      <c r="I1376" s="10" t="inlineStr">
        <is>
          <t>บมจ. วีที คัลเลอร์ โปร</t>
        </is>
      </c>
      <c r="J1376" s="161" t="n">
        <v>24711</v>
      </c>
      <c r="K1376" s="8" t="inlineStr">
        <is>
          <t>IV6708125</t>
        </is>
      </c>
      <c r="L1376" s="8" t="inlineStr">
        <is>
          <t>ราคาที่ลง ยังไม่รวมภาษี</t>
        </is>
      </c>
    </row>
    <row r="1377">
      <c r="B1377" s="6" t="inlineStr">
        <is>
          <t>สีพื้นเกาะเหล็ก EP Hybrid 2:1 (กป.ละ1ลิตร)</t>
        </is>
      </c>
      <c r="C1377" s="8" t="n">
        <v>1</v>
      </c>
      <c r="D1377" s="9" t="n">
        <v>420</v>
      </c>
      <c r="H1377" s="9">
        <f>SUM(D1377*C1377)</f>
        <v/>
      </c>
      <c r="I1377" s="10" t="inlineStr">
        <is>
          <t>บมจ. วีที คัลเลอร์ โปร</t>
        </is>
      </c>
      <c r="J1377" s="161" t="n">
        <v>24746</v>
      </c>
      <c r="K1377" s="8" t="inlineStr">
        <is>
          <t>IV6710011</t>
        </is>
      </c>
      <c r="L1377" s="8" t="inlineStr">
        <is>
          <t>ราคาที่ลง ยังไม่รวมภาษี</t>
        </is>
      </c>
    </row>
    <row r="1378">
      <c r="B1378" s="6" t="inlineStr">
        <is>
          <t>สีพื้นเกาะเหล็ก EP Hybrid 2:1 (กป.ละ1ลิตร)</t>
        </is>
      </c>
      <c r="C1378" s="8" t="n">
        <v>1</v>
      </c>
      <c r="D1378" s="9" t="n">
        <v>420</v>
      </c>
      <c r="H1378" s="9">
        <f>SUM(D1378*C1378)</f>
        <v/>
      </c>
      <c r="I1378" s="10" t="inlineStr">
        <is>
          <t>บมจ. วีที คัลเลอร์ โปร</t>
        </is>
      </c>
      <c r="J1378" s="161" t="n">
        <v>24795</v>
      </c>
      <c r="K1378" s="8" t="inlineStr">
        <is>
          <t>IV6711104</t>
        </is>
      </c>
      <c r="L1378" s="8" t="inlineStr">
        <is>
          <t>ราคาที่ลง ยังไม่รวมภาษี</t>
        </is>
      </c>
    </row>
    <row r="1380">
      <c r="B1380" s="6" t="inlineStr">
        <is>
          <t>ตัวเร่ง สีพื้น อิบ๊อกซี่ Epoxy activator (1ลิตร)</t>
        </is>
      </c>
      <c r="C1380" s="8" t="inlineStr">
        <is>
          <t>2กป.</t>
        </is>
      </c>
      <c r="D1380" s="9" t="n">
        <v>910</v>
      </c>
      <c r="F1380" s="8" t="n">
        <v>23</v>
      </c>
      <c r="G1380" s="10" t="n">
        <v>700.7</v>
      </c>
      <c r="H1380" s="9" t="n">
        <v>1401.4</v>
      </c>
      <c r="I1380" s="10" t="inlineStr">
        <is>
          <t>ออโต้ สมาร์ท</t>
        </is>
      </c>
      <c r="J1380" s="161" t="n">
        <v>22431</v>
      </c>
    </row>
    <row r="1381">
      <c r="B1381" s="6" t="inlineStr">
        <is>
          <t>ตัวเร่ง สีพื้น อิบ๊อกซี่ Epoxy activator (1ลิตร)</t>
        </is>
      </c>
      <c r="C1381" s="8" t="inlineStr">
        <is>
          <t>2กป.</t>
        </is>
      </c>
      <c r="D1381" s="9" t="n">
        <v>910</v>
      </c>
      <c r="F1381" s="8" t="n">
        <v>23</v>
      </c>
      <c r="G1381" s="10" t="n">
        <v>700.7</v>
      </c>
      <c r="H1381" s="9" t="n">
        <v>1401.4</v>
      </c>
      <c r="I1381" s="10" t="inlineStr">
        <is>
          <t>ออโต้ สมาร์ท</t>
        </is>
      </c>
      <c r="J1381" s="161" t="n">
        <v>22840</v>
      </c>
      <c r="L1381" s="8" t="inlineStr">
        <is>
          <t>ราคาที่ลง ยังไม่รวมภาษี</t>
        </is>
      </c>
    </row>
    <row r="1382">
      <c r="B1382" s="6" t="inlineStr">
        <is>
          <t>ตัวเร่ง สีพื้น อิบ๊อกซี่ Epoxy activator (1ลิตร)</t>
        </is>
      </c>
      <c r="C1382" s="8" t="inlineStr">
        <is>
          <t>3กป.</t>
        </is>
      </c>
      <c r="D1382" s="9" t="n">
        <v>910</v>
      </c>
      <c r="F1382" s="8" t="n">
        <v>23</v>
      </c>
      <c r="G1382" s="10" t="n">
        <v>700.7</v>
      </c>
      <c r="H1382" s="9" t="n">
        <v>2102.1</v>
      </c>
      <c r="I1382" s="10" t="inlineStr">
        <is>
          <t>ออโต้ สมาร์ท</t>
        </is>
      </c>
      <c r="J1382" s="161" t="n">
        <v>22863</v>
      </c>
      <c r="L1382" s="8" t="inlineStr">
        <is>
          <t>ราคาที่ลง ยังไม่รวมภาษี</t>
        </is>
      </c>
    </row>
    <row r="1383">
      <c r="B1383" s="6" t="inlineStr">
        <is>
          <t>ตัวเร่ง สีพื้น อิบ๊อกซี่ Epoxy activator (1ลิตร)</t>
        </is>
      </c>
      <c r="C1383" s="8" t="inlineStr">
        <is>
          <t>1กป.</t>
        </is>
      </c>
      <c r="D1383" s="9" t="n">
        <v>910</v>
      </c>
      <c r="F1383" s="8" t="n">
        <v>23</v>
      </c>
      <c r="G1383" s="10" t="n">
        <v>700.7</v>
      </c>
      <c r="H1383" s="9" t="n">
        <v>700.7</v>
      </c>
      <c r="I1383" s="10" t="inlineStr">
        <is>
          <t>ออโต้ สมาร์ท</t>
        </is>
      </c>
      <c r="J1383" s="161" t="n">
        <v>22871</v>
      </c>
      <c r="L1383" s="8" t="inlineStr">
        <is>
          <t>ราคาที่ลง ยังไม่รวมภาษี</t>
        </is>
      </c>
    </row>
    <row r="1384">
      <c r="B1384" s="6" t="inlineStr">
        <is>
          <t>ตัวเร่ง สีพื้น อิบ๊อกซี่ Epoxy activator (1ลิตร)</t>
        </is>
      </c>
      <c r="C1384" s="8" t="inlineStr">
        <is>
          <t>1กป.</t>
        </is>
      </c>
      <c r="D1384" s="9" t="n">
        <v>910</v>
      </c>
      <c r="F1384" s="8" t="n">
        <v>23</v>
      </c>
      <c r="G1384" s="10" t="n">
        <v>700.7</v>
      </c>
      <c r="H1384" s="9" t="n">
        <v>700.7</v>
      </c>
      <c r="I1384" s="10" t="inlineStr">
        <is>
          <t>ออโต้ สมาร์ท</t>
        </is>
      </c>
      <c r="J1384" s="161" t="n">
        <v>22893</v>
      </c>
      <c r="L1384" s="8" t="inlineStr">
        <is>
          <t>ราคาที่ลง ยังไม่รวมภาษี</t>
        </is>
      </c>
    </row>
    <row r="1385">
      <c r="B1385" s="6" t="inlineStr">
        <is>
          <t>ตัวเร่ง สีพื้น อิบ๊อกซี่ Epoxy activator (1ลิตร)</t>
        </is>
      </c>
      <c r="C1385" s="8" t="inlineStr">
        <is>
          <t>1กป.</t>
        </is>
      </c>
      <c r="D1385" s="9" t="n">
        <v>910</v>
      </c>
      <c r="F1385" s="8" t="n">
        <v>23</v>
      </c>
      <c r="G1385" s="10" t="n">
        <v>700.7</v>
      </c>
      <c r="H1385" s="9" t="n">
        <v>700.7</v>
      </c>
      <c r="I1385" s="10" t="inlineStr">
        <is>
          <t>ออโต้ สมาร์ท</t>
        </is>
      </c>
      <c r="J1385" s="161" t="n">
        <v>22898</v>
      </c>
      <c r="L1385" s="8" t="inlineStr">
        <is>
          <t>ราคาที่ลง ยังไม่รวมภาษี</t>
        </is>
      </c>
    </row>
    <row r="1386">
      <c r="B1386" s="6" t="inlineStr">
        <is>
          <t>ตัวเร่ง สีพื้น อิบ๊อกซี่ Epoxy activator (1ลิตร)</t>
        </is>
      </c>
      <c r="C1386" s="8" t="inlineStr">
        <is>
          <t>1กป.</t>
        </is>
      </c>
      <c r="D1386" s="9" t="n">
        <v>910</v>
      </c>
      <c r="F1386" s="8" t="n">
        <v>23</v>
      </c>
      <c r="G1386" s="10" t="n">
        <v>700.7</v>
      </c>
      <c r="H1386" s="9" t="n">
        <v>700.7</v>
      </c>
      <c r="I1386" s="10" t="inlineStr">
        <is>
          <t>ออโต้ สมาร์ท</t>
        </is>
      </c>
      <c r="J1386" s="161" t="n">
        <v>23064</v>
      </c>
      <c r="L1386" s="8" t="inlineStr">
        <is>
          <t>ราคาที่ลง ยังไม่รวมภาษี</t>
        </is>
      </c>
    </row>
    <row r="1387">
      <c r="B1387" s="6" t="inlineStr">
        <is>
          <t>ตัวเร่ง สีพื้น อิบ๊อกซี่ Epoxy activator (1ลิตร)</t>
        </is>
      </c>
      <c r="C1387" s="8" t="inlineStr">
        <is>
          <t>1กป.</t>
        </is>
      </c>
      <c r="D1387" s="9" t="n">
        <v>910</v>
      </c>
      <c r="F1387" s="8" t="n">
        <v>23</v>
      </c>
      <c r="G1387" s="10" t="n">
        <v>700.7</v>
      </c>
      <c r="H1387" s="9" t="n">
        <v>700.7</v>
      </c>
      <c r="I1387" s="10" t="inlineStr">
        <is>
          <t>ออโต้ สมาร์ท</t>
        </is>
      </c>
      <c r="J1387" s="161" t="n">
        <v>23110</v>
      </c>
      <c r="L1387" s="8" t="inlineStr">
        <is>
          <t>ราคาที่ลง ยังไม่รวมภาษี</t>
        </is>
      </c>
    </row>
    <row r="1388">
      <c r="B1388" s="6" t="inlineStr">
        <is>
          <t>ตัวเร่ง สีพื้น อิบ๊อกซี่ Epoxy activator (1ลิตร)</t>
        </is>
      </c>
      <c r="C1388" s="8" t="inlineStr">
        <is>
          <t>1กป.</t>
        </is>
      </c>
      <c r="D1388" s="9" t="n">
        <v>910</v>
      </c>
      <c r="F1388" s="8" t="n">
        <v>23</v>
      </c>
      <c r="G1388" s="10" t="n">
        <v>700.7</v>
      </c>
      <c r="H1388" s="9" t="n">
        <v>700.7</v>
      </c>
      <c r="I1388" s="10" t="inlineStr">
        <is>
          <t>ออโต้ สมาร์ท</t>
        </is>
      </c>
      <c r="J1388" s="161" t="n">
        <v>23157</v>
      </c>
      <c r="L1388" s="8" t="inlineStr">
        <is>
          <t>ราคาที่ลง ยังไม่รวมภาษี</t>
        </is>
      </c>
    </row>
    <row r="1389">
      <c r="B1389" s="6" t="inlineStr">
        <is>
          <t>ตัวเร่ง สีพื้น อิบ๊อกซี่ Epoxy activator (1ลิตร)</t>
        </is>
      </c>
      <c r="C1389" s="8" t="inlineStr">
        <is>
          <t>1กป.</t>
        </is>
      </c>
      <c r="D1389" s="9" t="n">
        <v>910</v>
      </c>
      <c r="F1389" s="8" t="n">
        <v>23</v>
      </c>
      <c r="G1389" s="10" t="n">
        <v>700.7</v>
      </c>
      <c r="H1389" s="9" t="n">
        <v>700.7</v>
      </c>
      <c r="I1389" s="10" t="inlineStr">
        <is>
          <t>ออโต้ สมาร์ท</t>
        </is>
      </c>
      <c r="J1389" s="161" t="n">
        <v>23212</v>
      </c>
      <c r="L1389" s="8" t="inlineStr">
        <is>
          <t>ราคาที่ลง ยังไม่รวมภาษี</t>
        </is>
      </c>
    </row>
    <row r="1390">
      <c r="B1390" s="6" t="inlineStr">
        <is>
          <t>ตัวเร่ง สีพื้น อิบ๊อกซี่ Epoxy activator (1ลิตร)</t>
        </is>
      </c>
      <c r="C1390" s="8" t="inlineStr">
        <is>
          <t>1กป.</t>
        </is>
      </c>
      <c r="D1390" s="9" t="n">
        <v>910</v>
      </c>
      <c r="F1390" s="8" t="n">
        <v>23</v>
      </c>
      <c r="G1390" s="10" t="n">
        <v>700.7</v>
      </c>
      <c r="H1390" s="9" t="n">
        <v>700.7</v>
      </c>
      <c r="I1390" s="10" t="inlineStr">
        <is>
          <t>ออโต้ สมาร์ท</t>
        </is>
      </c>
      <c r="J1390" s="161" t="n">
        <v>23269</v>
      </c>
      <c r="L1390" s="8" t="inlineStr">
        <is>
          <t>ราคาที่ลง ยังไม่รวมภาษี</t>
        </is>
      </c>
    </row>
    <row r="1391">
      <c r="B1391" s="6" t="inlineStr">
        <is>
          <t>ตัวเร่ง สีพื้น อิบ๊อกซี่ Epoxy activator (1ลิตร)</t>
        </is>
      </c>
      <c r="C1391" s="8" t="inlineStr">
        <is>
          <t>1กป.</t>
        </is>
      </c>
      <c r="D1391" s="9" t="n">
        <v>910</v>
      </c>
      <c r="F1391" s="8" t="n">
        <v>23</v>
      </c>
      <c r="G1391" s="10" t="n">
        <v>700.7</v>
      </c>
      <c r="H1391" s="9" t="n">
        <v>700.7</v>
      </c>
      <c r="I1391" s="10" t="inlineStr">
        <is>
          <t>ออโต้ สมาร์ท</t>
        </is>
      </c>
      <c r="J1391" s="161" t="n">
        <v>23308</v>
      </c>
      <c r="L1391" s="8" t="inlineStr">
        <is>
          <t>ราคาที่ลง ยังไม่รวมภาษี</t>
        </is>
      </c>
    </row>
    <row r="1392">
      <c r="B1392" s="6" t="inlineStr">
        <is>
          <t>ตัวเร่ง สีพื้น อิบ๊อกซี่ Epoxy activator (1ลิตร)</t>
        </is>
      </c>
      <c r="C1392" s="8" t="inlineStr">
        <is>
          <t>1กป.</t>
        </is>
      </c>
      <c r="D1392" s="9" t="n">
        <v>910</v>
      </c>
      <c r="F1392" s="8" t="n">
        <v>23</v>
      </c>
      <c r="G1392" s="10" t="n">
        <v>700.7</v>
      </c>
      <c r="H1392" s="9" t="n">
        <v>700.7</v>
      </c>
      <c r="I1392" s="10" t="inlineStr">
        <is>
          <t>ออโต้ สมาร์ท</t>
        </is>
      </c>
      <c r="J1392" s="161" t="n">
        <v>23349</v>
      </c>
      <c r="L1392" s="8" t="inlineStr">
        <is>
          <t>ราคาที่ลง ยังไม่รวมภาษี</t>
        </is>
      </c>
    </row>
    <row r="1393">
      <c r="B1393" s="6" t="inlineStr">
        <is>
          <t>ตัวเร่ง สีพื้น อิบ๊อกซี่ Epoxy activator (1ลิตร)</t>
        </is>
      </c>
      <c r="C1393" s="8" t="inlineStr">
        <is>
          <t>1กป.</t>
        </is>
      </c>
      <c r="D1393" s="9" t="n">
        <v>910</v>
      </c>
      <c r="F1393" s="8" t="n">
        <v>23</v>
      </c>
      <c r="G1393" s="10" t="n">
        <v>700.7</v>
      </c>
      <c r="H1393" s="9" t="n">
        <v>700.7</v>
      </c>
      <c r="I1393" s="10" t="inlineStr">
        <is>
          <t>ออโต้ สมาร์ท</t>
        </is>
      </c>
      <c r="J1393" s="161" t="n">
        <v>23399</v>
      </c>
      <c r="L1393" s="8" t="inlineStr">
        <is>
          <t>ราคาที่ลง ยังไม่รวมภาษี</t>
        </is>
      </c>
    </row>
    <row r="1394">
      <c r="B1394" s="6" t="inlineStr">
        <is>
          <t>ตัวเร่ง สีพื้น อิบ๊อกซี่ Epoxy activator (1ลิตร)</t>
        </is>
      </c>
      <c r="C1394" s="8" t="inlineStr">
        <is>
          <t>2กป.</t>
        </is>
      </c>
      <c r="D1394" s="9" t="n">
        <v>910</v>
      </c>
      <c r="F1394" s="8" t="n">
        <v>23</v>
      </c>
      <c r="G1394" s="10" t="n">
        <v>700.7</v>
      </c>
      <c r="H1394" s="9" t="n">
        <v>1401.4</v>
      </c>
      <c r="I1394" s="10" t="inlineStr">
        <is>
          <t>ออโต้ สมาร์ท</t>
        </is>
      </c>
      <c r="J1394" s="161" t="n">
        <v>23462</v>
      </c>
      <c r="L1394" s="8" t="inlineStr">
        <is>
          <t>ราคาที่ลง ยังไม่รวมภาษี</t>
        </is>
      </c>
    </row>
    <row r="1395">
      <c r="B1395" s="6" t="inlineStr">
        <is>
          <t>ตัวเร่ง สีพื้น อิบ๊อกซี่ Epoxy activator 845R (1ลิตร)</t>
        </is>
      </c>
      <c r="C1395" s="8" t="inlineStr">
        <is>
          <t>2กป.</t>
        </is>
      </c>
      <c r="D1395" s="9" t="n">
        <v>910</v>
      </c>
      <c r="F1395" s="8" t="n">
        <v>23</v>
      </c>
      <c r="G1395" s="10" t="n">
        <v>700.7</v>
      </c>
      <c r="H1395" s="9" t="n">
        <v>1401.4</v>
      </c>
      <c r="I1395" s="10" t="inlineStr">
        <is>
          <t>ออโต้ สมาร์ท</t>
        </is>
      </c>
      <c r="J1395" s="161" t="n">
        <v>23753</v>
      </c>
      <c r="K1395" s="8" t="n">
        <v>202201071</v>
      </c>
      <c r="L1395" s="8" t="inlineStr">
        <is>
          <t>ราคาที่ลง ยังไม่รวมภาษี</t>
        </is>
      </c>
    </row>
    <row r="1396">
      <c r="B1396" s="6" t="inlineStr">
        <is>
          <t>ตัวเร่ง สีพื้น อิบ๊อกซี่ Epoxy activator 845R (1ลิตร)</t>
        </is>
      </c>
      <c r="C1396" s="8" t="inlineStr">
        <is>
          <t>1กป.</t>
        </is>
      </c>
      <c r="D1396" s="9" t="n">
        <v>910</v>
      </c>
      <c r="F1396" s="8" t="n">
        <v>23</v>
      </c>
      <c r="G1396" s="10" t="n">
        <v>700.7</v>
      </c>
      <c r="H1396" s="9" t="n">
        <v>700.7</v>
      </c>
      <c r="I1396" s="10" t="inlineStr">
        <is>
          <t>ออโต้ สมาร์ท</t>
        </is>
      </c>
      <c r="J1396" s="161" t="n">
        <v>23811</v>
      </c>
      <c r="K1396" s="8" t="n">
        <v>202203091</v>
      </c>
      <c r="L1396" s="8" t="inlineStr">
        <is>
          <t>ราคาที่ลง ยังไม่รวมภาษี</t>
        </is>
      </c>
    </row>
    <row r="1397">
      <c r="B1397" s="6" t="inlineStr">
        <is>
          <t>ตัวเร่ง สีพื้น อิบ๊อกซี่ Epoxy activator 845R (1ลิตร)</t>
        </is>
      </c>
      <c r="C1397" s="8" t="inlineStr">
        <is>
          <t>1กป.</t>
        </is>
      </c>
      <c r="D1397" s="9" t="n">
        <v>910</v>
      </c>
      <c r="F1397" s="8" t="n">
        <v>23</v>
      </c>
      <c r="G1397" s="10" t="n">
        <v>700.7</v>
      </c>
      <c r="H1397" s="9" t="n">
        <v>700.7</v>
      </c>
      <c r="I1397" s="10" t="inlineStr">
        <is>
          <t>ออโต้ สมาร์ท</t>
        </is>
      </c>
      <c r="J1397" s="161" t="n">
        <v>23868</v>
      </c>
      <c r="K1397" s="8" t="n">
        <v>202005057</v>
      </c>
      <c r="L1397" s="8" t="inlineStr">
        <is>
          <t>ราคาที่ลง ยังไม่รวมภาษี</t>
        </is>
      </c>
    </row>
    <row r="1398">
      <c r="B1398" s="6" t="inlineStr">
        <is>
          <t>ตัวเร่ง สีพื้น อิบ๊อกซี่ Epoxy activator 845R (1ลิตร)</t>
        </is>
      </c>
      <c r="C1398" s="8" t="inlineStr">
        <is>
          <t>1กป.</t>
        </is>
      </c>
      <c r="D1398" s="9" t="n">
        <v>965</v>
      </c>
      <c r="F1398" s="8" t="n">
        <v>23</v>
      </c>
      <c r="G1398" s="10" t="n">
        <v>743.05</v>
      </c>
      <c r="H1398" s="9" t="n">
        <v>743.05</v>
      </c>
      <c r="I1398" s="10" t="inlineStr">
        <is>
          <t>บมจ. วีที คัลเลอร์ โปร</t>
        </is>
      </c>
      <c r="J1398" s="161" t="n">
        <v>23943</v>
      </c>
      <c r="K1398" s="8" t="inlineStr">
        <is>
          <t>IV100-65</t>
        </is>
      </c>
      <c r="L1398" s="8" t="inlineStr">
        <is>
          <t>ราคาที่ลง ยังไม่รวมภาษี</t>
        </is>
      </c>
    </row>
    <row r="1399">
      <c r="B1399" s="6" t="inlineStr">
        <is>
          <t>ตัวเร่ง สีพื้น อิบ๊อกซี่ Epoxy activator 845R (1ลิตร)</t>
        </is>
      </c>
      <c r="C1399" s="8" t="inlineStr">
        <is>
          <t>1กป.</t>
        </is>
      </c>
      <c r="D1399" s="9" t="n">
        <v>965</v>
      </c>
      <c r="F1399" s="8" t="n">
        <v>23</v>
      </c>
      <c r="G1399" s="10" t="n">
        <v>743.05</v>
      </c>
      <c r="H1399" s="9" t="n">
        <v>743.05</v>
      </c>
      <c r="I1399" s="10" t="inlineStr">
        <is>
          <t>บมจ. วีที คัลเลอร์ โปร</t>
        </is>
      </c>
      <c r="J1399" s="161" t="n">
        <v>23980</v>
      </c>
      <c r="K1399" s="8" t="inlineStr">
        <is>
          <t>IV152-65</t>
        </is>
      </c>
      <c r="L1399" s="8" t="inlineStr">
        <is>
          <t>ราคาที่ลง ยังไม่รวมภาษี</t>
        </is>
      </c>
    </row>
    <row r="1400">
      <c r="B1400" s="6" t="inlineStr">
        <is>
          <t>ฮาร์ดเดนเนอร์ EP SC 2:1 (กป.ละ0.5ลิตร)</t>
        </is>
      </c>
      <c r="C1400" s="8" t="inlineStr">
        <is>
          <t>4กป.</t>
        </is>
      </c>
      <c r="D1400" s="9" t="n">
        <v>280</v>
      </c>
      <c r="H1400" s="9" t="n">
        <v>1120</v>
      </c>
      <c r="I1400" s="10" t="inlineStr">
        <is>
          <t>บมจ. วีที คัลเลอร์ โปร</t>
        </is>
      </c>
      <c r="J1400" s="161" t="n">
        <v>24061</v>
      </c>
      <c r="K1400" s="8" t="inlineStr">
        <is>
          <t>IV261-65</t>
        </is>
      </c>
      <c r="L1400" s="8" t="inlineStr">
        <is>
          <t>ราคาที่ลง ยังไม่รวมภาษี</t>
        </is>
      </c>
    </row>
    <row r="1401">
      <c r="B1401" s="6" t="inlineStr">
        <is>
          <t>ฮาร์ดเดนเนอร์ EP Hybrid 2:1 (กป.ละ0.5ลิตร)</t>
        </is>
      </c>
      <c r="C1401" s="8" t="inlineStr">
        <is>
          <t>2กป.</t>
        </is>
      </c>
      <c r="D1401" s="9" t="n">
        <v>280</v>
      </c>
      <c r="H1401" s="9" t="n">
        <v>560</v>
      </c>
      <c r="I1401" s="10" t="inlineStr">
        <is>
          <t>บมจ. วีที คัลเลอร์ โปร</t>
        </is>
      </c>
      <c r="J1401" s="161" t="n">
        <v>24315</v>
      </c>
      <c r="K1401" s="8" t="inlineStr">
        <is>
          <t>IV425-66</t>
        </is>
      </c>
      <c r="L1401" s="8" t="inlineStr">
        <is>
          <t>ราคาที่ลง ยังไม่รวมภาษี</t>
        </is>
      </c>
    </row>
    <row r="1402">
      <c r="B1402" s="6" t="inlineStr">
        <is>
          <t>ฮาร์ดเดนเนอร์ EP Hybrid 2:1 (กป.ละ0.5ลิตร)</t>
        </is>
      </c>
      <c r="C1402" s="8" t="n">
        <v>1</v>
      </c>
      <c r="D1402" s="9" t="n">
        <v>280</v>
      </c>
      <c r="H1402" s="9">
        <f>SUM(D1402*C1402)</f>
        <v/>
      </c>
      <c r="I1402" s="10" t="inlineStr">
        <is>
          <t>บมจ. วีที คัลเลอร์ โปร</t>
        </is>
      </c>
      <c r="J1402" s="161" t="n">
        <v>24401</v>
      </c>
      <c r="K1402" s="8" t="inlineStr">
        <is>
          <t>IV685-66</t>
        </is>
      </c>
      <c r="L1402" s="8" t="inlineStr">
        <is>
          <t>ราคาที่ลง ยังไม่รวมภาษี</t>
        </is>
      </c>
    </row>
    <row r="1403">
      <c r="B1403" s="6" t="inlineStr">
        <is>
          <t>ฮาร์ดเดนเนอร์ EP Hybrid 2:1 (กป.ละ0.5ลิตร)</t>
        </is>
      </c>
      <c r="C1403" s="8" t="n">
        <v>1</v>
      </c>
      <c r="D1403" s="9" t="n">
        <v>280</v>
      </c>
      <c r="H1403" s="9">
        <f>SUM(D1403*C1403)</f>
        <v/>
      </c>
      <c r="I1403" s="10" t="inlineStr">
        <is>
          <t>บมจ. วีที คัลเลอร์ โปร</t>
        </is>
      </c>
      <c r="J1403" s="161" t="n">
        <v>24613</v>
      </c>
      <c r="K1403" s="8" t="inlineStr">
        <is>
          <t>IV6705105</t>
        </is>
      </c>
      <c r="L1403" s="8" t="inlineStr">
        <is>
          <t>ราคาที่ลง ยังไม่รวมภาษี</t>
        </is>
      </c>
    </row>
    <row r="1404">
      <c r="B1404" s="6" t="inlineStr">
        <is>
          <t>ฮาร์ดเดนเนอร์ EP Hybrid 2:1 (กป.ละ0.5ลิตร)</t>
        </is>
      </c>
      <c r="C1404" s="8" t="n">
        <v>2</v>
      </c>
      <c r="D1404" s="9" t="n">
        <v>280</v>
      </c>
      <c r="H1404" s="9">
        <f>SUM(D1404*C1404)</f>
        <v/>
      </c>
      <c r="I1404" s="10" t="inlineStr">
        <is>
          <t>บมจ. วีที คัลเลอร์ โปร</t>
        </is>
      </c>
      <c r="J1404" s="161" t="n">
        <v>24711</v>
      </c>
      <c r="K1404" s="8" t="inlineStr">
        <is>
          <t>IV6708125</t>
        </is>
      </c>
      <c r="L1404" s="8" t="inlineStr">
        <is>
          <t>ราคาที่ลง ยังไม่รวมภาษี</t>
        </is>
      </c>
    </row>
    <row r="1405">
      <c r="B1405" s="6" t="inlineStr">
        <is>
          <t>ฮาร์ดเดนเนอร์ EP Hybrid 2:1 (กป.ละ0.5ลิตร)</t>
        </is>
      </c>
      <c r="C1405" s="8" t="n">
        <v>1</v>
      </c>
      <c r="D1405" s="9" t="n">
        <v>280</v>
      </c>
      <c r="H1405" s="9">
        <f>SUM(D1405*C1405)</f>
        <v/>
      </c>
      <c r="I1405" s="10" t="inlineStr">
        <is>
          <t>บมจ. วีที คัลเลอร์ โปร</t>
        </is>
      </c>
      <c r="J1405" s="161" t="n">
        <v>24746</v>
      </c>
      <c r="K1405" s="8" t="inlineStr">
        <is>
          <t>IV6710011</t>
        </is>
      </c>
      <c r="L1405" s="8" t="inlineStr">
        <is>
          <t>ราคาที่ลง ยังไม่รวมภาษี</t>
        </is>
      </c>
    </row>
    <row r="1406">
      <c r="B1406" s="6" t="inlineStr">
        <is>
          <t>ฮาร์ดเดนเนอร์ EP Hybrid 2:1 (กป.ละ0.5ลิตร)</t>
        </is>
      </c>
      <c r="C1406" s="8" t="n">
        <v>1</v>
      </c>
      <c r="D1406" s="9" t="n">
        <v>280</v>
      </c>
      <c r="H1406" s="9">
        <f>SUM(D1406*C1406)</f>
        <v/>
      </c>
      <c r="I1406" s="10" t="inlineStr">
        <is>
          <t>บมจ. วีที คัลเลอร์ โปร</t>
        </is>
      </c>
      <c r="J1406" s="161" t="n">
        <v>24795</v>
      </c>
      <c r="K1406" s="8" t="inlineStr">
        <is>
          <t>IV6711104</t>
        </is>
      </c>
      <c r="L1406" s="8" t="inlineStr">
        <is>
          <t>ราคาที่ลง ยังไม่รวมภาษี</t>
        </is>
      </c>
    </row>
    <row r="1408">
      <c r="B1408" s="6" t="inlineStr">
        <is>
          <t>ฮาร์ดเดนเนอร์ CROMAX 845R</t>
        </is>
      </c>
      <c r="C1408" s="8" t="inlineStr">
        <is>
          <t>1กป.</t>
        </is>
      </c>
      <c r="D1408" s="9" t="n">
        <v>743.05</v>
      </c>
      <c r="H1408" s="9" t="n">
        <v>743.05</v>
      </c>
      <c r="I1408" s="10" t="inlineStr">
        <is>
          <t>บมจ. วีที คัลเลอร์ โปร</t>
        </is>
      </c>
      <c r="J1408" s="161" t="n">
        <v>24096</v>
      </c>
      <c r="K1408" s="8" t="inlineStr">
        <is>
          <t>IV322-65</t>
        </is>
      </c>
      <c r="L1408" s="8" t="inlineStr">
        <is>
          <t>ราคาที่ลง ยังไม่รวมภาษี</t>
        </is>
      </c>
    </row>
    <row r="1410">
      <c r="A1410" s="66" t="inlineStr">
        <is>
          <t>น้ำยาเกาะพลาสติก</t>
        </is>
      </c>
      <c r="B1410" s="6" t="inlineStr">
        <is>
          <t>Plastic primer 1K matrix (น้ำยาเกาะพลาสติก)</t>
        </is>
      </c>
      <c r="C1410" s="8" t="inlineStr">
        <is>
          <t>12กป.</t>
        </is>
      </c>
      <c r="D1410" s="9" t="n">
        <v>480</v>
      </c>
      <c r="H1410" s="9" t="n">
        <v>5760</v>
      </c>
      <c r="I1410" s="10" t="inlineStr">
        <is>
          <t>ทรัพย์สินไทย</t>
        </is>
      </c>
      <c r="J1410" s="161" t="n">
        <v>22781</v>
      </c>
      <c r="L1410" s="8" t="inlineStr">
        <is>
          <t>ราคาที่ลง ยังไม่รวมภาษี</t>
        </is>
      </c>
    </row>
    <row r="1411">
      <c r="A1411" s="70" t="n"/>
      <c r="B1411" s="6" t="inlineStr">
        <is>
          <t>Plastic primer 1K matrix (น้ำยาเกาะพลาสติก)</t>
        </is>
      </c>
      <c r="C1411" s="8" t="inlineStr">
        <is>
          <t>12กป.</t>
        </is>
      </c>
      <c r="D1411" s="9" t="n">
        <v>480</v>
      </c>
      <c r="H1411" s="9" t="n">
        <v>5760</v>
      </c>
      <c r="I1411" s="10" t="inlineStr">
        <is>
          <t>ทรัพย์สินไทย</t>
        </is>
      </c>
      <c r="J1411" s="161" t="n">
        <v>22790</v>
      </c>
      <c r="L1411" s="8" t="inlineStr">
        <is>
          <t>ราคาที่ลง ยังไม่รวมภาษี</t>
        </is>
      </c>
    </row>
    <row r="1412">
      <c r="A1412" s="70" t="n"/>
      <c r="B1412" s="6" t="inlineStr">
        <is>
          <t>Plastic primer 1K matrix (น้ำยาเกาะพลาสติก)</t>
        </is>
      </c>
      <c r="C1412" s="8" t="inlineStr">
        <is>
          <t>12กป.</t>
        </is>
      </c>
      <c r="D1412" s="9" t="n">
        <v>480</v>
      </c>
      <c r="H1412" s="9" t="n">
        <v>5760</v>
      </c>
      <c r="I1412" s="10" t="inlineStr">
        <is>
          <t>ทรัพย์สินไทย</t>
        </is>
      </c>
      <c r="J1412" s="161" t="n">
        <v>22429</v>
      </c>
      <c r="L1412" s="8" t="inlineStr">
        <is>
          <t>ราคาที่ลง ยังไม่รวมภาษี</t>
        </is>
      </c>
    </row>
    <row r="1413">
      <c r="B1413" s="6" t="inlineStr">
        <is>
          <t>Plastic primer 1K matrix (น้ำยาเกาะพลาสติก)</t>
        </is>
      </c>
      <c r="C1413" s="8" t="inlineStr">
        <is>
          <t>12 กป.</t>
        </is>
      </c>
      <c r="D1413" s="9" t="n">
        <v>480</v>
      </c>
      <c r="H1413" s="9" t="n">
        <v>5760</v>
      </c>
      <c r="I1413" s="10" t="inlineStr">
        <is>
          <t>ทรัพย์สินไทย</t>
        </is>
      </c>
      <c r="J1413" s="161" t="n">
        <v>22821</v>
      </c>
      <c r="L1413" s="8" t="inlineStr">
        <is>
          <t>ราคาที่ลง ยังไม่รวมภาษี</t>
        </is>
      </c>
    </row>
    <row r="1414">
      <c r="B1414" s="6" t="inlineStr">
        <is>
          <t>Plastic primer 1K matrix (น้ำยาเกาะพลาสติก)</t>
        </is>
      </c>
      <c r="C1414" s="8" t="inlineStr">
        <is>
          <t>12 กป.</t>
        </is>
      </c>
      <c r="D1414" s="9" t="n">
        <v>480</v>
      </c>
      <c r="H1414" s="9" t="n">
        <v>5760</v>
      </c>
      <c r="I1414" s="10" t="inlineStr">
        <is>
          <t>ทรัพย์สินไทย</t>
        </is>
      </c>
      <c r="J1414" s="161" t="n">
        <v>22851</v>
      </c>
      <c r="L1414" s="8" t="inlineStr">
        <is>
          <t>ราคาที่ลง ยังไม่รวมภาษี</t>
        </is>
      </c>
    </row>
    <row r="1415">
      <c r="B1415" s="6" t="inlineStr">
        <is>
          <t>Plastic primer 1K matrix (น้ำยาเกาะพลาสติก)</t>
        </is>
      </c>
      <c r="C1415" s="8" t="inlineStr">
        <is>
          <t>24กป.</t>
        </is>
      </c>
      <c r="D1415" s="9" t="n">
        <v>480</v>
      </c>
      <c r="H1415" s="9" t="n">
        <v>11520</v>
      </c>
      <c r="I1415" s="10" t="inlineStr">
        <is>
          <t>ทรัพย์สินไทย</t>
        </is>
      </c>
      <c r="J1415" s="161" t="n">
        <v>22884</v>
      </c>
      <c r="L1415" s="8" t="inlineStr">
        <is>
          <t>ราคาที่ลง ยังไม่รวมภาษี</t>
        </is>
      </c>
    </row>
    <row r="1416">
      <c r="B1416" s="6" t="inlineStr">
        <is>
          <t>Plastic primer 1K matrix (น้ำยาเกาะพลาสติก)</t>
        </is>
      </c>
      <c r="C1416" s="8" t="inlineStr">
        <is>
          <t>12กป.</t>
        </is>
      </c>
      <c r="D1416" s="9" t="n">
        <v>480</v>
      </c>
      <c r="H1416" s="9" t="n">
        <v>5760</v>
      </c>
      <c r="I1416" s="10" t="inlineStr">
        <is>
          <t>ทรัพย์สินไทย</t>
        </is>
      </c>
      <c r="J1416" s="161" t="n">
        <v>22913</v>
      </c>
      <c r="L1416" s="8" t="inlineStr">
        <is>
          <t>ราคาที่ลง ยังไม่รวมภาษี</t>
        </is>
      </c>
    </row>
    <row r="1417">
      <c r="B1417" s="6" t="inlineStr">
        <is>
          <t>Plastic primer 1K matrix (น้ำยาเกาะพลาสติก)</t>
        </is>
      </c>
      <c r="C1417" s="8" t="inlineStr">
        <is>
          <t>24กป.</t>
        </is>
      </c>
      <c r="D1417" s="9" t="n">
        <v>480</v>
      </c>
      <c r="H1417" s="9" t="n">
        <v>11520</v>
      </c>
      <c r="I1417" s="10" t="inlineStr">
        <is>
          <t>ทรัพย์สินไทย</t>
        </is>
      </c>
      <c r="J1417" s="161" t="n">
        <v>23062</v>
      </c>
      <c r="L1417" s="8" t="inlineStr">
        <is>
          <t>ราคาที่ลง ยังไม่รวมภาษี</t>
        </is>
      </c>
    </row>
    <row r="1418">
      <c r="B1418" s="6" t="inlineStr">
        <is>
          <t>Plastic primer 1K matrix (น้ำยาเกาะพลาสติก)</t>
        </is>
      </c>
      <c r="C1418" s="8" t="inlineStr">
        <is>
          <t>12กป.</t>
        </is>
      </c>
      <c r="D1418" s="9" t="n">
        <v>480</v>
      </c>
      <c r="H1418" s="9" t="n">
        <v>5760</v>
      </c>
      <c r="I1418" s="10" t="inlineStr">
        <is>
          <t>ทรัพย์สินไทย</t>
        </is>
      </c>
      <c r="J1418" s="161" t="n">
        <v>23089</v>
      </c>
      <c r="L1418" s="8" t="inlineStr">
        <is>
          <t>ราคาที่ลง ยังไม่รวมภาษี</t>
        </is>
      </c>
    </row>
    <row r="1419">
      <c r="B1419" s="6" t="inlineStr">
        <is>
          <t>Plastic primer 1K matrix (น้ำยาเกาะพลาสติก)</t>
        </is>
      </c>
      <c r="C1419" s="8" t="inlineStr">
        <is>
          <t>12กป.</t>
        </is>
      </c>
      <c r="D1419" s="9" t="n">
        <v>480</v>
      </c>
      <c r="H1419" s="9" t="n">
        <v>5760</v>
      </c>
      <c r="I1419" s="10" t="inlineStr">
        <is>
          <t>ทรัพย์สินไทย</t>
        </is>
      </c>
      <c r="J1419" s="161" t="n">
        <v>23094</v>
      </c>
      <c r="L1419" s="8" t="inlineStr">
        <is>
          <t>ราคาที่ลง ยังไม่รวมภาษี</t>
        </is>
      </c>
    </row>
    <row r="1420">
      <c r="B1420" s="6" t="inlineStr">
        <is>
          <t>Plastic primer 1K matrix (น้ำยาเกาะพลาสติก)</t>
        </is>
      </c>
      <c r="C1420" s="8" t="inlineStr">
        <is>
          <t>24กป.</t>
        </is>
      </c>
      <c r="D1420" s="9" t="n">
        <v>480</v>
      </c>
      <c r="H1420" s="9" t="n">
        <v>11520</v>
      </c>
      <c r="I1420" s="10" t="inlineStr">
        <is>
          <t>ทรัพย์สินไทย</t>
        </is>
      </c>
      <c r="J1420" s="161" t="n">
        <v>23124</v>
      </c>
      <c r="L1420" s="8" t="inlineStr">
        <is>
          <t>ราคาที่ลง ยังไม่รวมภาษี</t>
        </is>
      </c>
    </row>
    <row r="1421">
      <c r="B1421" s="6" t="inlineStr">
        <is>
          <t>Plastic primer 1K matrix (น้ำยาเกาะพลาสติก)</t>
        </is>
      </c>
      <c r="C1421" s="8" t="inlineStr">
        <is>
          <t>24กป.</t>
        </is>
      </c>
      <c r="D1421" s="9" t="n">
        <v>480</v>
      </c>
      <c r="H1421" s="9" t="n">
        <v>11520</v>
      </c>
      <c r="I1421" s="10" t="inlineStr">
        <is>
          <t>ทรัพย์สินไทย</t>
        </is>
      </c>
      <c r="J1421" s="161" t="n">
        <v>23187</v>
      </c>
      <c r="L1421" s="8" t="inlineStr">
        <is>
          <t>ราคาที่ลง ยังไม่รวมภาษี</t>
        </is>
      </c>
    </row>
    <row r="1422">
      <c r="B1422" s="6" t="inlineStr">
        <is>
          <t>Plastic primer 1K matrix (น้ำยาเกาะพลาสติก)</t>
        </is>
      </c>
      <c r="C1422" s="8" t="inlineStr">
        <is>
          <t>12กป.</t>
        </is>
      </c>
      <c r="D1422" s="9" t="n">
        <v>480</v>
      </c>
      <c r="H1422" s="9" t="n">
        <v>5760</v>
      </c>
      <c r="I1422" s="10" t="inlineStr">
        <is>
          <t>ทรัพย์สินไทย</t>
        </is>
      </c>
      <c r="J1422" s="161" t="n">
        <v>23216</v>
      </c>
      <c r="L1422" s="8" t="inlineStr">
        <is>
          <t>ราคาที่ลง ยังไม่รวมภาษี</t>
        </is>
      </c>
    </row>
    <row r="1423">
      <c r="B1423" s="6" t="inlineStr">
        <is>
          <t>Plastic primer 1K matrix (น้ำยาเกาะพลาสติก)</t>
        </is>
      </c>
      <c r="C1423" s="8" t="inlineStr">
        <is>
          <t>24กป.</t>
        </is>
      </c>
      <c r="D1423" s="9" t="n">
        <v>480</v>
      </c>
      <c r="H1423" s="9" t="n">
        <v>11520</v>
      </c>
      <c r="I1423" s="10" t="inlineStr">
        <is>
          <t>ทรัพย์สินไทย</t>
        </is>
      </c>
      <c r="J1423" s="161" t="n">
        <v>23247</v>
      </c>
      <c r="L1423" s="8" t="inlineStr">
        <is>
          <t>ราคาที่ลง ยังไม่รวมภาษี</t>
        </is>
      </c>
    </row>
    <row r="1424">
      <c r="B1424" s="6" t="inlineStr">
        <is>
          <t>Plastic primer 1K matrix (น้ำยาเกาะพลาสติก)</t>
        </is>
      </c>
      <c r="C1424" s="8" t="inlineStr">
        <is>
          <t>24กป.</t>
        </is>
      </c>
      <c r="D1424" s="9" t="n">
        <v>480</v>
      </c>
      <c r="H1424" s="9" t="n">
        <v>11520</v>
      </c>
      <c r="I1424" s="10" t="inlineStr">
        <is>
          <t>ทรัพย์สินไทย</t>
        </is>
      </c>
      <c r="J1424" s="161" t="n">
        <v>23337</v>
      </c>
      <c r="L1424" s="8" t="inlineStr">
        <is>
          <t>ราคาที่ลง ยังไม่รวมภาษี</t>
        </is>
      </c>
    </row>
    <row r="1425">
      <c r="B1425" s="6" t="inlineStr">
        <is>
          <t>Plastic primer 1K matrix (น้ำยาเกาะพลาสติก)</t>
        </is>
      </c>
      <c r="C1425" s="8" t="inlineStr">
        <is>
          <t>12กป.</t>
        </is>
      </c>
      <c r="D1425" s="9" t="n">
        <v>480</v>
      </c>
      <c r="H1425" s="9" t="n">
        <v>5760</v>
      </c>
      <c r="I1425" s="10" t="inlineStr">
        <is>
          <t>ทรัพย์สินไทย</t>
        </is>
      </c>
      <c r="J1425" s="161" t="n">
        <v>23340</v>
      </c>
      <c r="L1425" s="8" t="inlineStr">
        <is>
          <t>ราคาที่ลง ยังไม่รวมภาษี</t>
        </is>
      </c>
    </row>
    <row r="1426">
      <c r="B1426" s="6" t="inlineStr">
        <is>
          <t>Plastic primer 1K matrix (น้ำยาเกาะพลาสติก)</t>
        </is>
      </c>
      <c r="C1426" s="8" t="inlineStr">
        <is>
          <t>12กป.</t>
        </is>
      </c>
      <c r="D1426" s="9" t="n">
        <v>480</v>
      </c>
      <c r="H1426" s="9" t="n">
        <v>5760</v>
      </c>
      <c r="I1426" s="10" t="inlineStr">
        <is>
          <t>ทรัพย์สินไทย</t>
        </is>
      </c>
      <c r="J1426" s="161" t="n">
        <v>23366</v>
      </c>
      <c r="L1426" s="8" t="inlineStr">
        <is>
          <t>ราคาที่ลง ยังไม่รวมภาษี</t>
        </is>
      </c>
    </row>
    <row r="1427">
      <c r="B1427" s="6" t="inlineStr">
        <is>
          <t>Plastic primer 1K matrix (น้ำยาเกาะพลาสติก)</t>
        </is>
      </c>
      <c r="C1427" s="8" t="inlineStr">
        <is>
          <t>12กป.</t>
        </is>
      </c>
      <c r="D1427" s="9" t="n">
        <v>480</v>
      </c>
      <c r="H1427" s="9" t="n">
        <v>5760</v>
      </c>
      <c r="I1427" s="10" t="inlineStr">
        <is>
          <t>ทรัพย์สินไทย</t>
        </is>
      </c>
      <c r="J1427" s="161" t="n">
        <v>23398</v>
      </c>
      <c r="L1427" s="8" t="inlineStr">
        <is>
          <t>ราคาที่ลง ยังไม่รวมภาษี</t>
        </is>
      </c>
    </row>
    <row r="1428">
      <c r="B1428" s="6" t="inlineStr">
        <is>
          <t>Plastic primer 1K matrix (น้ำยาเกาะพลาสติก)</t>
        </is>
      </c>
      <c r="C1428" s="8" t="inlineStr">
        <is>
          <t>24กป.</t>
        </is>
      </c>
      <c r="D1428" s="9" t="n">
        <v>480</v>
      </c>
      <c r="H1428" s="9" t="n">
        <v>11520</v>
      </c>
      <c r="I1428" s="10" t="inlineStr">
        <is>
          <t>ทรัพย์สินไทย</t>
        </is>
      </c>
      <c r="J1428" s="161" t="n">
        <v>23430</v>
      </c>
      <c r="L1428" s="8" t="inlineStr">
        <is>
          <t>ราคาที่ลง ยังไม่รวมภาษี</t>
        </is>
      </c>
    </row>
    <row r="1429">
      <c r="B1429" s="6" t="inlineStr">
        <is>
          <t>Plastic primer 1K matrix (น้ำยาเกาะพลาสติก)</t>
        </is>
      </c>
      <c r="C1429" s="8" t="inlineStr">
        <is>
          <t>24กป.</t>
        </is>
      </c>
      <c r="D1429" s="9" t="n">
        <v>480</v>
      </c>
      <c r="H1429" s="9" t="n">
        <v>11520</v>
      </c>
      <c r="I1429" s="10" t="inlineStr">
        <is>
          <t>ทรัพย์สินไทย</t>
        </is>
      </c>
      <c r="J1429" s="161" t="n">
        <v>23460</v>
      </c>
      <c r="L1429" s="8" t="inlineStr">
        <is>
          <t>ราคาที่ลง ยังไม่รวมภาษี</t>
        </is>
      </c>
    </row>
    <row r="1430">
      <c r="B1430" s="6" t="inlineStr">
        <is>
          <t>Plastic primer 1K matrix (น้ำยาเกาะพลาสติก)</t>
        </is>
      </c>
      <c r="C1430" s="8" t="inlineStr">
        <is>
          <t>12กป.</t>
        </is>
      </c>
      <c r="D1430" s="9" t="n">
        <v>480</v>
      </c>
      <c r="H1430" s="9" t="n">
        <v>5760</v>
      </c>
      <c r="I1430" s="10" t="inlineStr">
        <is>
          <t>ทรัพย์สินไทย</t>
        </is>
      </c>
      <c r="J1430" s="161" t="n">
        <v>23546</v>
      </c>
      <c r="L1430" s="8" t="inlineStr">
        <is>
          <t>ราคาที่ลง ยังไม่รวมภาษี</t>
        </is>
      </c>
    </row>
    <row r="1431">
      <c r="B1431" s="6" t="inlineStr">
        <is>
          <t>Plastic primer 1K matrix (น้ำยาเกาะพลาสติก)</t>
        </is>
      </c>
      <c r="C1431" s="8" t="inlineStr">
        <is>
          <t>24กป.</t>
        </is>
      </c>
      <c r="D1431" s="9" t="n">
        <v>480</v>
      </c>
      <c r="H1431" s="9" t="n">
        <v>11520</v>
      </c>
      <c r="I1431" s="10" t="inlineStr">
        <is>
          <t>ทรัพย์สินไทย</t>
        </is>
      </c>
      <c r="J1431" s="161" t="n">
        <v>23584</v>
      </c>
      <c r="L1431" s="8" t="inlineStr">
        <is>
          <t>ราคาที่ลง ยังไม่รวมภาษี</t>
        </is>
      </c>
    </row>
    <row r="1432">
      <c r="B1432" s="6" t="inlineStr">
        <is>
          <t>Plastic primer 1K matrix (น้ำยาเกาะพลาสติก)</t>
        </is>
      </c>
      <c r="C1432" s="8" t="inlineStr">
        <is>
          <t>12กป.</t>
        </is>
      </c>
      <c r="D1432" s="9" t="n">
        <v>480</v>
      </c>
      <c r="H1432" s="9" t="n">
        <v>5760</v>
      </c>
      <c r="I1432" s="10" t="inlineStr">
        <is>
          <t>ทรัพย์สินไทย</t>
        </is>
      </c>
      <c r="J1432" s="161" t="n">
        <v>23613</v>
      </c>
      <c r="L1432" s="8" t="inlineStr">
        <is>
          <t>ราคาที่ลง ยังไม่รวมภาษี</t>
        </is>
      </c>
    </row>
    <row r="1433">
      <c r="B1433" s="6" t="inlineStr">
        <is>
          <t>Plastic primer 1K matrix (น้ำยาเกาะพลาสติก)</t>
        </is>
      </c>
      <c r="C1433" s="8" t="inlineStr">
        <is>
          <t>12กป.</t>
        </is>
      </c>
      <c r="D1433" s="9" t="n">
        <v>480</v>
      </c>
      <c r="H1433" s="9" t="n">
        <v>5760</v>
      </c>
      <c r="I1433" s="10" t="inlineStr">
        <is>
          <t>ทรัพย์สินไทย</t>
        </is>
      </c>
      <c r="J1433" s="161" t="n">
        <v>23642</v>
      </c>
      <c r="K1433" s="8" t="inlineStr">
        <is>
          <t>IV6409286</t>
        </is>
      </c>
      <c r="L1433" s="8" t="inlineStr">
        <is>
          <t>ราคาที่ลง ยังไม่รวมภาษี</t>
        </is>
      </c>
    </row>
    <row r="1434">
      <c r="B1434" s="6" t="inlineStr">
        <is>
          <t>Plastic primer 1K matrix (น้ำยาเกาะพลาสติก)</t>
        </is>
      </c>
      <c r="C1434" s="8" t="inlineStr">
        <is>
          <t>12กป.</t>
        </is>
      </c>
      <c r="D1434" s="9" t="n">
        <v>480</v>
      </c>
      <c r="H1434" s="9" t="n">
        <v>5760</v>
      </c>
      <c r="I1434" s="10" t="inlineStr">
        <is>
          <t>ทรัพย์สินไทย</t>
        </is>
      </c>
      <c r="J1434" s="161" t="n">
        <v>23704</v>
      </c>
      <c r="K1434" s="8" t="inlineStr">
        <is>
          <t>IV6411321</t>
        </is>
      </c>
      <c r="L1434" s="8" t="inlineStr">
        <is>
          <t>ราคาที่ลง ยังไม่รวมภาษี</t>
        </is>
      </c>
    </row>
    <row r="1435">
      <c r="B1435" s="6" t="inlineStr">
        <is>
          <t>Plastic primer 1K matrix (น้ำยาเกาะพลาสติก)</t>
        </is>
      </c>
      <c r="C1435" s="8" t="inlineStr">
        <is>
          <t>12กป.</t>
        </is>
      </c>
      <c r="D1435" s="9" t="n">
        <v>480</v>
      </c>
      <c r="H1435" s="9" t="n">
        <v>5760</v>
      </c>
      <c r="I1435" s="10" t="inlineStr">
        <is>
          <t>ทรัพย์สินไทย</t>
        </is>
      </c>
      <c r="J1435" s="161" t="n">
        <v>23733</v>
      </c>
      <c r="K1435" s="8" t="inlineStr">
        <is>
          <t>IV6412301</t>
        </is>
      </c>
      <c r="L1435" s="8" t="inlineStr">
        <is>
          <t>ราคาที่ลง ยังไม่รวมภาษี</t>
        </is>
      </c>
    </row>
    <row r="1436">
      <c r="B1436" s="6" t="inlineStr">
        <is>
          <t>Plastic primer 1K matrix (น้ำยาเกาะพลาสติก)</t>
        </is>
      </c>
      <c r="C1436" s="8" t="inlineStr">
        <is>
          <t>12กป.</t>
        </is>
      </c>
      <c r="D1436" s="9" t="n">
        <v>480</v>
      </c>
      <c r="H1436" s="9" t="n">
        <v>5760</v>
      </c>
      <c r="I1436" s="10" t="inlineStr">
        <is>
          <t>ทรัพย์สินไทย</t>
        </is>
      </c>
      <c r="J1436" s="161" t="n">
        <v>23763</v>
      </c>
      <c r="K1436" s="8" t="inlineStr">
        <is>
          <t>IV6501226</t>
        </is>
      </c>
      <c r="L1436" s="8" t="inlineStr">
        <is>
          <t>ราคาที่ลง ยังไม่รวมภาษี</t>
        </is>
      </c>
    </row>
    <row r="1437">
      <c r="B1437" s="6" t="inlineStr">
        <is>
          <t>Plastic primer 1K matrix (น้ำยาเกาะพลาสติก)</t>
        </is>
      </c>
      <c r="C1437" s="8" t="inlineStr">
        <is>
          <t>12กป.</t>
        </is>
      </c>
      <c r="D1437" s="9" t="n">
        <v>480</v>
      </c>
      <c r="H1437" s="9" t="n">
        <v>5760</v>
      </c>
      <c r="I1437" s="10" t="inlineStr">
        <is>
          <t>ทรัพย์สินไทย</t>
        </is>
      </c>
      <c r="J1437" s="161" t="n">
        <v>23795</v>
      </c>
      <c r="K1437" s="8" t="inlineStr">
        <is>
          <t>IV6502260</t>
        </is>
      </c>
      <c r="L1437" s="8" t="inlineStr">
        <is>
          <t>ราคาที่ลง ยังไม่รวมภาษี</t>
        </is>
      </c>
    </row>
    <row r="1438">
      <c r="B1438" s="6" t="inlineStr">
        <is>
          <t>Plastic primer 1K matrix (น้ำยาเกาะพลาสติก)</t>
        </is>
      </c>
      <c r="C1438" s="8" t="inlineStr">
        <is>
          <t>12กป.</t>
        </is>
      </c>
      <c r="D1438" s="9" t="n">
        <v>480</v>
      </c>
      <c r="H1438" s="9" t="n">
        <v>5760</v>
      </c>
      <c r="I1438" s="10" t="inlineStr">
        <is>
          <t>ทรัพย์สินไทย</t>
        </is>
      </c>
      <c r="J1438" s="161" t="n">
        <v>23824</v>
      </c>
      <c r="K1438" s="8" t="inlineStr">
        <is>
          <t>IV6503299</t>
        </is>
      </c>
      <c r="L1438" s="8" t="inlineStr">
        <is>
          <t>ราคาที่ลง ยังไม่รวมภาษี</t>
        </is>
      </c>
    </row>
    <row r="1439">
      <c r="B1439" s="6" t="inlineStr">
        <is>
          <t>Plastic primer 1K matrix (น้ำยาเกาะพลาสติก)</t>
        </is>
      </c>
      <c r="C1439" s="8" t="inlineStr">
        <is>
          <t>12กป.</t>
        </is>
      </c>
      <c r="D1439" s="9" t="n">
        <v>480</v>
      </c>
      <c r="H1439" s="9" t="n">
        <v>5760</v>
      </c>
      <c r="I1439" s="10" t="inlineStr">
        <is>
          <t>ทรัพย์สินไทย</t>
        </is>
      </c>
      <c r="J1439" s="161" t="n">
        <v>23859</v>
      </c>
      <c r="K1439" s="8" t="inlineStr">
        <is>
          <t>IV6504237</t>
        </is>
      </c>
      <c r="L1439" s="8" t="inlineStr">
        <is>
          <t>ราคาที่ลง ยังไม่รวมภาษี</t>
        </is>
      </c>
    </row>
    <row r="1440">
      <c r="B1440" s="6" t="inlineStr">
        <is>
          <t>Plastic primer 1K matrix (น้ำยาเกาะพลาสติก)</t>
        </is>
      </c>
      <c r="C1440" s="8" t="inlineStr">
        <is>
          <t>12กป.</t>
        </is>
      </c>
      <c r="D1440" s="9" t="n">
        <v>480</v>
      </c>
      <c r="H1440" s="9" t="n">
        <v>5760</v>
      </c>
      <c r="I1440" s="10" t="inlineStr">
        <is>
          <t>ทรัพย์สินไทย</t>
        </is>
      </c>
      <c r="J1440" s="161" t="n">
        <v>23887</v>
      </c>
      <c r="K1440" s="8" t="inlineStr">
        <is>
          <t>IV6505292</t>
        </is>
      </c>
      <c r="L1440" s="8" t="inlineStr">
        <is>
          <t>ราคาที่ลง ยังไม่รวมภาษี</t>
        </is>
      </c>
    </row>
    <row r="1441">
      <c r="B1441" s="6" t="inlineStr">
        <is>
          <t>Plastic primer 1K matrix (น้ำยาเกาะพลาสติก)</t>
        </is>
      </c>
      <c r="C1441" s="8" t="inlineStr">
        <is>
          <t>12กป.</t>
        </is>
      </c>
      <c r="D1441" s="9" t="n">
        <v>480</v>
      </c>
      <c r="H1441" s="9" t="n">
        <v>5760</v>
      </c>
      <c r="I1441" s="10" t="inlineStr">
        <is>
          <t>ทรัพย์สินไทย</t>
        </is>
      </c>
      <c r="J1441" s="161" t="n">
        <v>23914</v>
      </c>
      <c r="K1441" s="8" t="inlineStr">
        <is>
          <t>IV6506258</t>
        </is>
      </c>
      <c r="L1441" s="8" t="inlineStr">
        <is>
          <t>ราคาที่ลง ยังไม่รวมภาษี</t>
        </is>
      </c>
    </row>
    <row r="1442">
      <c r="B1442" s="6" t="inlineStr">
        <is>
          <t>Plastic primer 1K matrix (น้ำยาเกาะพลาสติก)</t>
        </is>
      </c>
      <c r="C1442" s="8" t="inlineStr">
        <is>
          <t>12กป.</t>
        </is>
      </c>
      <c r="D1442" s="9" t="n">
        <v>480</v>
      </c>
      <c r="H1442" s="9" t="n">
        <v>5760</v>
      </c>
      <c r="I1442" s="10" t="inlineStr">
        <is>
          <t>ทรัพย์สินไทย</t>
        </is>
      </c>
      <c r="J1442" s="161" t="n">
        <v>23920</v>
      </c>
      <c r="K1442" s="8" t="inlineStr">
        <is>
          <t>IV6506338</t>
        </is>
      </c>
      <c r="L1442" s="8" t="inlineStr">
        <is>
          <t>ราคาที่ลง ยังไม่รวมภาษี</t>
        </is>
      </c>
    </row>
    <row r="1444">
      <c r="A1444" s="67" t="inlineStr">
        <is>
          <t>1ลัง = 12 กป.</t>
        </is>
      </c>
      <c r="B1444" s="6" t="inlineStr">
        <is>
          <t>น้ำยาเกาะพลาสติก SPACE AX-9004</t>
        </is>
      </c>
      <c r="C1444" s="8" t="inlineStr">
        <is>
          <t>12กป.</t>
        </is>
      </c>
      <c r="D1444" s="9" t="n">
        <v>370</v>
      </c>
      <c r="H1444" s="9" t="n">
        <v>4440</v>
      </c>
      <c r="I1444" s="10" t="inlineStr">
        <is>
          <t>บจก. วีที คัลเลอร์ โปร</t>
        </is>
      </c>
      <c r="J1444" s="161" t="n">
        <v>23943</v>
      </c>
      <c r="K1444" s="8" t="inlineStr">
        <is>
          <t>IV099-65</t>
        </is>
      </c>
      <c r="L1444" s="8" t="inlineStr">
        <is>
          <t>ราคาที่ลง ยังไม่รวมภาษี</t>
        </is>
      </c>
    </row>
    <row r="1445">
      <c r="B1445" s="6" t="inlineStr">
        <is>
          <t>น้ำยาเกาะพลาสติก SPACE AX-9004</t>
        </is>
      </c>
      <c r="C1445" s="8" t="inlineStr">
        <is>
          <t>12กป.</t>
        </is>
      </c>
      <c r="D1445" s="9" t="n">
        <v>370</v>
      </c>
      <c r="H1445" s="9" t="n">
        <v>4440</v>
      </c>
      <c r="I1445" s="10" t="inlineStr">
        <is>
          <t>บจก. วีที คัลเลอร์ โปร</t>
        </is>
      </c>
      <c r="J1445" s="161" t="n">
        <v>23956</v>
      </c>
      <c r="K1445" s="8" t="inlineStr">
        <is>
          <t>IV116-65</t>
        </is>
      </c>
      <c r="L1445" s="8" t="inlineStr">
        <is>
          <t>ราคาที่ลง ยังไม่รวมภาษี</t>
        </is>
      </c>
    </row>
    <row r="1446">
      <c r="B1446" s="6" t="inlineStr">
        <is>
          <t>น้ำยาเกาะพลาสติก SPACE AX-9004</t>
        </is>
      </c>
      <c r="C1446" s="8" t="inlineStr">
        <is>
          <t>12กป.</t>
        </is>
      </c>
      <c r="D1446" s="9" t="n">
        <v>370</v>
      </c>
      <c r="H1446" s="9" t="n">
        <v>4440</v>
      </c>
      <c r="I1446" s="10" t="inlineStr">
        <is>
          <t>บจก. วีที คัลเลอร์ โปร</t>
        </is>
      </c>
      <c r="J1446" s="161" t="n">
        <v>23978</v>
      </c>
      <c r="K1446" s="8" t="inlineStr">
        <is>
          <t>IV147-65</t>
        </is>
      </c>
      <c r="L1446" s="8" t="inlineStr">
        <is>
          <t>ราคาที่ลง ยังไม่รวมภาษี</t>
        </is>
      </c>
    </row>
    <row r="1447">
      <c r="B1447" s="6" t="inlineStr">
        <is>
          <t>น้ำยาเกาะพลาสติก SPACE AX-9004</t>
        </is>
      </c>
      <c r="C1447" s="8" t="inlineStr">
        <is>
          <t>12กป.</t>
        </is>
      </c>
      <c r="D1447" s="9" t="n">
        <v>370</v>
      </c>
      <c r="H1447" s="9" t="n">
        <v>4440</v>
      </c>
      <c r="I1447" s="10" t="inlineStr">
        <is>
          <t>บจก. วีที คัลเลอร์ โปร</t>
        </is>
      </c>
      <c r="J1447" s="161" t="n">
        <v>23992</v>
      </c>
      <c r="K1447" s="8" t="inlineStr">
        <is>
          <t>IV167-65</t>
        </is>
      </c>
      <c r="L1447" s="8" t="inlineStr">
        <is>
          <t>ราคาที่ลง ยังไม่รวมภาษี</t>
        </is>
      </c>
    </row>
    <row r="1448">
      <c r="B1448" s="6" t="inlineStr">
        <is>
          <t>น้ำยาเกาะพลาสติก SPACE AX-9004</t>
        </is>
      </c>
      <c r="C1448" s="8" t="inlineStr">
        <is>
          <t>12กป.</t>
        </is>
      </c>
      <c r="D1448" s="9" t="n">
        <v>370</v>
      </c>
      <c r="H1448" s="9" t="n">
        <v>4440</v>
      </c>
      <c r="I1448" s="10" t="inlineStr">
        <is>
          <t>บจก. วีที คัลเลอร์ โปร</t>
        </is>
      </c>
      <c r="J1448" s="161" t="n">
        <v>24005</v>
      </c>
      <c r="K1448" s="8" t="inlineStr">
        <is>
          <t>IV183-65</t>
        </is>
      </c>
      <c r="L1448" s="8" t="inlineStr">
        <is>
          <t>ราคาที่ลง ยังไม่รวมภาษี</t>
        </is>
      </c>
    </row>
    <row r="1449">
      <c r="B1449" s="6" t="inlineStr">
        <is>
          <t>น้ำยาเกาะพลาสติก SPACE AX-9004</t>
        </is>
      </c>
      <c r="C1449" s="8" t="inlineStr">
        <is>
          <t>6กป.</t>
        </is>
      </c>
      <c r="D1449" s="9" t="n">
        <v>370</v>
      </c>
      <c r="H1449" s="9" t="n">
        <v>2220</v>
      </c>
      <c r="I1449" s="10" t="inlineStr">
        <is>
          <t>บจก. วีที คัลเลอร์ โปร</t>
        </is>
      </c>
      <c r="J1449" s="161" t="n">
        <v>24030</v>
      </c>
      <c r="K1449" s="8" t="inlineStr">
        <is>
          <t>IV214-65</t>
        </is>
      </c>
      <c r="L1449" s="8" t="inlineStr">
        <is>
          <t>ราคาที่ลง ยังไม่รวมภาษี</t>
        </is>
      </c>
    </row>
    <row r="1450">
      <c r="B1450" s="6" t="inlineStr">
        <is>
          <t>น้ำยาเกาะพลาสติก SPACE AX-9004</t>
        </is>
      </c>
      <c r="C1450" s="8" t="inlineStr">
        <is>
          <t>12กป.</t>
        </is>
      </c>
      <c r="D1450" s="9" t="n">
        <v>370</v>
      </c>
      <c r="H1450" s="9" t="n">
        <v>4440</v>
      </c>
      <c r="I1450" s="10" t="inlineStr">
        <is>
          <t>บจก. วีที คัลเลอร์ โปร</t>
        </is>
      </c>
      <c r="J1450" s="161" t="n">
        <v>24040</v>
      </c>
      <c r="K1450" s="8" t="inlineStr">
        <is>
          <t>IV227-65</t>
        </is>
      </c>
      <c r="L1450" s="8" t="inlineStr">
        <is>
          <t>ราคาที่ลง ยังไม่รวมภาษี</t>
        </is>
      </c>
    </row>
    <row r="1451">
      <c r="B1451" s="6" t="inlineStr">
        <is>
          <t>น้ำยาเกาะพลาสติก SPACE AX-9004</t>
        </is>
      </c>
      <c r="C1451" s="8" t="inlineStr">
        <is>
          <t>10กป.</t>
        </is>
      </c>
      <c r="D1451" s="9" t="n">
        <v>370</v>
      </c>
      <c r="H1451" s="9" t="n">
        <v>3700</v>
      </c>
      <c r="I1451" s="10" t="inlineStr">
        <is>
          <t>บจก. วีที คัลเลอร์ โปร</t>
        </is>
      </c>
      <c r="J1451" s="161" t="n">
        <v>24057</v>
      </c>
      <c r="K1451" s="8" t="inlineStr">
        <is>
          <t>IV259-65</t>
        </is>
      </c>
      <c r="L1451" s="8" t="inlineStr">
        <is>
          <t>ราคาที่ลง ยังไม่รวมภาษี</t>
        </is>
      </c>
    </row>
    <row r="1452">
      <c r="B1452" s="6" t="inlineStr">
        <is>
          <t>น้ำยาเกาะพลาสติก SPACE AX-9004</t>
        </is>
      </c>
      <c r="C1452" s="8" t="inlineStr">
        <is>
          <t>24กป.</t>
        </is>
      </c>
      <c r="D1452" s="9" t="n">
        <v>370</v>
      </c>
      <c r="H1452" s="9" t="n">
        <v>8880</v>
      </c>
      <c r="I1452" s="10" t="inlineStr">
        <is>
          <t>บจก. วีที คัลเลอร์ โปร</t>
        </is>
      </c>
      <c r="J1452" s="161" t="n">
        <v>24069</v>
      </c>
      <c r="K1452" s="8" t="inlineStr">
        <is>
          <t>IV275-65</t>
        </is>
      </c>
      <c r="L1452" s="8" t="inlineStr">
        <is>
          <t>ราคาที่ลง ยังไม่รวมภาษี</t>
        </is>
      </c>
    </row>
    <row r="1453">
      <c r="B1453" s="6" t="inlineStr">
        <is>
          <t>น้ำยาเกาะพลาสติก SPACE AX-9004</t>
        </is>
      </c>
      <c r="C1453" s="8" t="inlineStr">
        <is>
          <t>12กป.</t>
        </is>
      </c>
      <c r="D1453" s="9" t="n">
        <v>370</v>
      </c>
      <c r="H1453" s="9" t="n">
        <v>4440</v>
      </c>
      <c r="I1453" s="10" t="inlineStr">
        <is>
          <t>บจก. วีที คัลเลอร์ โปร</t>
        </is>
      </c>
      <c r="J1453" s="161" t="n">
        <v>24095</v>
      </c>
      <c r="K1453" s="8" t="inlineStr">
        <is>
          <t>IV318-65</t>
        </is>
      </c>
      <c r="L1453" s="8" t="inlineStr">
        <is>
          <t>ราคาที่ลง ยังไม่รวมภาษี</t>
        </is>
      </c>
    </row>
    <row r="1454">
      <c r="B1454" s="6" t="inlineStr">
        <is>
          <t>น้ำยาเกาะพลาสติก SPACE AX-9004</t>
        </is>
      </c>
      <c r="C1454" s="8" t="inlineStr">
        <is>
          <t>12กป.</t>
        </is>
      </c>
      <c r="D1454" s="9" t="n">
        <v>370</v>
      </c>
      <c r="H1454" s="9" t="n">
        <v>4440</v>
      </c>
      <c r="I1454" s="10" t="inlineStr">
        <is>
          <t>บจก. วีที คัลเลอร์ โปร</t>
        </is>
      </c>
      <c r="J1454" s="161" t="n">
        <v>24127</v>
      </c>
      <c r="K1454" s="8" t="inlineStr">
        <is>
          <t>IV042-66</t>
        </is>
      </c>
      <c r="L1454" s="8" t="inlineStr">
        <is>
          <t>ราคาที่ลง ยังไม่รวมภาษี</t>
        </is>
      </c>
    </row>
    <row r="1455">
      <c r="B1455" s="6" t="inlineStr">
        <is>
          <t>น้ำยาเกาะพลาสติก SPACE AX-9004</t>
        </is>
      </c>
      <c r="C1455" s="8" t="inlineStr">
        <is>
          <t>24กป.</t>
        </is>
      </c>
      <c r="D1455" s="9" t="n">
        <v>370</v>
      </c>
      <c r="H1455" s="9" t="n">
        <v>8880</v>
      </c>
      <c r="I1455" s="10" t="inlineStr">
        <is>
          <t>บจก. วีที คัลเลอร์ โปร</t>
        </is>
      </c>
      <c r="J1455" s="161" t="n">
        <v>24160</v>
      </c>
      <c r="K1455" s="8" t="inlineStr">
        <is>
          <t>IV114-66</t>
        </is>
      </c>
      <c r="L1455" s="8" t="inlineStr">
        <is>
          <t>ราคาที่ลง ยังไม่รวมภาษี</t>
        </is>
      </c>
    </row>
    <row r="1456">
      <c r="B1456" s="6" t="inlineStr">
        <is>
          <t>น้ำยาเกาะพลาสติก SPACE AX-9004</t>
        </is>
      </c>
      <c r="C1456" s="8" t="inlineStr">
        <is>
          <t>12กป.</t>
        </is>
      </c>
      <c r="D1456" s="9" t="n">
        <v>370</v>
      </c>
      <c r="H1456" s="9" t="n">
        <v>4440</v>
      </c>
      <c r="I1456" s="10" t="inlineStr">
        <is>
          <t>บจก. วีที คัลเลอร์ โปร</t>
        </is>
      </c>
      <c r="J1456" s="161" t="n">
        <v>24189</v>
      </c>
      <c r="K1456" s="8" t="inlineStr">
        <is>
          <t>IV177-66</t>
        </is>
      </c>
      <c r="L1456" s="8" t="inlineStr">
        <is>
          <t>ราคาที่ลง ยังไม่รวมภาษี</t>
        </is>
      </c>
    </row>
    <row r="1457">
      <c r="B1457" s="6" t="inlineStr">
        <is>
          <t>น้ำยาเกาะพลาสติก SPACE AX-9004</t>
        </is>
      </c>
      <c r="C1457" s="8" t="inlineStr">
        <is>
          <t>24กป.</t>
        </is>
      </c>
      <c r="D1457" s="9" t="n">
        <v>370</v>
      </c>
      <c r="H1457" s="9" t="n">
        <v>8880</v>
      </c>
      <c r="I1457" s="10" t="inlineStr">
        <is>
          <t>บจก. วีที คัลเลอร์ โปร</t>
        </is>
      </c>
      <c r="J1457" s="161" t="n">
        <v>24221</v>
      </c>
      <c r="K1457" s="8" t="inlineStr">
        <is>
          <t>IV226-66</t>
        </is>
      </c>
      <c r="L1457" s="8" t="inlineStr">
        <is>
          <t>ราคาที่ลง ยังไม่รวมภาษี</t>
        </is>
      </c>
    </row>
    <row r="1458">
      <c r="B1458" s="6" t="inlineStr">
        <is>
          <t>น้ำยาเกาะพลาสติก SPACE AX-9004</t>
        </is>
      </c>
      <c r="C1458" s="8" t="inlineStr">
        <is>
          <t>24กป.</t>
        </is>
      </c>
      <c r="D1458" s="9" t="n">
        <v>370</v>
      </c>
      <c r="H1458" s="9" t="n">
        <v>8880</v>
      </c>
      <c r="I1458" s="10" t="inlineStr">
        <is>
          <t>บจก. วีที คัลเลอร์ โปร</t>
        </is>
      </c>
      <c r="J1458" s="161" t="n">
        <v>24282</v>
      </c>
      <c r="K1458" s="8" t="inlineStr">
        <is>
          <t>IV354-66</t>
        </is>
      </c>
      <c r="L1458" s="8" t="inlineStr">
        <is>
          <t>ราคาที่ลง ยังไม่รวมภาษี</t>
        </is>
      </c>
    </row>
    <row r="1459">
      <c r="B1459" s="6" t="inlineStr">
        <is>
          <t>น้ำยาเกาะพลาสติก SPACE AX-9004</t>
        </is>
      </c>
      <c r="C1459" s="8" t="inlineStr">
        <is>
          <t>12กป.</t>
        </is>
      </c>
      <c r="D1459" s="9" t="n">
        <v>370</v>
      </c>
      <c r="H1459" s="9" t="n">
        <v>4440</v>
      </c>
      <c r="I1459" s="10" t="inlineStr">
        <is>
          <t>บจก. วีที คัลเลอร์ โปร</t>
        </is>
      </c>
      <c r="J1459" s="161" t="n">
        <v>24298</v>
      </c>
      <c r="K1459" s="8" t="inlineStr">
        <is>
          <t>IV387-66</t>
        </is>
      </c>
      <c r="L1459" s="8" t="inlineStr">
        <is>
          <t>ราคาที่ลง ยังไม่รวมภาษี</t>
        </is>
      </c>
    </row>
    <row r="1460">
      <c r="B1460" s="6" t="inlineStr">
        <is>
          <t>น้ำยาเกาะพลาสติก SPACE AX-9004</t>
        </is>
      </c>
      <c r="C1460" s="8" t="inlineStr">
        <is>
          <t>24กป.</t>
        </is>
      </c>
      <c r="D1460" s="9" t="n">
        <v>370</v>
      </c>
      <c r="H1460" s="9" t="n">
        <v>8880</v>
      </c>
      <c r="I1460" s="10" t="inlineStr">
        <is>
          <t>บจก. วีที คัลเลอร์ โปร</t>
        </is>
      </c>
      <c r="J1460" s="161" t="n">
        <v>24315</v>
      </c>
      <c r="K1460" s="8" t="inlineStr">
        <is>
          <t>IV425-66</t>
        </is>
      </c>
      <c r="L1460" s="8" t="inlineStr">
        <is>
          <t>ราคาที่ลง ยังไม่รวมภาษี</t>
        </is>
      </c>
    </row>
    <row r="1461">
      <c r="B1461" s="6" t="inlineStr">
        <is>
          <t>น้ำยาเกาะพลาสติก SPACE AX-9004</t>
        </is>
      </c>
      <c r="C1461" s="8" t="n">
        <v>24</v>
      </c>
      <c r="D1461" s="9" t="n">
        <v>370</v>
      </c>
      <c r="H1461" s="9">
        <f>SUM(D1461*C1461)</f>
        <v/>
      </c>
      <c r="I1461" s="10" t="inlineStr">
        <is>
          <t>บจก. วีที คัลเลอร์ โปร</t>
        </is>
      </c>
      <c r="J1461" s="161" t="n">
        <v>24340</v>
      </c>
      <c r="K1461" s="8" t="inlineStr">
        <is>
          <t>IV470-66</t>
        </is>
      </c>
      <c r="L1461" s="8" t="inlineStr">
        <is>
          <t>ราคาที่ลง ยังไม่รวมภาษี</t>
        </is>
      </c>
    </row>
    <row r="1462">
      <c r="B1462" s="6" t="inlineStr">
        <is>
          <t>น้ำยาเกาะพลาสติก SPACE AX-9004</t>
        </is>
      </c>
      <c r="C1462" s="8" t="n">
        <v>24</v>
      </c>
      <c r="D1462" s="9" t="n">
        <v>370</v>
      </c>
      <c r="H1462" s="9">
        <f>SUM(D1462*C1462)</f>
        <v/>
      </c>
      <c r="I1462" s="10" t="inlineStr">
        <is>
          <t>บจก. วีที คัลเลอร์ โปร</t>
        </is>
      </c>
      <c r="J1462" s="161" t="n">
        <v>24372</v>
      </c>
      <c r="K1462" s="8" t="inlineStr">
        <is>
          <t>IV542-66</t>
        </is>
      </c>
      <c r="L1462" s="8" t="inlineStr">
        <is>
          <t>ราคาที่ลง ยังไม่รวมภาษี</t>
        </is>
      </c>
    </row>
    <row r="1463">
      <c r="B1463" s="6" t="inlineStr">
        <is>
          <t>น้ำยาเกาะพลาสติก SPACE AX-9004</t>
        </is>
      </c>
      <c r="C1463" s="8" t="n">
        <v>12</v>
      </c>
      <c r="D1463" s="9" t="n">
        <v>370</v>
      </c>
      <c r="H1463" s="9">
        <f>SUM(D1463*C1463)</f>
        <v/>
      </c>
      <c r="I1463" s="10" t="inlineStr">
        <is>
          <t>บจก. วีที คัลเลอร์ โปร</t>
        </is>
      </c>
      <c r="J1463" s="161" t="n">
        <v>24401</v>
      </c>
      <c r="K1463" s="8" t="inlineStr">
        <is>
          <t>IV685-66</t>
        </is>
      </c>
      <c r="L1463" s="8" t="inlineStr">
        <is>
          <t>ราคาที่ลง ยังไม่รวมภาษี</t>
        </is>
      </c>
    </row>
    <row r="1464">
      <c r="B1464" s="6" t="inlineStr">
        <is>
          <t>น้ำยาเกาะพลาสติก SPACE AX-9004</t>
        </is>
      </c>
      <c r="C1464" s="8" t="n">
        <v>24</v>
      </c>
      <c r="D1464" s="9" t="n">
        <v>370</v>
      </c>
      <c r="H1464" s="9">
        <f>SUM(D1464*C1464)</f>
        <v/>
      </c>
      <c r="I1464" s="10" t="inlineStr">
        <is>
          <t>บจก. วีที คัลเลอร์ โปร</t>
        </is>
      </c>
      <c r="J1464" s="161" t="n">
        <v>24404</v>
      </c>
      <c r="K1464" s="8" t="inlineStr">
        <is>
          <t>IV620-66</t>
        </is>
      </c>
      <c r="L1464" s="8" t="inlineStr">
        <is>
          <t>ราคาที่ลง ยังไม่รวมภาษี</t>
        </is>
      </c>
    </row>
    <row r="1465">
      <c r="B1465" s="6" t="inlineStr">
        <is>
          <t>น้ำยาเกาะพลาสติก SPACE AX-9004</t>
        </is>
      </c>
      <c r="C1465" s="8" t="n">
        <v>12</v>
      </c>
      <c r="D1465" s="9" t="n">
        <v>370</v>
      </c>
      <c r="H1465" s="9">
        <f>SUM(D1465*C1465)</f>
        <v/>
      </c>
      <c r="I1465" s="10" t="inlineStr">
        <is>
          <t>บจก. วีที คัลเลอร์ โปร</t>
        </is>
      </c>
      <c r="J1465" s="161" t="n">
        <v>24462</v>
      </c>
      <c r="K1465" s="8" t="inlineStr">
        <is>
          <t>IV764-66</t>
        </is>
      </c>
      <c r="L1465" s="8" t="inlineStr">
        <is>
          <t>ราคาที่ลง ยังไม่รวมภาษี</t>
        </is>
      </c>
    </row>
    <row r="1466">
      <c r="B1466" s="6" t="inlineStr">
        <is>
          <t>น้ำยาเกาะพลาสติก SPACE AX-9004</t>
        </is>
      </c>
      <c r="C1466" s="8" t="n">
        <v>12</v>
      </c>
      <c r="D1466" s="9" t="n">
        <v>370</v>
      </c>
      <c r="H1466" s="9">
        <f>SUM(D1466*C1466)</f>
        <v/>
      </c>
      <c r="I1466" s="10" t="inlineStr">
        <is>
          <t>บจก. วีที คัลเลอร์ โปร</t>
        </is>
      </c>
      <c r="J1466" s="161" t="n">
        <v>24496</v>
      </c>
      <c r="K1466" s="8" t="inlineStr">
        <is>
          <t>IV6701080</t>
        </is>
      </c>
      <c r="L1466" s="8" t="inlineStr">
        <is>
          <t>ราคาที่ลง ยังไม่รวมภาษี</t>
        </is>
      </c>
    </row>
    <row r="1467">
      <c r="B1467" s="6" t="inlineStr">
        <is>
          <t>น้ำยาเกาะพลาสติก SPACE AX-9004</t>
        </is>
      </c>
      <c r="C1467" s="8" t="n">
        <v>24</v>
      </c>
      <c r="D1467" s="9" t="n">
        <v>370</v>
      </c>
      <c r="H1467" s="9">
        <f>SUM(D1467*C1467)</f>
        <v/>
      </c>
      <c r="I1467" s="10" t="inlineStr">
        <is>
          <t>บจก. วีที คัลเลอร์ โปร</t>
        </is>
      </c>
      <c r="J1467" s="161" t="n">
        <v>24529</v>
      </c>
      <c r="K1467" s="8" t="inlineStr">
        <is>
          <t>IV6702104</t>
        </is>
      </c>
      <c r="L1467" s="8" t="inlineStr">
        <is>
          <t>ราคาที่ลง ยังไม่รวมภาษี</t>
        </is>
      </c>
    </row>
    <row r="1468">
      <c r="B1468" s="6" t="inlineStr">
        <is>
          <t>น้ำยาเกาะพลาสติก SPACE AX-9004</t>
        </is>
      </c>
      <c r="C1468" s="8" t="n">
        <v>12</v>
      </c>
      <c r="D1468" s="9" t="n">
        <v>370</v>
      </c>
      <c r="H1468" s="9">
        <f>SUM(D1468*C1468)</f>
        <v/>
      </c>
      <c r="I1468" s="10" t="inlineStr">
        <is>
          <t>บจก. วีที คัลเลอร์ โปร</t>
        </is>
      </c>
      <c r="J1468" s="161" t="n">
        <v>24613</v>
      </c>
      <c r="K1468" s="8" t="inlineStr">
        <is>
          <t>IV6705105</t>
        </is>
      </c>
      <c r="L1468" s="8" t="inlineStr">
        <is>
          <t>ราคาที่ลง ยังไม่รวมภาษี</t>
        </is>
      </c>
    </row>
    <row r="1469">
      <c r="B1469" s="6" t="inlineStr">
        <is>
          <t>น้ำยาเกาะพลาสติก SPACE AX-9004</t>
        </is>
      </c>
      <c r="C1469" s="8" t="n">
        <v>24</v>
      </c>
      <c r="D1469" s="9" t="n">
        <v>370</v>
      </c>
      <c r="H1469" s="9">
        <f>SUM(D1469*C1469)</f>
        <v/>
      </c>
      <c r="I1469" s="10" t="inlineStr">
        <is>
          <t>บจก. วีที คัลเลอร์ โปร</t>
        </is>
      </c>
      <c r="J1469" s="161" t="n">
        <v>24550</v>
      </c>
      <c r="K1469" s="8" t="inlineStr">
        <is>
          <t>IV6703087</t>
        </is>
      </c>
      <c r="L1469" s="8" t="inlineStr">
        <is>
          <t>ราคาที่ลง ยังไม่รวมภาษี</t>
        </is>
      </c>
    </row>
    <row r="1470">
      <c r="B1470" s="6" t="inlineStr">
        <is>
          <t>น้ำยาเกาะพลาสติก SPACE AX-9004</t>
        </is>
      </c>
      <c r="C1470" s="8" t="n">
        <v>16</v>
      </c>
      <c r="D1470" s="9" t="n">
        <v>370</v>
      </c>
      <c r="H1470" s="9">
        <f>SUM(D1470*C1470)</f>
        <v/>
      </c>
      <c r="I1470" s="10" t="inlineStr">
        <is>
          <t>บจก. วีที คัลเลอร์ โปร</t>
        </is>
      </c>
      <c r="J1470" s="161" t="n">
        <v>24644</v>
      </c>
      <c r="K1470" s="8" t="inlineStr">
        <is>
          <t>IV6706124</t>
        </is>
      </c>
      <c r="L1470" s="8" t="inlineStr">
        <is>
          <t>ราคาที่ลง ยังไม่รวมภาษี</t>
        </is>
      </c>
    </row>
    <row r="1471">
      <c r="B1471" s="6" t="inlineStr">
        <is>
          <t>น้ำยาเกาะพลาสติก SPACE AX-9004</t>
        </is>
      </c>
      <c r="C1471" s="8" t="n">
        <v>20</v>
      </c>
      <c r="D1471" s="9" t="n">
        <v>370</v>
      </c>
      <c r="H1471" s="9">
        <f>SUM(D1471*C1471)</f>
        <v/>
      </c>
      <c r="I1471" s="10" t="inlineStr">
        <is>
          <t>บจก. วีที คัลเลอร์ โปร</t>
        </is>
      </c>
      <c r="J1471" s="161" t="n">
        <v>24676</v>
      </c>
      <c r="K1471" s="8" t="inlineStr">
        <is>
          <t>IV6707131</t>
        </is>
      </c>
      <c r="L1471" s="8" t="inlineStr">
        <is>
          <t>ราคาที่ลง ยังไม่รวมภาษี</t>
        </is>
      </c>
    </row>
    <row r="1472">
      <c r="B1472" s="6" t="inlineStr">
        <is>
          <t>น้ำยาเกาะพลาสติก SPACE AX-9004</t>
        </is>
      </c>
      <c r="C1472" s="8" t="n">
        <v>12</v>
      </c>
      <c r="D1472" s="9" t="n">
        <v>370</v>
      </c>
      <c r="H1472" s="9">
        <f>SUM(D1472*C1472)</f>
        <v/>
      </c>
      <c r="I1472" s="10" t="inlineStr">
        <is>
          <t>บจก. วีที คัลเลอร์ โปร</t>
        </is>
      </c>
      <c r="J1472" s="161" t="n">
        <v>24707</v>
      </c>
      <c r="K1472" s="8" t="inlineStr">
        <is>
          <t>IV6708117</t>
        </is>
      </c>
      <c r="L1472" s="8" t="inlineStr">
        <is>
          <t>ราคาที่ลง ยังไม่รวมภาษี</t>
        </is>
      </c>
    </row>
    <row r="1473">
      <c r="B1473" s="6" t="inlineStr">
        <is>
          <t>น้ำยาเกาะพลาสติก SPACE AX-9004</t>
        </is>
      </c>
      <c r="C1473" s="8" t="n">
        <v>12</v>
      </c>
      <c r="D1473" s="9" t="n">
        <v>370</v>
      </c>
      <c r="H1473" s="9">
        <f>SUM(D1473*C1473)</f>
        <v/>
      </c>
      <c r="I1473" s="10" t="inlineStr">
        <is>
          <t>บจก. วีที คัลเลอร์ โปร</t>
        </is>
      </c>
      <c r="J1473" s="161" t="n">
        <v>24739</v>
      </c>
      <c r="K1473" s="8" t="inlineStr">
        <is>
          <t>IV6709123</t>
        </is>
      </c>
      <c r="L1473" s="8" t="inlineStr">
        <is>
          <t>ราคาที่ลง ยังไม่รวมภาษี</t>
        </is>
      </c>
    </row>
    <row r="1474">
      <c r="B1474" s="6" t="inlineStr">
        <is>
          <t>น้ำยาเกาะพลาสติก SPACE AX-9004</t>
        </is>
      </c>
      <c r="C1474" s="8" t="n">
        <v>12</v>
      </c>
      <c r="D1474" s="9" t="n">
        <v>370</v>
      </c>
      <c r="H1474" s="9">
        <f>SUM(D1474*C1474)</f>
        <v/>
      </c>
      <c r="I1474" s="10" t="inlineStr">
        <is>
          <t>บจก. วีที คัลเลอร์ โปร</t>
        </is>
      </c>
      <c r="J1474" s="161" t="n">
        <v>24766</v>
      </c>
      <c r="K1474" s="8" t="inlineStr">
        <is>
          <t>IV6710109</t>
        </is>
      </c>
      <c r="L1474" s="8" t="inlineStr">
        <is>
          <t>ราคาที่ลง ยังไม่รวมภาษี</t>
        </is>
      </c>
    </row>
    <row r="1475">
      <c r="B1475" s="6" t="inlineStr">
        <is>
          <t>น้ำยาเกาะพลาสติก SPACE AX-9004</t>
        </is>
      </c>
      <c r="C1475" s="8" t="n">
        <v>12</v>
      </c>
      <c r="D1475" s="9" t="n">
        <v>370</v>
      </c>
      <c r="H1475" s="9">
        <f>SUM(D1475*C1475)</f>
        <v/>
      </c>
      <c r="I1475" s="10" t="inlineStr">
        <is>
          <t>บจก. วีที คัลเลอร์ โปร</t>
        </is>
      </c>
      <c r="J1475" s="161" t="n">
        <v>24795</v>
      </c>
      <c r="K1475" s="8" t="inlineStr">
        <is>
          <t>IV6711104</t>
        </is>
      </c>
      <c r="L1475" s="8" t="inlineStr">
        <is>
          <t>ราคาที่ลง ยังไม่รวมภาษี</t>
        </is>
      </c>
    </row>
    <row r="1476">
      <c r="B1476" s="6" t="inlineStr">
        <is>
          <t>น้ำยาเกาะพลาสติก SPACE AX-9004</t>
        </is>
      </c>
      <c r="C1476" s="8" t="n">
        <v>12</v>
      </c>
      <c r="D1476" s="9" t="n">
        <v>370</v>
      </c>
      <c r="H1476" s="9">
        <f>SUM(D1476*C1476)</f>
        <v/>
      </c>
      <c r="I1476" s="10" t="inlineStr">
        <is>
          <t>บจก. วีที คัลเลอร์ โปร</t>
        </is>
      </c>
      <c r="J1476" s="161" t="n">
        <v>24824</v>
      </c>
      <c r="K1476" s="8" t="inlineStr">
        <is>
          <t>IV6712085</t>
        </is>
      </c>
      <c r="L1476" s="8" t="inlineStr">
        <is>
          <t>ราคาที่ลง ยังไม่รวมภาษี</t>
        </is>
      </c>
    </row>
    <row r="1477">
      <c r="B1477" s="6" t="inlineStr">
        <is>
          <t>น้ำยาเกาะพลาสติก SPACE AX-9004</t>
        </is>
      </c>
      <c r="C1477" s="8" t="n">
        <v>15</v>
      </c>
      <c r="D1477" s="9" t="n">
        <v>395.9</v>
      </c>
      <c r="H1477" s="9">
        <f>SUM(D1477*C1477)</f>
        <v/>
      </c>
      <c r="I1477" s="10" t="inlineStr">
        <is>
          <t>บจก. วีที คัลเลอร์ โปร</t>
        </is>
      </c>
      <c r="J1477" s="161" t="n">
        <v>24858</v>
      </c>
      <c r="K1477" s="8" t="inlineStr">
        <is>
          <t>IV6801106</t>
        </is>
      </c>
      <c r="L1477" s="8" t="inlineStr">
        <is>
          <t>ราคารวม VAT แล้ว</t>
        </is>
      </c>
    </row>
    <row r="1478">
      <c r="B1478" s="6" t="inlineStr">
        <is>
          <t>น้ำยาเกาะพลาสติก SPACE AX-9004</t>
        </is>
      </c>
      <c r="C1478" s="8" t="n">
        <v>20</v>
      </c>
      <c r="D1478" s="9" t="n">
        <v>395.9</v>
      </c>
      <c r="H1478" s="9">
        <f>SUM(D1478*C1478)</f>
        <v/>
      </c>
      <c r="I1478" s="10" t="inlineStr">
        <is>
          <t>บจก. วีที คัลเลอร์ โปร</t>
        </is>
      </c>
      <c r="J1478" s="161" t="n">
        <v>24892</v>
      </c>
      <c r="K1478" s="8" t="inlineStr">
        <is>
          <t>IV6802145</t>
        </is>
      </c>
      <c r="L1478" s="8" t="inlineStr">
        <is>
          <t>ราคารวม VAT แล้ว</t>
        </is>
      </c>
    </row>
    <row r="1479">
      <c r="B1479" s="6" t="inlineStr">
        <is>
          <t>น้ำยาเกาะพลาสติก SPACE AX-9004</t>
        </is>
      </c>
      <c r="C1479" s="8" t="n">
        <v>20</v>
      </c>
      <c r="D1479" s="9" t="n">
        <v>395.9</v>
      </c>
      <c r="H1479" s="9">
        <f>SUM(D1479*C1479)</f>
        <v/>
      </c>
      <c r="I1479" s="10" t="inlineStr">
        <is>
          <t>บจก. วีที คัลเลอร์ โปร</t>
        </is>
      </c>
      <c r="J1479" s="161" t="n">
        <v>24923</v>
      </c>
      <c r="K1479" s="8" t="inlineStr">
        <is>
          <t>IV6803172</t>
        </is>
      </c>
      <c r="L1479" s="8" t="inlineStr">
        <is>
          <t>ราคารวม VAT แล้ว</t>
        </is>
      </c>
    </row>
    <row r="1480">
      <c r="B1480" s="6" t="inlineStr">
        <is>
          <t>น้ำยาเกาะพลาสติก SPACE AX-9004</t>
        </is>
      </c>
      <c r="C1480" s="8" t="n">
        <v>12</v>
      </c>
      <c r="D1480" s="9" t="n">
        <v>370</v>
      </c>
      <c r="E1480" s="9">
        <f>SUM(D1480*C1480)</f>
        <v/>
      </c>
      <c r="F1480" s="8" t="n">
        <v>0.07000000000000001</v>
      </c>
      <c r="G1480" s="10" t="inlineStr">
        <is>
          <t>รวม VAT =</t>
        </is>
      </c>
      <c r="H1480" s="9">
        <f>SUM(E1480+N1480)</f>
        <v/>
      </c>
      <c r="I1480" s="10" t="inlineStr">
        <is>
          <t>บจก. วีที คัลเลอร์ โปร</t>
        </is>
      </c>
      <c r="J1480" s="161" t="n">
        <v>25002</v>
      </c>
      <c r="K1480" s="8" t="inlineStr">
        <is>
          <t>IV6806091</t>
        </is>
      </c>
      <c r="N1480" s="6">
        <f>SUM(E1480*F1480)</f>
        <v/>
      </c>
    </row>
    <row r="1481">
      <c r="B1481" s="6" t="inlineStr">
        <is>
          <t>น้ำยาเกาะพลาสติก SPACE AX-9004</t>
        </is>
      </c>
      <c r="C1481" s="8" t="n">
        <v>12</v>
      </c>
      <c r="D1481" s="9" t="n">
        <v>370</v>
      </c>
      <c r="E1481" s="9">
        <f>SUM(D1481*C1481)</f>
        <v/>
      </c>
      <c r="F1481" s="8" t="n">
        <v>0.07000000000000001</v>
      </c>
      <c r="G1481" s="10" t="inlineStr">
        <is>
          <t>รวม VAT =</t>
        </is>
      </c>
      <c r="H1481" s="9">
        <f>SUM(E1481+N1481)</f>
        <v/>
      </c>
      <c r="I1481" s="10" t="inlineStr">
        <is>
          <t>บจก. วีที คัลเลอร์ โปร</t>
        </is>
      </c>
      <c r="J1481" s="161" t="n">
        <v>25015</v>
      </c>
      <c r="K1481" s="8" t="inlineStr">
        <is>
          <t>IV6806175</t>
        </is>
      </c>
      <c r="N1481" s="6">
        <f>SUM(E1481*F1481)</f>
        <v/>
      </c>
    </row>
    <row r="1482">
      <c r="B1482" s="6" t="inlineStr">
        <is>
          <t>น้ำยาเกาะพลาสติก SPACE AX-9004</t>
        </is>
      </c>
      <c r="C1482" s="8" t="n">
        <v>15</v>
      </c>
      <c r="D1482" s="9" t="n">
        <v>370</v>
      </c>
      <c r="E1482" s="9">
        <f>SUM(D1482*C1482)</f>
        <v/>
      </c>
      <c r="F1482" s="8" t="n">
        <v>0.07000000000000001</v>
      </c>
      <c r="G1482" s="10" t="inlineStr">
        <is>
          <t>รวม VAT =</t>
        </is>
      </c>
      <c r="H1482" s="9">
        <f>SUM(E1482+N1482)</f>
        <v/>
      </c>
      <c r="I1482" s="10" t="inlineStr">
        <is>
          <t>บจก. วีที คัลเลอร์ โปร</t>
        </is>
      </c>
      <c r="J1482" s="161" t="n">
        <v>25040</v>
      </c>
      <c r="K1482" s="8" t="inlineStr">
        <is>
          <t>IV6807163</t>
        </is>
      </c>
      <c r="N1482" s="6">
        <f>SUM(E1482*F1482)</f>
        <v/>
      </c>
    </row>
    <row r="1483">
      <c r="B1483" s="6" t="inlineStr">
        <is>
          <t>น้ำยาเกาะพลาสติก SPACE AX-9004</t>
        </is>
      </c>
      <c r="C1483" s="8" t="n">
        <v>12</v>
      </c>
      <c r="D1483" s="9" t="n">
        <v>370</v>
      </c>
      <c r="E1483" s="9">
        <f>SUM(D1483*C1483)</f>
        <v/>
      </c>
      <c r="F1483" s="8" t="n">
        <v>0.07000000000000001</v>
      </c>
      <c r="G1483" s="10" t="inlineStr">
        <is>
          <t>รวม VAT =</t>
        </is>
      </c>
      <c r="H1483" s="9">
        <f>SUM(E1483+N1483)</f>
        <v/>
      </c>
      <c r="I1483" s="10" t="inlineStr">
        <is>
          <t>บจก. วีที คัลเลอร์ โปร</t>
        </is>
      </c>
      <c r="J1483" s="161" t="n">
        <v>25069</v>
      </c>
      <c r="K1483" s="8" t="inlineStr">
        <is>
          <t>IV6808112</t>
        </is>
      </c>
      <c r="N1483" s="6">
        <f>SUM(E1483*F1483)</f>
        <v/>
      </c>
    </row>
    <row r="1484">
      <c r="B1484" s="6" t="inlineStr">
        <is>
          <t>น้ำยาเกาะพลาสติก SPACE AX-9004</t>
        </is>
      </c>
      <c r="C1484" s="8" t="n">
        <v>12</v>
      </c>
      <c r="D1484" s="9" t="n">
        <v>350</v>
      </c>
      <c r="E1484" s="9">
        <f>SUM(D1484*C1484)</f>
        <v/>
      </c>
      <c r="F1484" s="8" t="n">
        <v>0.07000000000000001</v>
      </c>
      <c r="G1484" s="10" t="inlineStr">
        <is>
          <t>รวม VAT =</t>
        </is>
      </c>
      <c r="H1484" s="9">
        <f>SUM(E1484+N1484)</f>
        <v/>
      </c>
      <c r="I1484" s="10" t="inlineStr">
        <is>
          <t>บจก. วีที คัลเลอร์ โปร</t>
        </is>
      </c>
      <c r="J1484" s="161" t="n">
        <v>25098</v>
      </c>
      <c r="K1484" s="8" t="inlineStr">
        <is>
          <t>IV6809124</t>
        </is>
      </c>
      <c r="N1484" s="6">
        <f>SUM(E1484*F1484)</f>
        <v/>
      </c>
    </row>
    <row r="1485">
      <c r="A1485" s="70" t="n"/>
      <c r="B1485" s="6" t="inlineStr">
        <is>
          <t>น้ำยาเกาะพลาสติก SPACE AX-9004</t>
        </is>
      </c>
      <c r="C1485" s="8" t="n">
        <v>24</v>
      </c>
      <c r="D1485" s="9" t="n">
        <v>340</v>
      </c>
      <c r="E1485" s="9">
        <f>SUM(C1485*D1485)</f>
        <v/>
      </c>
      <c r="H1485" s="9">
        <f>SUM(E1485*107/100)</f>
        <v/>
      </c>
      <c r="I1485" s="10" t="inlineStr">
        <is>
          <t>บจก. วีที คัลเลอร์ โปร</t>
        </is>
      </c>
      <c r="J1485" s="161" t="n">
        <v>25129</v>
      </c>
      <c r="K1485" s="8" t="inlineStr">
        <is>
          <t>IV6810120</t>
        </is>
      </c>
      <c r="L1485" s="8" t="inlineStr">
        <is>
          <t>ราคาที่ลง ยังไม่รวมภาษี</t>
        </is>
      </c>
    </row>
    <row r="1486">
      <c r="B1486" s="6" t="inlineStr">
        <is>
          <t>น้ำยาเกาะพลาสติก SPACE AX-9004</t>
        </is>
      </c>
      <c r="C1486" s="8" t="n">
        <v>12</v>
      </c>
      <c r="D1486" s="9" t="n">
        <v>350</v>
      </c>
      <c r="E1486" s="9">
        <f>SUM(D1486*C1486)</f>
        <v/>
      </c>
      <c r="F1486" s="8" t="n">
        <v>0.07000000000000001</v>
      </c>
      <c r="G1486" s="10" t="inlineStr">
        <is>
          <t>ยอดรวม VAT =</t>
        </is>
      </c>
      <c r="H1486" s="9">
        <f>SUM(E1486+N1486)</f>
        <v/>
      </c>
      <c r="I1486" s="10" t="inlineStr">
        <is>
          <t>บจก. วีที คัลเลอร์ โปร</t>
        </is>
      </c>
      <c r="J1486" s="161" t="n">
        <v>25189</v>
      </c>
      <c r="K1486" s="8" t="inlineStr">
        <is>
          <t>IV6812124</t>
        </is>
      </c>
      <c r="N1486" s="6">
        <f>SUM(E1486*F1486)</f>
        <v/>
      </c>
    </row>
    <row r="1487" customFormat="1" s="42">
      <c r="A1487" s="45" t="n"/>
      <c r="B1487" s="42" t="inlineStr">
        <is>
          <t xml:space="preserve"> ** เมื่อ 22/2/69 วาทีแจ้งปรับลดราคา เหลือ 320 บาท</t>
        </is>
      </c>
      <c r="C1487" s="45" t="n"/>
      <c r="D1487" s="16" t="n"/>
      <c r="E1487" s="16" t="n"/>
      <c r="F1487" s="45" t="n"/>
      <c r="G1487" s="50" t="n"/>
      <c r="H1487" s="16" t="n"/>
      <c r="I1487" s="50" t="n"/>
      <c r="J1487" s="166" t="n"/>
      <c r="K1487" s="45" t="n"/>
      <c r="L1487" s="45" t="n"/>
    </row>
    <row r="1489">
      <c r="A1489" s="66" t="inlineStr">
        <is>
          <t>สีโป๊ว</t>
        </is>
      </c>
      <c r="B1489" s="6" t="inlineStr">
        <is>
          <t>สีโป๊ว Body Fine 1K</t>
        </is>
      </c>
      <c r="C1489" s="8" t="inlineStr">
        <is>
          <t>6กป.</t>
        </is>
      </c>
      <c r="D1489" s="9" t="n">
        <v>320</v>
      </c>
      <c r="H1489" s="9" t="n">
        <v>1920</v>
      </c>
      <c r="I1489" s="10" t="inlineStr">
        <is>
          <t>ทรัพย์สินไทย</t>
        </is>
      </c>
      <c r="J1489" s="161" t="n">
        <v>22790</v>
      </c>
      <c r="L1489" s="8" t="inlineStr">
        <is>
          <t>ราคาที่ลง ยังไม่รวมภาษี</t>
        </is>
      </c>
    </row>
    <row r="1490">
      <c r="B1490" s="6" t="inlineStr">
        <is>
          <t>สีโป๊ว Body Fine 1K</t>
        </is>
      </c>
      <c r="C1490" s="8" t="inlineStr">
        <is>
          <t>4กป.</t>
        </is>
      </c>
      <c r="D1490" s="9" t="n">
        <v>320</v>
      </c>
      <c r="H1490" s="9" t="n">
        <v>1280</v>
      </c>
      <c r="I1490" s="10" t="inlineStr">
        <is>
          <t>ทรัพย์สินไทย</t>
        </is>
      </c>
      <c r="J1490" s="161" t="n">
        <v>22884</v>
      </c>
      <c r="L1490" s="8" t="inlineStr">
        <is>
          <t>ราคาที่ลง ยังไม่รวมภาษี</t>
        </is>
      </c>
    </row>
    <row r="1491">
      <c r="B1491" s="6" t="inlineStr">
        <is>
          <t>สีโป๊ว Body Fine 1K</t>
        </is>
      </c>
      <c r="C1491" s="8" t="inlineStr">
        <is>
          <t>6กป.</t>
        </is>
      </c>
      <c r="D1491" s="9" t="n">
        <v>320</v>
      </c>
      <c r="H1491" s="9" t="n">
        <v>1920</v>
      </c>
      <c r="I1491" s="10" t="inlineStr">
        <is>
          <t>ทรัพย์สินไทย</t>
        </is>
      </c>
      <c r="J1491" s="161" t="n">
        <v>23062</v>
      </c>
      <c r="L1491" s="8" t="inlineStr">
        <is>
          <t>ราคาที่ลง ยังไม่รวมภาษี</t>
        </is>
      </c>
    </row>
    <row r="1492">
      <c r="B1492" s="6" t="inlineStr">
        <is>
          <t>สีโป๊ว Body Fine 1K</t>
        </is>
      </c>
      <c r="C1492" s="8" t="inlineStr">
        <is>
          <t>3กป.</t>
        </is>
      </c>
      <c r="D1492" s="9" t="n">
        <v>320</v>
      </c>
      <c r="H1492" s="9" t="n">
        <v>960</v>
      </c>
      <c r="I1492" s="10" t="inlineStr">
        <is>
          <t>ทรัพย์สินไทย</t>
        </is>
      </c>
      <c r="J1492" s="161" t="n">
        <v>23187</v>
      </c>
      <c r="L1492" s="8" t="inlineStr">
        <is>
          <t>ราคาที่ลง ยังไม่รวมภาษี</t>
        </is>
      </c>
    </row>
    <row r="1493">
      <c r="B1493" s="6" t="inlineStr">
        <is>
          <t>สีโป๊ว Body Fine 1K</t>
        </is>
      </c>
      <c r="C1493" s="8" t="inlineStr">
        <is>
          <t>3กป.</t>
        </is>
      </c>
      <c r="D1493" s="9" t="n">
        <v>320</v>
      </c>
      <c r="H1493" s="9" t="n">
        <v>960</v>
      </c>
      <c r="I1493" s="10" t="inlineStr">
        <is>
          <t>ทรัพย์สินไทย</t>
        </is>
      </c>
      <c r="J1493" s="161" t="n">
        <v>23216</v>
      </c>
      <c r="L1493" s="8" t="inlineStr">
        <is>
          <t>ราคาที่ลง ยังไม่รวมภาษี</t>
        </is>
      </c>
    </row>
    <row r="1494">
      <c r="B1494" s="6" t="inlineStr">
        <is>
          <t>สีโป๊ว Body Fine 1K</t>
        </is>
      </c>
      <c r="C1494" s="8" t="inlineStr">
        <is>
          <t>3กป.</t>
        </is>
      </c>
      <c r="D1494" s="9" t="n">
        <v>320</v>
      </c>
      <c r="H1494" s="9" t="n">
        <v>960</v>
      </c>
      <c r="I1494" s="10" t="inlineStr">
        <is>
          <t>ทรัพย์สินไทย</t>
        </is>
      </c>
      <c r="J1494" s="161" t="n">
        <v>23305</v>
      </c>
      <c r="L1494" s="8" t="inlineStr">
        <is>
          <t>ราคาที่ลง ยังไม่รวมภาษี</t>
        </is>
      </c>
    </row>
    <row r="1495">
      <c r="B1495" s="6" t="inlineStr">
        <is>
          <t>สีโป๊ว Body Fine 1K</t>
        </is>
      </c>
      <c r="C1495" s="8" t="inlineStr">
        <is>
          <t>4กป.</t>
        </is>
      </c>
      <c r="D1495" s="9" t="n">
        <v>320</v>
      </c>
      <c r="H1495" s="9" t="n">
        <v>1280</v>
      </c>
      <c r="I1495" s="10" t="inlineStr">
        <is>
          <t>ทรัพย์สินไทย</t>
        </is>
      </c>
      <c r="J1495" s="161" t="n">
        <v>23460</v>
      </c>
      <c r="L1495" s="8" t="inlineStr">
        <is>
          <t>ราคาที่ลง ยังไม่รวมภาษี</t>
        </is>
      </c>
    </row>
    <row r="1496">
      <c r="B1496" s="6" t="inlineStr">
        <is>
          <t>สีโป๊ว Body Fine 1K</t>
        </is>
      </c>
      <c r="C1496" s="8" t="inlineStr">
        <is>
          <t>4กป.</t>
        </is>
      </c>
      <c r="D1496" s="9" t="n">
        <v>320</v>
      </c>
      <c r="H1496" s="9" t="n">
        <v>1280</v>
      </c>
      <c r="I1496" s="10" t="inlineStr">
        <is>
          <t>ทรัพย์สินไทย</t>
        </is>
      </c>
      <c r="J1496" s="161" t="n">
        <v>23704</v>
      </c>
      <c r="K1496" s="8" t="inlineStr">
        <is>
          <t>IV6411321</t>
        </is>
      </c>
      <c r="L1496" s="8" t="inlineStr">
        <is>
          <t>ราคาที่ลง ยังไม่รวมภาษี</t>
        </is>
      </c>
    </row>
    <row r="1497">
      <c r="B1497" s="6" t="inlineStr">
        <is>
          <t>สีโป๊ว Body Fine 1K</t>
        </is>
      </c>
      <c r="C1497" s="8" t="inlineStr">
        <is>
          <t>2กป.</t>
        </is>
      </c>
      <c r="D1497" s="9" t="n">
        <v>320</v>
      </c>
      <c r="H1497" s="9" t="n">
        <v>640</v>
      </c>
      <c r="I1497" s="10" t="inlineStr">
        <is>
          <t>ทรัพย์สินไทย</t>
        </is>
      </c>
      <c r="J1497" s="161" t="n">
        <v>23824</v>
      </c>
      <c r="K1497" s="8" t="inlineStr">
        <is>
          <t>IV6503299</t>
        </is>
      </c>
      <c r="L1497" s="8" t="inlineStr">
        <is>
          <t>ราคาที่ลง ยังไม่รวมภาษี</t>
        </is>
      </c>
    </row>
    <row r="1499">
      <c r="B1499" s="6" t="inlineStr">
        <is>
          <t>สีโป๊ว 2K (A1/B1)</t>
        </is>
      </c>
      <c r="C1499" s="8" t="inlineStr">
        <is>
          <t>36 กล.</t>
        </is>
      </c>
      <c r="D1499" s="9" t="n">
        <v>320</v>
      </c>
      <c r="H1499" s="9" t="n">
        <v>11520</v>
      </c>
      <c r="I1499" s="10" t="inlineStr">
        <is>
          <t>ทรัพย์สินไทย</t>
        </is>
      </c>
      <c r="J1499" s="161" t="n">
        <v>22886</v>
      </c>
      <c r="L1499" s="8" t="inlineStr">
        <is>
          <t>ราคาที่ลง ยังไม่รวมภาษี</t>
        </is>
      </c>
    </row>
    <row r="1500">
      <c r="B1500" s="6" t="inlineStr">
        <is>
          <t>สีโป๊ว 2K (A1/B1)</t>
        </is>
      </c>
      <c r="C1500" s="8" t="inlineStr">
        <is>
          <t>20 กล.</t>
        </is>
      </c>
      <c r="D1500" s="9" t="n">
        <v>320</v>
      </c>
      <c r="H1500" s="9" t="n">
        <v>6400</v>
      </c>
      <c r="I1500" s="10" t="inlineStr">
        <is>
          <t>ทรัพย์สินไทย</t>
        </is>
      </c>
      <c r="J1500" s="161" t="n">
        <v>22913</v>
      </c>
      <c r="L1500" s="8" t="inlineStr">
        <is>
          <t>ราคาที่ลง ยังไม่รวมภาษี</t>
        </is>
      </c>
    </row>
    <row r="1501">
      <c r="B1501" s="6" t="inlineStr">
        <is>
          <t>สีโป๊ว 2K (A1/B1) + น้ำยา</t>
        </is>
      </c>
      <c r="C1501" s="8" t="inlineStr">
        <is>
          <t>36 ชุด</t>
        </is>
      </c>
      <c r="D1501" s="9" t="n">
        <v>400</v>
      </c>
      <c r="H1501" s="9" t="n">
        <v>14400</v>
      </c>
      <c r="I1501" s="10" t="inlineStr">
        <is>
          <t>ทรัพย์สินไทย</t>
        </is>
      </c>
      <c r="J1501" s="161" t="n">
        <v>23062</v>
      </c>
      <c r="L1501" s="8" t="inlineStr">
        <is>
          <t>ราคาที่ลง ยังไม่รวมภาษี</t>
        </is>
      </c>
    </row>
    <row r="1502">
      <c r="B1502" s="6" t="inlineStr">
        <is>
          <t>สีโป๊ว 2K (A1/B1) + น้ำยา</t>
        </is>
      </c>
      <c r="C1502" s="8" t="inlineStr">
        <is>
          <t>4 ชุด</t>
        </is>
      </c>
      <c r="D1502" s="9" t="n">
        <v>400</v>
      </c>
      <c r="H1502" s="9" t="n">
        <v>1600</v>
      </c>
      <c r="I1502" s="10" t="inlineStr">
        <is>
          <t>ทรัพย์สินไทย</t>
        </is>
      </c>
      <c r="J1502" s="161" t="n">
        <v>23063</v>
      </c>
      <c r="L1502" s="8" t="inlineStr">
        <is>
          <t>ราคาที่ลง ยังไม่รวมภาษี</t>
        </is>
      </c>
    </row>
    <row r="1503">
      <c r="B1503" s="6" t="inlineStr">
        <is>
          <t>สีโป๊ว 2K (A1/B1) + น้ำยา</t>
        </is>
      </c>
      <c r="C1503" s="8" t="inlineStr">
        <is>
          <t>30 ชุด</t>
        </is>
      </c>
      <c r="D1503" s="9" t="n">
        <v>400</v>
      </c>
      <c r="H1503" s="9" t="n">
        <v>12000</v>
      </c>
      <c r="I1503" s="10" t="inlineStr">
        <is>
          <t>ทรัพย์สินไทย</t>
        </is>
      </c>
      <c r="J1503" s="161" t="n">
        <v>23094</v>
      </c>
      <c r="L1503" s="8" t="inlineStr">
        <is>
          <t>ราคาที่ลง ยังไม่รวมภาษี</t>
        </is>
      </c>
    </row>
    <row r="1504">
      <c r="B1504" s="6" t="inlineStr">
        <is>
          <t>สีโป๊ว 2K (A1/B1) + น้ำยา</t>
        </is>
      </c>
      <c r="C1504" s="8" t="inlineStr">
        <is>
          <t>30 ชุด</t>
        </is>
      </c>
      <c r="D1504" s="9" t="n">
        <v>400</v>
      </c>
      <c r="H1504" s="9" t="n">
        <v>12000</v>
      </c>
      <c r="I1504" s="10" t="inlineStr">
        <is>
          <t>ทรัพย์สินไทย</t>
        </is>
      </c>
      <c r="J1504" s="161" t="n">
        <v>23124</v>
      </c>
      <c r="L1504" s="8" t="inlineStr">
        <is>
          <t>ราคาที่ลง ยังไม่รวมภาษี</t>
        </is>
      </c>
    </row>
    <row r="1505">
      <c r="B1505" s="6" t="inlineStr">
        <is>
          <t>สีโป๊ว 2K (A1/B1) + น้ำยา</t>
        </is>
      </c>
      <c r="C1505" s="8" t="inlineStr">
        <is>
          <t>30 ชุด</t>
        </is>
      </c>
      <c r="D1505" s="9" t="n">
        <v>400</v>
      </c>
      <c r="H1505" s="9" t="n">
        <v>12000</v>
      </c>
      <c r="I1505" s="10" t="inlineStr">
        <is>
          <t>ทรัพย์สินไทย</t>
        </is>
      </c>
      <c r="J1505" s="161" t="n">
        <v>23187</v>
      </c>
      <c r="L1505" s="8" t="inlineStr">
        <is>
          <t>ราคาที่ลง ยังไม่รวมภาษี</t>
        </is>
      </c>
    </row>
    <row r="1506">
      <c r="B1506" s="6" t="inlineStr">
        <is>
          <t>สีโป๊ว 2K (A1/B1) + น้ำยา</t>
        </is>
      </c>
      <c r="C1506" s="8" t="inlineStr">
        <is>
          <t>28 ชุด</t>
        </is>
      </c>
      <c r="D1506" s="9" t="n">
        <v>400</v>
      </c>
      <c r="H1506" s="9" t="n">
        <v>11200</v>
      </c>
      <c r="I1506" s="10" t="inlineStr">
        <is>
          <t>ทรัพย์สินไทย</t>
        </is>
      </c>
      <c r="J1506" s="161" t="n">
        <v>23216</v>
      </c>
      <c r="L1506" s="8" t="inlineStr">
        <is>
          <t>ราคาที่ลง ยังไม่รวมภาษี</t>
        </is>
      </c>
    </row>
    <row r="1507">
      <c r="B1507" s="6" t="inlineStr">
        <is>
          <t>สีโป๊ว 2K (A1/B1) + น้ำยา</t>
        </is>
      </c>
      <c r="C1507" s="8" t="inlineStr">
        <is>
          <t>30 ชุด</t>
        </is>
      </c>
      <c r="D1507" s="9" t="n">
        <v>400</v>
      </c>
      <c r="H1507" s="9" t="n">
        <v>12000</v>
      </c>
      <c r="I1507" s="10" t="inlineStr">
        <is>
          <t>ทรัพย์สินไทย</t>
        </is>
      </c>
      <c r="J1507" s="161" t="n">
        <v>23247</v>
      </c>
      <c r="L1507" s="8" t="inlineStr">
        <is>
          <t>ราคาที่ลง ยังไม่รวมภาษี</t>
        </is>
      </c>
    </row>
    <row r="1508">
      <c r="B1508" s="6" t="inlineStr">
        <is>
          <t>สีโป๊ว 2K (A1/B1) + น้ำยา</t>
        </is>
      </c>
      <c r="C1508" s="8" t="inlineStr">
        <is>
          <t>20 ชุด</t>
        </is>
      </c>
      <c r="D1508" s="9" t="n">
        <v>400</v>
      </c>
      <c r="H1508" s="9" t="n">
        <v>8000</v>
      </c>
      <c r="I1508" s="10" t="inlineStr">
        <is>
          <t>ทรัพย์สินไทย</t>
        </is>
      </c>
      <c r="J1508" s="161" t="n">
        <v>23305</v>
      </c>
      <c r="L1508" s="8" t="inlineStr">
        <is>
          <t>ราคาที่ลง ยังไม่รวมภาษี</t>
        </is>
      </c>
    </row>
    <row r="1509">
      <c r="B1509" s="6" t="inlineStr">
        <is>
          <t>สีโป๊ว 2K (A1/B1) + น้ำยา</t>
        </is>
      </c>
      <c r="C1509" s="8" t="inlineStr">
        <is>
          <t>28 ชุด</t>
        </is>
      </c>
      <c r="D1509" s="9" t="n">
        <v>400</v>
      </c>
      <c r="H1509" s="9" t="n">
        <v>11200</v>
      </c>
      <c r="I1509" s="10" t="inlineStr">
        <is>
          <t>ทรัพย์สินไทย</t>
        </is>
      </c>
      <c r="J1509" s="161" t="n">
        <v>23337</v>
      </c>
      <c r="L1509" s="8" t="inlineStr">
        <is>
          <t>ราคาที่ลง ยังไม่รวมภาษี</t>
        </is>
      </c>
    </row>
    <row r="1510">
      <c r="B1510" s="6" t="inlineStr">
        <is>
          <t>สีโป๊ว 2K (A1/B1) + น้ำยา</t>
        </is>
      </c>
      <c r="C1510" s="8" t="inlineStr">
        <is>
          <t>24 ชุด</t>
        </is>
      </c>
      <c r="D1510" s="9" t="n">
        <v>400</v>
      </c>
      <c r="H1510" s="9" t="n">
        <v>9600</v>
      </c>
      <c r="I1510" s="10" t="inlineStr">
        <is>
          <t>ทรัพย์สินไทย</t>
        </is>
      </c>
      <c r="J1510" s="161" t="n">
        <v>23340</v>
      </c>
      <c r="L1510" s="8" t="inlineStr">
        <is>
          <t>ราคาที่ลง ยังไม่รวมภาษี</t>
        </is>
      </c>
    </row>
    <row r="1511">
      <c r="B1511" s="6" t="inlineStr">
        <is>
          <t>สีโป๊ว 2K (A1/B1) + น้ำยา</t>
        </is>
      </c>
      <c r="C1511" s="8" t="inlineStr">
        <is>
          <t>20 ชุด</t>
        </is>
      </c>
      <c r="D1511" s="9" t="n">
        <v>400</v>
      </c>
      <c r="H1511" s="9" t="n">
        <v>8000</v>
      </c>
      <c r="I1511" s="10" t="inlineStr">
        <is>
          <t>ทรัพย์สินไทย</t>
        </is>
      </c>
      <c r="J1511" s="161" t="n">
        <v>23366</v>
      </c>
      <c r="L1511" s="8" t="inlineStr">
        <is>
          <t>ราคาที่ลง ยังไม่รวมภาษี</t>
        </is>
      </c>
    </row>
    <row r="1512">
      <c r="B1512" s="6" t="inlineStr">
        <is>
          <t>สีโป๊ว 2K (A1/B1) + น้ำยา</t>
        </is>
      </c>
      <c r="C1512" s="8" t="inlineStr">
        <is>
          <t>32 ชุด</t>
        </is>
      </c>
      <c r="D1512" s="9" t="n">
        <v>400</v>
      </c>
      <c r="H1512" s="9" t="n">
        <v>12800</v>
      </c>
      <c r="I1512" s="10" t="inlineStr">
        <is>
          <t>ทรัพย์สินไทย</t>
        </is>
      </c>
      <c r="J1512" s="161" t="n">
        <v>23398</v>
      </c>
      <c r="L1512" s="8" t="inlineStr">
        <is>
          <t>ราคาที่ลง ยังไม่รวมภาษี</t>
        </is>
      </c>
    </row>
    <row r="1513">
      <c r="B1513" s="6" t="inlineStr">
        <is>
          <t>สีโป๊ว 2K (A1/B1) + น้ำยา</t>
        </is>
      </c>
      <c r="C1513" s="8" t="inlineStr">
        <is>
          <t>20 ชุด</t>
        </is>
      </c>
      <c r="D1513" s="9" t="n">
        <v>400</v>
      </c>
      <c r="H1513" s="9" t="n">
        <v>8000</v>
      </c>
      <c r="I1513" s="10" t="inlineStr">
        <is>
          <t>ทรัพย์สินไทย</t>
        </is>
      </c>
      <c r="J1513" s="161" t="n">
        <v>23430</v>
      </c>
      <c r="L1513" s="8" t="inlineStr">
        <is>
          <t>ราคาที่ลง ยังไม่รวมภาษี</t>
        </is>
      </c>
    </row>
    <row r="1514">
      <c r="B1514" s="6" t="inlineStr">
        <is>
          <t>สีโป๊ว 2K (A1/B1) + น้ำยา</t>
        </is>
      </c>
      <c r="C1514" s="8" t="inlineStr">
        <is>
          <t>28 ชุด</t>
        </is>
      </c>
      <c r="D1514" s="9" t="n">
        <v>400</v>
      </c>
      <c r="H1514" s="9" t="n">
        <v>11200</v>
      </c>
      <c r="I1514" s="10" t="inlineStr">
        <is>
          <t>ทรัพย์สินไทย</t>
        </is>
      </c>
      <c r="J1514" s="161" t="n">
        <v>23460</v>
      </c>
      <c r="L1514" s="8" t="inlineStr">
        <is>
          <t>ราคาที่ลง ยังไม่รวมภาษี</t>
        </is>
      </c>
    </row>
    <row r="1515">
      <c r="B1515" s="6" t="inlineStr">
        <is>
          <t>สีโป๊ว 2K (A1/B1) + น้ำยา</t>
        </is>
      </c>
      <c r="C1515" s="8" t="inlineStr">
        <is>
          <t>32 ชุด</t>
        </is>
      </c>
      <c r="D1515" s="9" t="n">
        <v>400</v>
      </c>
      <c r="H1515" s="9" t="n">
        <v>12800</v>
      </c>
      <c r="I1515" s="10" t="inlineStr">
        <is>
          <t>ทรัพย์สินไทย</t>
        </is>
      </c>
      <c r="J1515" s="161" t="n">
        <v>23642</v>
      </c>
      <c r="K1515" s="8" t="inlineStr">
        <is>
          <t>IV6409286</t>
        </is>
      </c>
      <c r="L1515" s="8" t="inlineStr">
        <is>
          <t>ราคาที่ลง ยังไม่รวมภาษี</t>
        </is>
      </c>
    </row>
    <row r="1516" customFormat="1" s="30">
      <c r="A1516" s="68" t="n"/>
      <c r="B1516" s="30" t="inlineStr">
        <is>
          <t>** เมื่อ 11/5/64 วาทีไลน์มาแจ้งว่า จะปรับขึ้นราคาอีก ชุดละ 20 บาท เริ่ม 1/6/64</t>
        </is>
      </c>
      <c r="C1516" s="29" t="n"/>
      <c r="D1516" s="31" t="n"/>
      <c r="E1516" s="31" t="n"/>
      <c r="F1516" s="29" t="n"/>
      <c r="G1516" s="32" t="n"/>
      <c r="H1516" s="31" t="n"/>
      <c r="I1516" s="32" t="n"/>
      <c r="J1516" s="165" t="n"/>
      <c r="K1516" s="29" t="n"/>
      <c r="L1516" s="29" t="n"/>
    </row>
    <row r="1517">
      <c r="B1517" s="6" t="inlineStr">
        <is>
          <t>สีโป๊ว 2K (A1/B1) + น้ำยา</t>
        </is>
      </c>
      <c r="C1517" s="8" t="inlineStr">
        <is>
          <t>32 ชุด</t>
        </is>
      </c>
      <c r="D1517" s="9" t="n">
        <v>420</v>
      </c>
      <c r="H1517" s="9" t="n">
        <v>13440</v>
      </c>
      <c r="I1517" s="10" t="inlineStr">
        <is>
          <t>ทรัพย์สินไทย</t>
        </is>
      </c>
      <c r="J1517" s="161" t="n">
        <v>23704</v>
      </c>
      <c r="K1517" s="8" t="inlineStr">
        <is>
          <t>IV6411321</t>
        </is>
      </c>
      <c r="L1517" s="8" t="inlineStr">
        <is>
          <t>ราคาที่ลง ยังไม่รวมภาษี</t>
        </is>
      </c>
    </row>
    <row r="1518">
      <c r="B1518" s="6" t="inlineStr">
        <is>
          <t>สีโป๊ว 2K (A1/B1) + น้ำยา</t>
        </is>
      </c>
      <c r="C1518" s="8" t="inlineStr">
        <is>
          <t>30 ชุด</t>
        </is>
      </c>
      <c r="D1518" s="9" t="n">
        <v>420</v>
      </c>
      <c r="H1518" s="9" t="n">
        <v>12600</v>
      </c>
      <c r="I1518" s="10" t="inlineStr">
        <is>
          <t>ทรัพย์สินไทย</t>
        </is>
      </c>
      <c r="J1518" s="161" t="n">
        <v>23763</v>
      </c>
      <c r="K1518" s="8" t="inlineStr">
        <is>
          <t>IV6501226</t>
        </is>
      </c>
      <c r="L1518" s="8" t="inlineStr">
        <is>
          <t>ราคาที่ลง ยังไม่รวมภาษี</t>
        </is>
      </c>
    </row>
    <row r="1519">
      <c r="B1519" s="6" t="inlineStr">
        <is>
          <t>สีโป๊ว 2K (A1/B1) + น้ำยา</t>
        </is>
      </c>
      <c r="C1519" s="8" t="inlineStr">
        <is>
          <t>20 ชุด</t>
        </is>
      </c>
      <c r="D1519" s="9" t="n">
        <v>420</v>
      </c>
      <c r="H1519" s="9" t="n">
        <v>8400</v>
      </c>
      <c r="I1519" s="10" t="inlineStr">
        <is>
          <t>ทรัพย์สินไทย</t>
        </is>
      </c>
      <c r="J1519" s="161" t="n">
        <v>23795</v>
      </c>
      <c r="K1519" s="8" t="inlineStr">
        <is>
          <t>IV6502260</t>
        </is>
      </c>
      <c r="L1519" s="8" t="inlineStr">
        <is>
          <t>ราคาที่ลง ยังไม่รวมภาษี</t>
        </is>
      </c>
    </row>
    <row r="1520">
      <c r="B1520" s="6" t="inlineStr">
        <is>
          <t>สีโป๊ว 2K (A1/B1) + น้ำยา</t>
        </is>
      </c>
      <c r="C1520" s="8" t="inlineStr">
        <is>
          <t>20 ชุด</t>
        </is>
      </c>
      <c r="D1520" s="9" t="n">
        <v>420</v>
      </c>
      <c r="H1520" s="9" t="n">
        <v>8400</v>
      </c>
      <c r="I1520" s="10" t="inlineStr">
        <is>
          <t>ทรัพย์สินไทย</t>
        </is>
      </c>
      <c r="J1520" s="161" t="n">
        <v>23824</v>
      </c>
      <c r="K1520" s="8" t="inlineStr">
        <is>
          <t>IV6503299</t>
        </is>
      </c>
      <c r="L1520" s="8" t="inlineStr">
        <is>
          <t>ราคาที่ลง ยังไม่รวมภาษี</t>
        </is>
      </c>
    </row>
    <row r="1521">
      <c r="B1521" s="6" t="inlineStr">
        <is>
          <t>สีโป๊ว 2K (A1/B1) + น้ำยา</t>
        </is>
      </c>
      <c r="C1521" s="8" t="inlineStr">
        <is>
          <t>20 ชุด</t>
        </is>
      </c>
      <c r="D1521" s="9" t="n">
        <v>420</v>
      </c>
      <c r="H1521" s="9" t="n">
        <v>8400</v>
      </c>
      <c r="I1521" s="10" t="inlineStr">
        <is>
          <t>ทรัพย์สินไทย</t>
        </is>
      </c>
      <c r="J1521" s="161" t="n">
        <v>23887</v>
      </c>
      <c r="K1521" s="8" t="inlineStr">
        <is>
          <t>IV6505292</t>
        </is>
      </c>
      <c r="L1521" s="8" t="inlineStr">
        <is>
          <t>ราคาที่ลง ยังไม่รวมภาษี</t>
        </is>
      </c>
    </row>
    <row r="1522">
      <c r="B1522" s="6" t="inlineStr">
        <is>
          <t>สีโป๊ว 2K (A1/B1) + น้ำยา</t>
        </is>
      </c>
      <c r="C1522" s="8" t="inlineStr">
        <is>
          <t>20 ชุด</t>
        </is>
      </c>
      <c r="D1522" s="9" t="n">
        <v>420</v>
      </c>
      <c r="H1522" s="9" t="n">
        <v>8400</v>
      </c>
      <c r="I1522" s="10" t="inlineStr">
        <is>
          <t>ทรัพย์สินไทย</t>
        </is>
      </c>
      <c r="J1522" s="161" t="n">
        <v>23920</v>
      </c>
      <c r="K1522" s="8" t="inlineStr">
        <is>
          <t>IV6506338</t>
        </is>
      </c>
      <c r="L1522" s="8" t="inlineStr">
        <is>
          <t>ราคาที่ลง ยังไม่รวมภาษี</t>
        </is>
      </c>
    </row>
    <row r="1524">
      <c r="B1524" s="6" t="inlineStr">
        <is>
          <t>สีโป๊ว 2K (น้ำยาชมพู) LEZZON RE749 -- พร้อมน้ำยาสีโป๊วชมพู 2K E-162</t>
        </is>
      </c>
      <c r="C1524" s="8" t="inlineStr">
        <is>
          <t>20ชุด</t>
        </is>
      </c>
      <c r="D1524" s="9" t="n">
        <v>400</v>
      </c>
      <c r="H1524" s="9" t="n">
        <v>8000</v>
      </c>
      <c r="I1524" s="10" t="inlineStr">
        <is>
          <t>บจก. วีที คัลเลอร์ โปร</t>
        </is>
      </c>
      <c r="J1524" s="161" t="n">
        <v>23978</v>
      </c>
      <c r="K1524" s="8" t="inlineStr">
        <is>
          <t>IV147-65</t>
        </is>
      </c>
      <c r="L1524" s="8" t="inlineStr">
        <is>
          <t>ราคาที่ลง ยังไม่รวมภาษี</t>
        </is>
      </c>
    </row>
    <row r="1526">
      <c r="A1526" s="67" t="inlineStr">
        <is>
          <t>1ลัง = 4ชุด</t>
        </is>
      </c>
      <c r="B1526" s="6" t="inlineStr">
        <is>
          <t>สีโป๊ว LEZZON RE749</t>
        </is>
      </c>
      <c r="C1526" s="8" t="inlineStr">
        <is>
          <t>20กล.</t>
        </is>
      </c>
      <c r="D1526" s="9" t="n">
        <v>360</v>
      </c>
      <c r="H1526" s="9" t="n">
        <v>7200</v>
      </c>
      <c r="I1526" s="10" t="inlineStr">
        <is>
          <t>บจก. วีที คัลเลอร์ โปร</t>
        </is>
      </c>
      <c r="J1526" s="161" t="n">
        <v>24005</v>
      </c>
      <c r="K1526" s="8" t="inlineStr">
        <is>
          <t>IV183-65</t>
        </is>
      </c>
      <c r="L1526" s="8" t="inlineStr">
        <is>
          <t>ราคาที่ลง ยังไม่รวมภาษี</t>
        </is>
      </c>
    </row>
    <row r="1527">
      <c r="B1527" s="6" t="inlineStr">
        <is>
          <t>สีโป๊ว LEZZON RE749</t>
        </is>
      </c>
      <c r="C1527" s="8" t="inlineStr">
        <is>
          <t>20กล.</t>
        </is>
      </c>
      <c r="D1527" s="9" t="n">
        <v>360</v>
      </c>
      <c r="H1527" s="9" t="n">
        <v>7200</v>
      </c>
      <c r="I1527" s="10" t="inlineStr">
        <is>
          <t>บจก. วีที คัลเลอร์ โปร</t>
        </is>
      </c>
      <c r="J1527" s="161" t="n">
        <v>24040</v>
      </c>
      <c r="K1527" s="8" t="inlineStr">
        <is>
          <t>IV227-65</t>
        </is>
      </c>
      <c r="L1527" s="8" t="inlineStr">
        <is>
          <t>ราคาที่ลง ยังไม่รวมภาษี</t>
        </is>
      </c>
    </row>
    <row r="1528">
      <c r="B1528" s="6" t="inlineStr">
        <is>
          <t>สีโป๊ว LEZZON RE749</t>
        </is>
      </c>
      <c r="C1528" s="8" t="inlineStr">
        <is>
          <t>20กล.</t>
        </is>
      </c>
      <c r="D1528" s="9" t="n">
        <v>360</v>
      </c>
      <c r="H1528" s="9" t="n">
        <v>7200</v>
      </c>
      <c r="I1528" s="10" t="inlineStr">
        <is>
          <t>บจก. วีที คัลเลอร์ โปร</t>
        </is>
      </c>
      <c r="J1528" s="161" t="n">
        <v>24069</v>
      </c>
      <c r="K1528" s="8" t="inlineStr">
        <is>
          <t>IV275-65</t>
        </is>
      </c>
      <c r="L1528" s="8" t="inlineStr">
        <is>
          <t>ราคาที่ลง ยังไม่รวมภาษี</t>
        </is>
      </c>
    </row>
    <row r="1529">
      <c r="B1529" s="6" t="inlineStr">
        <is>
          <t>สีโป๊ว LEZZON RE749</t>
        </is>
      </c>
      <c r="C1529" s="8" t="inlineStr">
        <is>
          <t>20กล.</t>
        </is>
      </c>
      <c r="D1529" s="9" t="n">
        <v>360</v>
      </c>
      <c r="H1529" s="9" t="n">
        <v>7200</v>
      </c>
      <c r="I1529" s="10" t="inlineStr">
        <is>
          <t>บจก. วีที คัลเลอร์ โปร</t>
        </is>
      </c>
      <c r="J1529" s="161" t="n">
        <v>24095</v>
      </c>
      <c r="K1529" s="8" t="inlineStr">
        <is>
          <t>IV318-65</t>
        </is>
      </c>
      <c r="L1529" s="8" t="inlineStr">
        <is>
          <t>ราคาที่ลง ยังไม่รวมภาษี</t>
        </is>
      </c>
    </row>
    <row r="1530">
      <c r="B1530" s="6" t="inlineStr">
        <is>
          <t>สีโป๊ว LEZZON RE749</t>
        </is>
      </c>
      <c r="C1530" s="8" t="inlineStr">
        <is>
          <t>20กล.</t>
        </is>
      </c>
      <c r="D1530" s="9" t="n">
        <v>360</v>
      </c>
      <c r="H1530" s="9" t="n">
        <v>7200</v>
      </c>
      <c r="I1530" s="10" t="inlineStr">
        <is>
          <t>บจก. วีที คัลเลอร์ โปร</t>
        </is>
      </c>
      <c r="J1530" s="161" t="n">
        <v>24127</v>
      </c>
      <c r="K1530" s="8" t="inlineStr">
        <is>
          <t>IV042-66</t>
        </is>
      </c>
      <c r="L1530" s="8" t="inlineStr">
        <is>
          <t>ราคาที่ลง ยังไม่รวมภาษี</t>
        </is>
      </c>
    </row>
    <row r="1531">
      <c r="B1531" s="6" t="inlineStr">
        <is>
          <t>สีโป๊ว LEZZON RE749</t>
        </is>
      </c>
      <c r="C1531" s="8" t="inlineStr">
        <is>
          <t>20กล.</t>
        </is>
      </c>
      <c r="D1531" s="9" t="n">
        <v>360</v>
      </c>
      <c r="H1531" s="9" t="n">
        <v>7200</v>
      </c>
      <c r="I1531" s="10" t="inlineStr">
        <is>
          <t>บจก. วีที คัลเลอร์ โปร</t>
        </is>
      </c>
      <c r="J1531" s="161" t="n">
        <v>24160</v>
      </c>
      <c r="K1531" s="8" t="inlineStr">
        <is>
          <t>IV114-66</t>
        </is>
      </c>
      <c r="L1531" s="8" t="inlineStr">
        <is>
          <t>ราคาที่ลง ยังไม่รวมภาษี</t>
        </is>
      </c>
    </row>
    <row r="1532">
      <c r="B1532" s="6" t="inlineStr">
        <is>
          <t>สีโป๊ว LEZZON RE749</t>
        </is>
      </c>
      <c r="C1532" s="8" t="inlineStr">
        <is>
          <t>20กล.</t>
        </is>
      </c>
      <c r="D1532" s="9" t="n">
        <v>360</v>
      </c>
      <c r="H1532" s="9" t="n">
        <v>7200</v>
      </c>
      <c r="I1532" s="10" t="inlineStr">
        <is>
          <t>บจก. วีที คัลเลอร์ โปร</t>
        </is>
      </c>
      <c r="J1532" s="161" t="n">
        <v>24189</v>
      </c>
      <c r="K1532" s="8" t="inlineStr">
        <is>
          <t>IV177-66</t>
        </is>
      </c>
      <c r="L1532" s="8" t="inlineStr">
        <is>
          <t>ราคาที่ลง ยังไม่รวมภาษี</t>
        </is>
      </c>
    </row>
    <row r="1533">
      <c r="B1533" s="6" t="inlineStr">
        <is>
          <t>สีโป๊ว LEZZON RE749</t>
        </is>
      </c>
      <c r="C1533" s="8" t="inlineStr">
        <is>
          <t>20กล.</t>
        </is>
      </c>
      <c r="D1533" s="9" t="n">
        <v>360</v>
      </c>
      <c r="H1533" s="9" t="n">
        <v>7200</v>
      </c>
      <c r="I1533" s="10" t="inlineStr">
        <is>
          <t>บจก. วีที คัลเลอร์ โปร</t>
        </is>
      </c>
      <c r="J1533" s="161" t="n">
        <v>24221</v>
      </c>
      <c r="K1533" s="8" t="inlineStr">
        <is>
          <t>IV226-66</t>
        </is>
      </c>
      <c r="L1533" s="8" t="inlineStr">
        <is>
          <t>ราคาที่ลง ยังไม่รวมภาษี</t>
        </is>
      </c>
    </row>
    <row r="1534">
      <c r="B1534" s="6" t="inlineStr">
        <is>
          <t>สีโป๊ว LEZZON RE749</t>
        </is>
      </c>
      <c r="C1534" s="8" t="inlineStr">
        <is>
          <t>20กล.</t>
        </is>
      </c>
      <c r="D1534" s="9" t="n">
        <v>360</v>
      </c>
      <c r="H1534" s="9" t="n">
        <v>7200</v>
      </c>
      <c r="I1534" s="10" t="inlineStr">
        <is>
          <t>บจก. วีที คัลเลอร์ โปร</t>
        </is>
      </c>
      <c r="J1534" s="161" t="n">
        <v>24282</v>
      </c>
      <c r="K1534" s="8" t="inlineStr">
        <is>
          <t>IV354-66</t>
        </is>
      </c>
      <c r="L1534" s="8" t="inlineStr">
        <is>
          <t>ราคาที่ลง ยังไม่รวมภาษี</t>
        </is>
      </c>
    </row>
    <row r="1535">
      <c r="B1535" s="6" t="inlineStr">
        <is>
          <t>สีโป๊ว LEZZON RE749</t>
        </is>
      </c>
      <c r="C1535" s="8" t="inlineStr">
        <is>
          <t>28กล.</t>
        </is>
      </c>
      <c r="D1535" s="9" t="n">
        <v>360</v>
      </c>
      <c r="H1535" s="9" t="n">
        <v>10080</v>
      </c>
      <c r="I1535" s="10" t="inlineStr">
        <is>
          <t>บจก. วีที คัลเลอร์ โปร</t>
        </is>
      </c>
      <c r="J1535" s="161" t="n">
        <v>24315</v>
      </c>
      <c r="K1535" s="8" t="inlineStr">
        <is>
          <t>IV425-66</t>
        </is>
      </c>
      <c r="L1535" s="8" t="inlineStr">
        <is>
          <t>ราคาที่ลง ยังไม่รวมภาษี</t>
        </is>
      </c>
    </row>
    <row r="1536">
      <c r="B1536" s="6" t="inlineStr">
        <is>
          <t>สีโป๊ว LEZZON RE749</t>
        </is>
      </c>
      <c r="C1536" s="8" t="n">
        <v>20</v>
      </c>
      <c r="D1536" s="9" t="n">
        <v>360</v>
      </c>
      <c r="H1536" s="9">
        <f>SUM(D1536*C1536)</f>
        <v/>
      </c>
      <c r="I1536" s="10" t="inlineStr">
        <is>
          <t>บจก. วีที คัลเลอร์ โปร</t>
        </is>
      </c>
      <c r="J1536" s="161" t="n">
        <v>24340</v>
      </c>
      <c r="K1536" s="8" t="inlineStr">
        <is>
          <t>IV470-66</t>
        </is>
      </c>
      <c r="L1536" s="8" t="inlineStr">
        <is>
          <t>ราคาที่ลง ยังไม่รวมภาษี</t>
        </is>
      </c>
    </row>
    <row r="1537">
      <c r="B1537" s="6" t="inlineStr">
        <is>
          <t>สีโป๊ว LEZZON RE749</t>
        </is>
      </c>
      <c r="C1537" s="8" t="n">
        <v>20</v>
      </c>
      <c r="D1537" s="9" t="n">
        <v>360</v>
      </c>
      <c r="H1537" s="9">
        <f>SUM(D1537*C1537)</f>
        <v/>
      </c>
      <c r="I1537" s="10" t="inlineStr">
        <is>
          <t>บจก. วีที คัลเลอร์ โปร</t>
        </is>
      </c>
      <c r="J1537" s="161" t="n">
        <v>24372</v>
      </c>
      <c r="K1537" s="8" t="inlineStr">
        <is>
          <t>IV542-66</t>
        </is>
      </c>
      <c r="L1537" s="8" t="inlineStr">
        <is>
          <t>ราคาที่ลง ยังไม่รวมภาษี</t>
        </is>
      </c>
    </row>
    <row r="1538">
      <c r="B1538" s="6" t="inlineStr">
        <is>
          <t>สีโป๊ว LEZZON RE749</t>
        </is>
      </c>
      <c r="C1538" s="8" t="n">
        <v>20</v>
      </c>
      <c r="D1538" s="9" t="n">
        <v>360</v>
      </c>
      <c r="H1538" s="9">
        <f>SUM(D1538*C1538)</f>
        <v/>
      </c>
      <c r="I1538" s="10" t="inlineStr">
        <is>
          <t>บจก. วีที คัลเลอร์ โปร</t>
        </is>
      </c>
      <c r="J1538" s="161" t="n">
        <v>24401</v>
      </c>
      <c r="K1538" s="8" t="inlineStr">
        <is>
          <t>IV685-66</t>
        </is>
      </c>
      <c r="L1538" s="8" t="inlineStr">
        <is>
          <t>ราคาที่ลง ยังไม่รวมภาษี</t>
        </is>
      </c>
    </row>
    <row r="1539">
      <c r="B1539" s="6" t="inlineStr">
        <is>
          <t>สีโป๊ว LEZZON RE749</t>
        </is>
      </c>
      <c r="C1539" s="8" t="n">
        <v>20</v>
      </c>
      <c r="D1539" s="9" t="n">
        <v>360</v>
      </c>
      <c r="H1539" s="9">
        <f>SUM(D1539*C1539)</f>
        <v/>
      </c>
      <c r="I1539" s="10" t="inlineStr">
        <is>
          <t>บจก. วีที คัลเลอร์ โปร</t>
        </is>
      </c>
      <c r="J1539" s="161" t="n">
        <v>24404</v>
      </c>
      <c r="K1539" s="8" t="inlineStr">
        <is>
          <t>IV620-66</t>
        </is>
      </c>
      <c r="L1539" s="8" t="inlineStr">
        <is>
          <t>ราคาที่ลง ยังไม่รวมภาษี</t>
        </is>
      </c>
    </row>
    <row r="1540">
      <c r="B1540" s="6" t="inlineStr">
        <is>
          <t>สีโป๊ว LEZZON RE749</t>
        </is>
      </c>
      <c r="C1540" s="8" t="n">
        <v>20</v>
      </c>
      <c r="D1540" s="9" t="n">
        <v>360</v>
      </c>
      <c r="H1540" s="9">
        <f>SUM(D1540*C1540)</f>
        <v/>
      </c>
      <c r="I1540" s="10" t="inlineStr">
        <is>
          <t>บจก. วีที คัลเลอร์ โปร</t>
        </is>
      </c>
      <c r="J1540" s="161" t="n">
        <v>24462</v>
      </c>
      <c r="K1540" s="8" t="inlineStr">
        <is>
          <t>IV764-66</t>
        </is>
      </c>
      <c r="L1540" s="8" t="inlineStr">
        <is>
          <t>ราคาที่ลง ยังไม่รวมภาษี</t>
        </is>
      </c>
    </row>
    <row r="1541">
      <c r="B1541" s="6" t="inlineStr">
        <is>
          <t>สีโป๊ว LEZZON RE749</t>
        </is>
      </c>
      <c r="C1541" s="8" t="n">
        <v>20</v>
      </c>
      <c r="D1541" s="9" t="n">
        <v>360</v>
      </c>
      <c r="H1541" s="9">
        <f>SUM(D1541*C1541)</f>
        <v/>
      </c>
      <c r="I1541" s="10" t="inlineStr">
        <is>
          <t>บจก. วีที คัลเลอร์ โปร</t>
        </is>
      </c>
      <c r="J1541" s="161" t="n">
        <v>24496</v>
      </c>
      <c r="K1541" s="8" t="inlineStr">
        <is>
          <t>IV6701080</t>
        </is>
      </c>
      <c r="L1541" s="8" t="inlineStr">
        <is>
          <t>ราคาที่ลง ยังไม่รวมภาษี</t>
        </is>
      </c>
    </row>
    <row r="1542">
      <c r="B1542" s="6" t="inlineStr">
        <is>
          <t>สีโป๊ว LEZZON RE749</t>
        </is>
      </c>
      <c r="C1542" s="8" t="n">
        <v>20</v>
      </c>
      <c r="D1542" s="9" t="n">
        <v>360</v>
      </c>
      <c r="H1542" s="9">
        <f>SUM(D1542*C1542)</f>
        <v/>
      </c>
      <c r="I1542" s="10" t="inlineStr">
        <is>
          <t>บจก. วีที คัลเลอร์ โปร</t>
        </is>
      </c>
      <c r="J1542" s="161" t="n">
        <v>24529</v>
      </c>
      <c r="K1542" s="8" t="inlineStr">
        <is>
          <t>IV6702104</t>
        </is>
      </c>
      <c r="L1542" s="8" t="inlineStr">
        <is>
          <t>ราคาที่ลง ยังไม่รวมภาษี</t>
        </is>
      </c>
    </row>
    <row r="1543">
      <c r="B1543" s="6" t="inlineStr">
        <is>
          <t>สีโป๊ว LEZZON RE749</t>
        </is>
      </c>
      <c r="C1543" s="8" t="n">
        <v>20</v>
      </c>
      <c r="D1543" s="9" t="n">
        <v>360</v>
      </c>
      <c r="H1543" s="9">
        <f>SUM(D1543*C1543)</f>
        <v/>
      </c>
      <c r="I1543" s="10" t="inlineStr">
        <is>
          <t>บจก. วีที คัลเลอร์ โปร</t>
        </is>
      </c>
      <c r="J1543" s="161" t="n">
        <v>24550</v>
      </c>
      <c r="K1543" s="8" t="inlineStr">
        <is>
          <t>IV6703087</t>
        </is>
      </c>
      <c r="L1543" s="8" t="inlineStr">
        <is>
          <t>ราคาที่ลง ยังไม่รวมภาษี</t>
        </is>
      </c>
    </row>
    <row r="1544">
      <c r="B1544" s="6" t="inlineStr">
        <is>
          <t>สีโป๊ว LEZZON RE749</t>
        </is>
      </c>
      <c r="C1544" s="8" t="n">
        <v>20</v>
      </c>
      <c r="D1544" s="9" t="n">
        <v>360</v>
      </c>
      <c r="H1544" s="9">
        <f>SUM(D1544*C1544)</f>
        <v/>
      </c>
      <c r="I1544" s="10" t="inlineStr">
        <is>
          <t>บจก. วีที คัลเลอร์ โปร</t>
        </is>
      </c>
      <c r="J1544" s="161" t="n">
        <v>24584</v>
      </c>
      <c r="K1544" s="8" t="inlineStr">
        <is>
          <t>IV6704071</t>
        </is>
      </c>
      <c r="L1544" s="8" t="inlineStr">
        <is>
          <t>ราคาที่ลง ยังไม่รวมภาษี</t>
        </is>
      </c>
    </row>
    <row r="1545">
      <c r="B1545" s="6" t="inlineStr">
        <is>
          <t>สีโป๊ว LEZZON RE749</t>
        </is>
      </c>
      <c r="C1545" s="8" t="n">
        <v>20</v>
      </c>
      <c r="D1545" s="9" t="n">
        <v>360</v>
      </c>
      <c r="H1545" s="9">
        <f>SUM(D1545*C1545)</f>
        <v/>
      </c>
      <c r="I1545" s="10" t="inlineStr">
        <is>
          <t>บจก. วีที คัลเลอร์ โปร</t>
        </is>
      </c>
      <c r="J1545" s="161" t="n">
        <v>24613</v>
      </c>
      <c r="K1545" s="8" t="inlineStr">
        <is>
          <t>IV6705105</t>
        </is>
      </c>
      <c r="L1545" s="8" t="inlineStr">
        <is>
          <t>ราคาที่ลง ยังไม่รวมภาษี</t>
        </is>
      </c>
    </row>
    <row r="1546">
      <c r="B1546" s="6" t="inlineStr">
        <is>
          <t>สีโป๊ว LEZZON RE749</t>
        </is>
      </c>
      <c r="C1546" s="8" t="n">
        <v>20</v>
      </c>
      <c r="D1546" s="9" t="n">
        <v>360</v>
      </c>
      <c r="H1546" s="9">
        <f>SUM(D1546*C1546)</f>
        <v/>
      </c>
      <c r="I1546" s="10" t="inlineStr">
        <is>
          <t>บจก. วีที คัลเลอร์ โปร</t>
        </is>
      </c>
      <c r="J1546" s="161" t="n">
        <v>24644</v>
      </c>
      <c r="K1546" s="8" t="inlineStr">
        <is>
          <t>IV6706124</t>
        </is>
      </c>
      <c r="L1546" s="8" t="inlineStr">
        <is>
          <t>ราคาที่ลง ยังไม่รวมภาษี</t>
        </is>
      </c>
    </row>
    <row r="1547">
      <c r="B1547" s="6" t="inlineStr">
        <is>
          <t>สีโป๊ว LEZZON RE749</t>
        </is>
      </c>
      <c r="C1547" s="8" t="n">
        <v>20</v>
      </c>
      <c r="D1547" s="9" t="n">
        <v>360</v>
      </c>
      <c r="H1547" s="9">
        <f>SUM(D1547*C1547)</f>
        <v/>
      </c>
      <c r="I1547" s="10" t="inlineStr">
        <is>
          <t>บจก. วีที คัลเลอร์ โปร</t>
        </is>
      </c>
      <c r="J1547" s="161" t="n">
        <v>24680</v>
      </c>
      <c r="K1547" s="8" t="inlineStr">
        <is>
          <t>IV6707131</t>
        </is>
      </c>
      <c r="L1547" s="8" t="inlineStr">
        <is>
          <t>ราคาที่ลง ยังไม่รวมภาษี</t>
        </is>
      </c>
    </row>
    <row r="1548">
      <c r="B1548" s="6" t="inlineStr">
        <is>
          <t>สีโป๊ว LEZZON RE749</t>
        </is>
      </c>
      <c r="C1548" s="8" t="n">
        <v>20</v>
      </c>
      <c r="D1548" s="9" t="n">
        <v>360</v>
      </c>
      <c r="H1548" s="9">
        <f>SUM(D1548*C1548)</f>
        <v/>
      </c>
      <c r="I1548" s="10" t="inlineStr">
        <is>
          <t>บจก. วีที คัลเลอร์ โปร</t>
        </is>
      </c>
      <c r="J1548" s="161" t="n">
        <v>24707</v>
      </c>
      <c r="K1548" s="8" t="inlineStr">
        <is>
          <t>IV6708117</t>
        </is>
      </c>
      <c r="L1548" s="8" t="inlineStr">
        <is>
          <t>ราคาที่ลง ยังไม่รวมภาษี</t>
        </is>
      </c>
    </row>
    <row r="1549">
      <c r="B1549" s="6" t="inlineStr">
        <is>
          <t>สีโป๊ว LEZZON RE749</t>
        </is>
      </c>
      <c r="C1549" s="8" t="n">
        <v>20</v>
      </c>
      <c r="D1549" s="9" t="n">
        <v>360</v>
      </c>
      <c r="H1549" s="9">
        <f>SUM(D1549*C1549)</f>
        <v/>
      </c>
      <c r="I1549" s="10" t="inlineStr">
        <is>
          <t>บจก. วีที คัลเลอร์ โปร</t>
        </is>
      </c>
      <c r="J1549" s="161" t="n">
        <v>24739</v>
      </c>
      <c r="K1549" s="8" t="inlineStr">
        <is>
          <t>IV6709123</t>
        </is>
      </c>
      <c r="L1549" s="8" t="inlineStr">
        <is>
          <t>ราคาที่ลง ยังไม่รวมภาษี</t>
        </is>
      </c>
    </row>
    <row r="1550">
      <c r="B1550" s="6" t="inlineStr">
        <is>
          <t>สีโป๊ว LEZZON RE749</t>
        </is>
      </c>
      <c r="C1550" s="8" t="n">
        <v>20</v>
      </c>
      <c r="D1550" s="9" t="n">
        <v>360</v>
      </c>
      <c r="H1550" s="9">
        <f>SUM(D1550*C1550)</f>
        <v/>
      </c>
      <c r="I1550" s="10" t="inlineStr">
        <is>
          <t>บจก. วีที คัลเลอร์ โปร</t>
        </is>
      </c>
      <c r="J1550" s="161" t="n">
        <v>24766</v>
      </c>
      <c r="K1550" s="8" t="inlineStr">
        <is>
          <t>IV6710109</t>
        </is>
      </c>
      <c r="L1550" s="8" t="inlineStr">
        <is>
          <t>ราคาที่ลง ยังไม่รวมภาษี</t>
        </is>
      </c>
    </row>
    <row r="1551">
      <c r="B1551" s="6" t="inlineStr">
        <is>
          <t>สีโป๊ว LEZZON RE749</t>
        </is>
      </c>
      <c r="C1551" s="8" t="n">
        <v>20</v>
      </c>
      <c r="D1551" s="9" t="n">
        <v>360</v>
      </c>
      <c r="H1551" s="9">
        <f>SUM(D1551*C1551)</f>
        <v/>
      </c>
      <c r="I1551" s="10" t="inlineStr">
        <is>
          <t>บจก. วีที คัลเลอร์ โปร</t>
        </is>
      </c>
      <c r="J1551" s="161" t="n">
        <v>24795</v>
      </c>
      <c r="K1551" s="8" t="inlineStr">
        <is>
          <t>IV6711104</t>
        </is>
      </c>
      <c r="L1551" s="8" t="inlineStr">
        <is>
          <t>ราคาที่ลง ยังไม่รวมภาษี</t>
        </is>
      </c>
    </row>
    <row r="1552">
      <c r="B1552" s="6" t="inlineStr">
        <is>
          <t>สีโป๊ว LEZZON RE749</t>
        </is>
      </c>
      <c r="C1552" s="8" t="n">
        <v>20</v>
      </c>
      <c r="D1552" s="9" t="n">
        <v>360</v>
      </c>
      <c r="H1552" s="9">
        <f>SUM(D1552*C1552)</f>
        <v/>
      </c>
      <c r="I1552" s="10" t="inlineStr">
        <is>
          <t>บจก. วีที คัลเลอร์ โปร</t>
        </is>
      </c>
      <c r="J1552" s="161" t="n">
        <v>24824</v>
      </c>
      <c r="K1552" s="8" t="inlineStr">
        <is>
          <t>IV6712085</t>
        </is>
      </c>
      <c r="L1552" s="8" t="inlineStr">
        <is>
          <t>ราคาที่ลง ยังไม่รวมภาษี</t>
        </is>
      </c>
    </row>
    <row r="1553">
      <c r="B1553" s="6" t="inlineStr">
        <is>
          <t>สีโป๊ว LEZZON RE749</t>
        </is>
      </c>
      <c r="C1553" s="8" t="n">
        <v>20</v>
      </c>
      <c r="D1553" s="9" t="n">
        <v>385.2</v>
      </c>
      <c r="H1553" s="9">
        <f>SUM(D1553*C1553)</f>
        <v/>
      </c>
      <c r="I1553" s="10" t="inlineStr">
        <is>
          <t>บจก. วีที คัลเลอร์ โปร</t>
        </is>
      </c>
      <c r="J1553" s="161" t="n">
        <v>24858</v>
      </c>
      <c r="K1553" s="8" t="inlineStr">
        <is>
          <t>IV6801106</t>
        </is>
      </c>
      <c r="L1553" s="8" t="inlineStr">
        <is>
          <t>ราคารวม VAT แล้ว</t>
        </is>
      </c>
    </row>
    <row r="1554">
      <c r="B1554" s="6" t="inlineStr">
        <is>
          <t>สีโป๊ว LEZZON RE749</t>
        </is>
      </c>
      <c r="C1554" s="8" t="n">
        <v>20</v>
      </c>
      <c r="D1554" s="9" t="n">
        <v>385.2</v>
      </c>
      <c r="H1554" s="9">
        <f>SUM(D1554*C1554)</f>
        <v/>
      </c>
      <c r="I1554" s="10" t="inlineStr">
        <is>
          <t>บจก. วีที คัลเลอร์ โปร</t>
        </is>
      </c>
      <c r="J1554" s="161" t="n">
        <v>24892</v>
      </c>
      <c r="K1554" s="8" t="inlineStr">
        <is>
          <t>IV6802145</t>
        </is>
      </c>
      <c r="L1554" s="8" t="inlineStr">
        <is>
          <t>ราคารวม VAT แล้ว</t>
        </is>
      </c>
    </row>
    <row r="1555">
      <c r="B1555" s="6" t="inlineStr">
        <is>
          <t>สีโป๊ว LEZZON RE749</t>
        </is>
      </c>
      <c r="C1555" s="8" t="n">
        <v>20</v>
      </c>
      <c r="D1555" s="9" t="n">
        <v>385.2</v>
      </c>
      <c r="H1555" s="9">
        <f>SUM(D1555*C1555)</f>
        <v/>
      </c>
      <c r="I1555" s="10" t="inlineStr">
        <is>
          <t>บจก. วีที คัลเลอร์ โปร</t>
        </is>
      </c>
      <c r="J1555" s="161" t="n">
        <v>24923</v>
      </c>
      <c r="K1555" s="8" t="inlineStr">
        <is>
          <t>IV6803172</t>
        </is>
      </c>
      <c r="L1555" s="8" t="inlineStr">
        <is>
          <t>ราคารวม VAT แล้ว</t>
        </is>
      </c>
    </row>
    <row r="1556">
      <c r="B1556" s="6" t="inlineStr">
        <is>
          <t>สีโป๊ว LEZZON RE749</t>
        </is>
      </c>
      <c r="C1556" s="8" t="n">
        <v>20</v>
      </c>
      <c r="D1556" s="9" t="n">
        <v>360</v>
      </c>
      <c r="E1556" s="9">
        <f>SUM(D1556*C1556)</f>
        <v/>
      </c>
      <c r="F1556" s="8" t="n">
        <v>0.07000000000000001</v>
      </c>
      <c r="G1556" s="10" t="inlineStr">
        <is>
          <t>รวม VAT =</t>
        </is>
      </c>
      <c r="H1556" s="9">
        <f>SUM(E1556+N1556)</f>
        <v/>
      </c>
      <c r="I1556" s="10" t="inlineStr">
        <is>
          <t>บจก. วีที คัลเลอร์ โปร</t>
        </is>
      </c>
      <c r="J1556" s="161" t="n">
        <v>25002</v>
      </c>
      <c r="K1556" s="8" t="inlineStr">
        <is>
          <t>IV6806091</t>
        </is>
      </c>
      <c r="N1556" s="6">
        <f>SUM(E1556*F1556)</f>
        <v/>
      </c>
    </row>
    <row r="1557">
      <c r="B1557" s="6" t="inlineStr">
        <is>
          <t>สีโป๊ว LEZZON RE749</t>
        </is>
      </c>
      <c r="C1557" s="8" t="n">
        <v>20</v>
      </c>
      <c r="D1557" s="9" t="n">
        <v>360</v>
      </c>
      <c r="E1557" s="9">
        <f>SUM(D1557*C1557)</f>
        <v/>
      </c>
      <c r="F1557" s="8" t="n">
        <v>0.07000000000000001</v>
      </c>
      <c r="G1557" s="10" t="inlineStr">
        <is>
          <t>รวม VAT =</t>
        </is>
      </c>
      <c r="H1557" s="9">
        <f>SUM(E1557+N1557)</f>
        <v/>
      </c>
      <c r="I1557" s="10" t="inlineStr">
        <is>
          <t>บจก. วีที คัลเลอร์ โปร</t>
        </is>
      </c>
      <c r="J1557" s="161" t="n">
        <v>25015</v>
      </c>
      <c r="K1557" s="8" t="inlineStr">
        <is>
          <t>IV6806175</t>
        </is>
      </c>
      <c r="N1557" s="6">
        <f>SUM(E1557*F1557)</f>
        <v/>
      </c>
    </row>
    <row r="1558">
      <c r="B1558" s="6" t="inlineStr">
        <is>
          <t>สีโป๊ว LEZZON RE749</t>
        </is>
      </c>
      <c r="C1558" s="8" t="n">
        <v>20</v>
      </c>
      <c r="D1558" s="9" t="n">
        <v>360</v>
      </c>
      <c r="E1558" s="9">
        <f>SUM(D1558*C1558)</f>
        <v/>
      </c>
      <c r="F1558" s="8" t="n">
        <v>0.07000000000000001</v>
      </c>
      <c r="G1558" s="10" t="inlineStr">
        <is>
          <t>รวม VAT =</t>
        </is>
      </c>
      <c r="H1558" s="9">
        <f>SUM(E1558+N1558)</f>
        <v/>
      </c>
      <c r="I1558" s="10" t="inlineStr">
        <is>
          <t>บจก. วีที คัลเลอร์ โปร</t>
        </is>
      </c>
      <c r="J1558" s="161" t="n">
        <v>25040</v>
      </c>
      <c r="K1558" s="8" t="inlineStr">
        <is>
          <t>IV6807158</t>
        </is>
      </c>
      <c r="N1558" s="6">
        <f>SUM(E1558*F1558)</f>
        <v/>
      </c>
    </row>
    <row r="1559">
      <c r="B1559" s="6" t="inlineStr">
        <is>
          <t>สีโป๊ว LEZZON RE749</t>
        </is>
      </c>
      <c r="C1559" s="8" t="n">
        <v>12</v>
      </c>
      <c r="D1559" s="9" t="n">
        <v>360</v>
      </c>
      <c r="E1559" s="9">
        <f>SUM(D1559*C1559)</f>
        <v/>
      </c>
      <c r="F1559" s="8" t="n">
        <v>0.07000000000000001</v>
      </c>
      <c r="G1559" s="10" t="inlineStr">
        <is>
          <t>รวม VAT =</t>
        </is>
      </c>
      <c r="H1559" s="9">
        <f>SUM(E1559+N1559)</f>
        <v/>
      </c>
      <c r="I1559" s="10" t="inlineStr">
        <is>
          <t>บจก. วีที คัลเลอร์ โปร</t>
        </is>
      </c>
      <c r="J1559" s="161" t="n">
        <v>25069</v>
      </c>
      <c r="K1559" s="8" t="inlineStr">
        <is>
          <t>IV6808112</t>
        </is>
      </c>
      <c r="N1559" s="6">
        <f>SUM(E1559*F1559)</f>
        <v/>
      </c>
    </row>
    <row r="1560">
      <c r="B1560" s="6" t="inlineStr">
        <is>
          <t>สีโป๊ว LEZZON RE749</t>
        </is>
      </c>
      <c r="C1560" s="8" t="n">
        <v>20</v>
      </c>
      <c r="D1560" s="9" t="n">
        <v>360</v>
      </c>
      <c r="E1560" s="9">
        <f>SUM(D1560*C1560)</f>
        <v/>
      </c>
      <c r="F1560" s="8" t="n">
        <v>0.07000000000000001</v>
      </c>
      <c r="G1560" s="10" t="inlineStr">
        <is>
          <t>รวม VAT =</t>
        </is>
      </c>
      <c r="H1560" s="9">
        <f>SUM(E1560+N1560)</f>
        <v/>
      </c>
      <c r="I1560" s="10" t="inlineStr">
        <is>
          <t>บจก. วีที คัลเลอร์ โปร</t>
        </is>
      </c>
      <c r="J1560" s="161" t="n">
        <v>25098</v>
      </c>
      <c r="K1560" s="8" t="inlineStr">
        <is>
          <t>IV6809124</t>
        </is>
      </c>
      <c r="N1560" s="6">
        <f>SUM(E1560*F1560)</f>
        <v/>
      </c>
    </row>
    <row r="1561">
      <c r="A1561" s="70" t="n"/>
      <c r="B1561" s="6" t="inlineStr">
        <is>
          <t>สีโป๊ว LEZZON RE749</t>
        </is>
      </c>
      <c r="C1561" s="8" t="n">
        <v>24</v>
      </c>
      <c r="D1561" s="9" t="n">
        <v>360</v>
      </c>
      <c r="E1561" s="9">
        <f>SUM(C1561*D1561)</f>
        <v/>
      </c>
      <c r="H1561" s="9">
        <f>SUM(E1561*107/100)</f>
        <v/>
      </c>
      <c r="I1561" s="10" t="inlineStr">
        <is>
          <t>บจก. วีที คัลเลอร์ โปร</t>
        </is>
      </c>
      <c r="J1561" s="161" t="n">
        <v>25135</v>
      </c>
      <c r="K1561" s="8" t="inlineStr">
        <is>
          <t>IV6810152</t>
        </is>
      </c>
      <c r="L1561" s="8" t="inlineStr">
        <is>
          <t>ราคาที่ลง ยังไม่รวมภาษี</t>
        </is>
      </c>
    </row>
    <row r="1562">
      <c r="B1562" s="6" t="inlineStr">
        <is>
          <t>สีโป๊ว LEZZON RE749</t>
        </is>
      </c>
      <c r="C1562" s="8" t="n">
        <v>24</v>
      </c>
      <c r="D1562" s="9" t="n">
        <v>360</v>
      </c>
      <c r="E1562" s="9">
        <f>SUM(D1562*C1562)</f>
        <v/>
      </c>
      <c r="F1562" s="8" t="n">
        <v>0.07000000000000001</v>
      </c>
      <c r="G1562" s="10" t="inlineStr">
        <is>
          <t>ยอดรวม VAT =</t>
        </is>
      </c>
      <c r="H1562" s="9">
        <f>SUM(E1562+N1562)</f>
        <v/>
      </c>
      <c r="I1562" s="10" t="inlineStr">
        <is>
          <t>บจก. วีที คัลเลอร์ โปร</t>
        </is>
      </c>
      <c r="J1562" s="161" t="n">
        <v>25189</v>
      </c>
      <c r="K1562" s="8" t="inlineStr">
        <is>
          <t>IV6812124</t>
        </is>
      </c>
      <c r="N1562" s="6">
        <f>SUM(E1562*F1562)</f>
        <v/>
      </c>
    </row>
    <row r="1564">
      <c r="B1564" s="6" t="inlineStr">
        <is>
          <t>ฮาร์ดเดนเนอร์ LEZZON 162</t>
        </is>
      </c>
      <c r="C1564" s="8" t="inlineStr">
        <is>
          <t>20หลอด</t>
        </is>
      </c>
      <c r="D1564" s="9" t="n">
        <v>40</v>
      </c>
      <c r="H1564" s="9" t="n">
        <v>800</v>
      </c>
      <c r="I1564" s="10" t="inlineStr">
        <is>
          <t>บจก. วีที คัลเลอร์ โปร</t>
        </is>
      </c>
      <c r="J1564" s="161" t="n">
        <v>24005</v>
      </c>
      <c r="K1564" s="8" t="inlineStr">
        <is>
          <t>IV183-65</t>
        </is>
      </c>
      <c r="L1564" s="8" t="inlineStr">
        <is>
          <t>ราคาที่ลง ยังไม่รวมภาษี</t>
        </is>
      </c>
    </row>
    <row r="1565">
      <c r="B1565" s="6" t="inlineStr">
        <is>
          <t>ฮาร์ดเดนเนอร์ LEZZON 162</t>
        </is>
      </c>
      <c r="C1565" s="8" t="inlineStr">
        <is>
          <t>20หลอด</t>
        </is>
      </c>
      <c r="D1565" s="9" t="n">
        <v>40</v>
      </c>
      <c r="H1565" s="9" t="n">
        <v>800</v>
      </c>
      <c r="I1565" s="10" t="inlineStr">
        <is>
          <t>บจก. วีที คัลเลอร์ โปร</t>
        </is>
      </c>
      <c r="J1565" s="161" t="n">
        <v>24040</v>
      </c>
      <c r="K1565" s="8" t="inlineStr">
        <is>
          <t>IV227-65</t>
        </is>
      </c>
      <c r="L1565" s="8" t="inlineStr">
        <is>
          <t>ราคาที่ลง ยังไม่รวมภาษี</t>
        </is>
      </c>
    </row>
    <row r="1566">
      <c r="B1566" s="6" t="inlineStr">
        <is>
          <t>ฮาร์ดเดนเนอร์ LEZZON 162</t>
        </is>
      </c>
      <c r="C1566" s="8" t="inlineStr">
        <is>
          <t>20หลอด</t>
        </is>
      </c>
      <c r="D1566" s="9" t="n">
        <v>40</v>
      </c>
      <c r="H1566" s="9" t="n">
        <v>800</v>
      </c>
      <c r="I1566" s="10" t="inlineStr">
        <is>
          <t>บจก. วีที คัลเลอร์ โปร</t>
        </is>
      </c>
      <c r="J1566" s="161" t="n">
        <v>24069</v>
      </c>
      <c r="K1566" s="8" t="inlineStr">
        <is>
          <t>IV275-65</t>
        </is>
      </c>
      <c r="L1566" s="8" t="inlineStr">
        <is>
          <t>ราคาที่ลง ยังไม่รวมภาษี</t>
        </is>
      </c>
    </row>
    <row r="1567">
      <c r="B1567" s="6" t="inlineStr">
        <is>
          <t>ฮาร์ดเดนเนอร์ LEZZON 162</t>
        </is>
      </c>
      <c r="C1567" s="8" t="inlineStr">
        <is>
          <t>20หลอด</t>
        </is>
      </c>
      <c r="D1567" s="9" t="n">
        <v>40</v>
      </c>
      <c r="H1567" s="9" t="n">
        <v>800</v>
      </c>
      <c r="I1567" s="10" t="inlineStr">
        <is>
          <t>บจก. วีที คัลเลอร์ โปร</t>
        </is>
      </c>
      <c r="J1567" s="161" t="n">
        <v>24095</v>
      </c>
      <c r="K1567" s="8" t="inlineStr">
        <is>
          <t>IV318-65</t>
        </is>
      </c>
      <c r="L1567" s="8" t="inlineStr">
        <is>
          <t>ราคาที่ลง ยังไม่รวมภาษี</t>
        </is>
      </c>
    </row>
    <row r="1568">
      <c r="B1568" s="6" t="inlineStr">
        <is>
          <t>ฮาร์ดเดนเนอร์ LEZZON 162</t>
        </is>
      </c>
      <c r="C1568" s="8" t="inlineStr">
        <is>
          <t>20หลอด</t>
        </is>
      </c>
      <c r="D1568" s="9" t="n">
        <v>40</v>
      </c>
      <c r="H1568" s="9" t="n">
        <v>800</v>
      </c>
      <c r="I1568" s="10" t="inlineStr">
        <is>
          <t>บจก. วีที คัลเลอร์ โปร</t>
        </is>
      </c>
      <c r="J1568" s="161" t="n">
        <v>24127</v>
      </c>
      <c r="K1568" s="8" t="inlineStr">
        <is>
          <t>IV042-66</t>
        </is>
      </c>
      <c r="L1568" s="8" t="inlineStr">
        <is>
          <t>ราคาที่ลง ยังไม่รวมภาษี</t>
        </is>
      </c>
    </row>
    <row r="1569">
      <c r="B1569" s="6" t="inlineStr">
        <is>
          <t>ฮาร์ดเดนเนอร์ LEZZON 162</t>
        </is>
      </c>
      <c r="C1569" s="8" t="inlineStr">
        <is>
          <t>20หลอด</t>
        </is>
      </c>
      <c r="D1569" s="9" t="n">
        <v>40</v>
      </c>
      <c r="H1569" s="9" t="n">
        <v>800</v>
      </c>
      <c r="I1569" s="10" t="inlineStr">
        <is>
          <t>บจก. วีที คัลเลอร์ โปร</t>
        </is>
      </c>
      <c r="J1569" s="161" t="n">
        <v>24160</v>
      </c>
      <c r="K1569" s="8" t="inlineStr">
        <is>
          <t>IV114-66</t>
        </is>
      </c>
      <c r="L1569" s="8" t="inlineStr">
        <is>
          <t>ราคาที่ลง ยังไม่รวมภาษี</t>
        </is>
      </c>
    </row>
    <row r="1570">
      <c r="B1570" s="6" t="inlineStr">
        <is>
          <t>ฮาร์ดเดนเนอร์ LEZZON 162</t>
        </is>
      </c>
      <c r="C1570" s="8" t="inlineStr">
        <is>
          <t>20หลอด</t>
        </is>
      </c>
      <c r="D1570" s="9" t="n">
        <v>40</v>
      </c>
      <c r="H1570" s="9" t="n">
        <v>800</v>
      </c>
      <c r="I1570" s="10" t="inlineStr">
        <is>
          <t>บจก. วีที คัลเลอร์ โปร</t>
        </is>
      </c>
      <c r="J1570" s="161" t="n">
        <v>24189</v>
      </c>
      <c r="K1570" s="8" t="inlineStr">
        <is>
          <t>IV177-66</t>
        </is>
      </c>
      <c r="L1570" s="8" t="inlineStr">
        <is>
          <t>ราคาที่ลง ยังไม่รวมภาษี</t>
        </is>
      </c>
    </row>
    <row r="1571">
      <c r="B1571" s="6" t="inlineStr">
        <is>
          <t>ฮาร์ดเดนเนอร์ LEZZON 162</t>
        </is>
      </c>
      <c r="C1571" s="8" t="inlineStr">
        <is>
          <t>20หลอด</t>
        </is>
      </c>
      <c r="D1571" s="9" t="n">
        <v>40</v>
      </c>
      <c r="H1571" s="9" t="n">
        <v>800</v>
      </c>
      <c r="I1571" s="10" t="inlineStr">
        <is>
          <t>บจก. วีที คัลเลอร์ โปร</t>
        </is>
      </c>
      <c r="J1571" s="161" t="n">
        <v>24221</v>
      </c>
      <c r="K1571" s="8" t="inlineStr">
        <is>
          <t>IV226-66</t>
        </is>
      </c>
      <c r="L1571" s="8" t="inlineStr">
        <is>
          <t>ราคาที่ลง ยังไม่รวมภาษี</t>
        </is>
      </c>
    </row>
    <row r="1572">
      <c r="B1572" s="6" t="inlineStr">
        <is>
          <t>ฮาร์ดเดนเนอร์ LEZZON 162</t>
        </is>
      </c>
      <c r="C1572" s="8" t="inlineStr">
        <is>
          <t>20หลอด</t>
        </is>
      </c>
      <c r="D1572" s="9" t="n">
        <v>40</v>
      </c>
      <c r="H1572" s="9" t="n">
        <v>800</v>
      </c>
      <c r="I1572" s="10" t="inlineStr">
        <is>
          <t>บจก. วีที คัลเลอร์ โปร</t>
        </is>
      </c>
      <c r="J1572" s="161" t="n">
        <v>24282</v>
      </c>
      <c r="K1572" s="8" t="inlineStr">
        <is>
          <t>IV354-66</t>
        </is>
      </c>
      <c r="L1572" s="8" t="inlineStr">
        <is>
          <t>ราคาที่ลง ยังไม่รวมภาษี</t>
        </is>
      </c>
    </row>
    <row r="1573">
      <c r="B1573" s="6" t="inlineStr">
        <is>
          <t>ฮาร์ดเดนเนอร์ LEZZON 162</t>
        </is>
      </c>
      <c r="C1573" s="8" t="inlineStr">
        <is>
          <t>28หลอด</t>
        </is>
      </c>
      <c r="D1573" s="9" t="n">
        <v>40</v>
      </c>
      <c r="H1573" s="9" t="n">
        <v>1120</v>
      </c>
      <c r="I1573" s="10" t="inlineStr">
        <is>
          <t>บจก. วีที คัลเลอร์ โปร</t>
        </is>
      </c>
      <c r="J1573" s="161" t="n">
        <v>24315</v>
      </c>
      <c r="K1573" s="8" t="inlineStr">
        <is>
          <t>IV425-66</t>
        </is>
      </c>
      <c r="L1573" s="8" t="inlineStr">
        <is>
          <t>ราคาที่ลง ยังไม่รวมภาษี</t>
        </is>
      </c>
    </row>
    <row r="1574">
      <c r="B1574" s="6" t="inlineStr">
        <is>
          <t>ฮาร์ดเดนเนอร์ LEZZON 162</t>
        </is>
      </c>
      <c r="C1574" s="8" t="n">
        <v>20</v>
      </c>
      <c r="D1574" s="9" t="n">
        <v>40</v>
      </c>
      <c r="H1574" s="9">
        <f>SUM(D1574*C1574)</f>
        <v/>
      </c>
      <c r="I1574" s="10" t="inlineStr">
        <is>
          <t>บจก. วีที คัลเลอร์ โปร</t>
        </is>
      </c>
      <c r="J1574" s="161" t="n">
        <v>24340</v>
      </c>
      <c r="K1574" s="8" t="inlineStr">
        <is>
          <t>IV470-66</t>
        </is>
      </c>
      <c r="L1574" s="8" t="inlineStr">
        <is>
          <t>ราคาที่ลง ยังไม่รวมภาษี</t>
        </is>
      </c>
    </row>
    <row r="1575">
      <c r="B1575" s="6" t="inlineStr">
        <is>
          <t>ฮาร์ดเดนเนอร์ LEZZON 162</t>
        </is>
      </c>
      <c r="C1575" s="8" t="n">
        <v>20</v>
      </c>
      <c r="D1575" s="9" t="n">
        <v>40</v>
      </c>
      <c r="H1575" s="9">
        <f>SUM(D1575*C1575)</f>
        <v/>
      </c>
      <c r="I1575" s="10" t="inlineStr">
        <is>
          <t>บจก. วีที คัลเลอร์ โปร</t>
        </is>
      </c>
      <c r="J1575" s="161" t="n">
        <v>24372</v>
      </c>
      <c r="K1575" s="8" t="inlineStr">
        <is>
          <t>IV542-66</t>
        </is>
      </c>
      <c r="L1575" s="8" t="inlineStr">
        <is>
          <t>ราคาที่ลง ยังไม่รวมภาษี</t>
        </is>
      </c>
    </row>
    <row r="1576">
      <c r="B1576" s="6" t="inlineStr">
        <is>
          <t>ฮาร์ดเดนเนอร์ LEZZON 162</t>
        </is>
      </c>
      <c r="C1576" s="8" t="n">
        <v>20</v>
      </c>
      <c r="D1576" s="9" t="n">
        <v>40</v>
      </c>
      <c r="H1576" s="9">
        <f>SUM(D1576*C1576)</f>
        <v/>
      </c>
      <c r="I1576" s="10" t="inlineStr">
        <is>
          <t>บจก. วีที คัลเลอร์ โปร</t>
        </is>
      </c>
      <c r="J1576" s="161" t="n">
        <v>24401</v>
      </c>
      <c r="K1576" s="8" t="inlineStr">
        <is>
          <t>IV685-66</t>
        </is>
      </c>
      <c r="L1576" s="8" t="inlineStr">
        <is>
          <t>ราคาที่ลง ยังไม่รวมภาษี</t>
        </is>
      </c>
    </row>
    <row r="1577">
      <c r="B1577" s="6" t="inlineStr">
        <is>
          <t>ฮาร์ดเดนเนอร์ LEZZON 162</t>
        </is>
      </c>
      <c r="C1577" s="8" t="n">
        <v>20</v>
      </c>
      <c r="D1577" s="9" t="n">
        <v>40</v>
      </c>
      <c r="H1577" s="9">
        <f>SUM(D1577*C1577)</f>
        <v/>
      </c>
      <c r="I1577" s="10" t="inlineStr">
        <is>
          <t>บจก. วีที คัลเลอร์ โปร</t>
        </is>
      </c>
      <c r="J1577" s="161" t="n">
        <v>24404</v>
      </c>
      <c r="K1577" s="8" t="inlineStr">
        <is>
          <t>IV620-66</t>
        </is>
      </c>
      <c r="L1577" s="8" t="inlineStr">
        <is>
          <t>ราคาที่ลง ยังไม่รวมภาษี</t>
        </is>
      </c>
    </row>
    <row r="1578">
      <c r="B1578" s="6" t="inlineStr">
        <is>
          <t>ฮาร์ดเดนเนอร์ LEZZON 162</t>
        </is>
      </c>
      <c r="C1578" s="8" t="n">
        <v>20</v>
      </c>
      <c r="D1578" s="9" t="n">
        <v>40</v>
      </c>
      <c r="H1578" s="9">
        <f>SUM(D1578*C1578)</f>
        <v/>
      </c>
      <c r="I1578" s="10" t="inlineStr">
        <is>
          <t>บจก. วีที คัลเลอร์ โปร</t>
        </is>
      </c>
      <c r="J1578" s="161" t="n">
        <v>24462</v>
      </c>
      <c r="K1578" s="8" t="inlineStr">
        <is>
          <t>IV764-66</t>
        </is>
      </c>
      <c r="L1578" s="8" t="inlineStr">
        <is>
          <t>ราคาที่ลง ยังไม่รวมภาษี</t>
        </is>
      </c>
    </row>
    <row r="1579">
      <c r="B1579" s="6" t="inlineStr">
        <is>
          <t>ฮาร์ดเดนเนอร์ LEZZON 162 (ขนาด50กรัม)</t>
        </is>
      </c>
      <c r="C1579" s="8" t="n">
        <v>40</v>
      </c>
      <c r="D1579" s="9" t="n">
        <v>20</v>
      </c>
      <c r="H1579" s="9">
        <f>SUM(D1579*C1579)</f>
        <v/>
      </c>
      <c r="I1579" s="10" t="inlineStr">
        <is>
          <t>บจก. วีที คัลเลอร์ โปร</t>
        </is>
      </c>
      <c r="J1579" s="161" t="n">
        <v>24496</v>
      </c>
      <c r="K1579" s="8" t="inlineStr">
        <is>
          <t>IV6701080</t>
        </is>
      </c>
      <c r="L1579" s="8" t="inlineStr">
        <is>
          <t>ราคาที่ลง ยังไม่รวมภาษี</t>
        </is>
      </c>
    </row>
    <row r="1580">
      <c r="B1580" s="6" t="inlineStr">
        <is>
          <t>ฮาร์ดเดนเนอร์ LEZZON 162</t>
        </is>
      </c>
      <c r="C1580" s="8" t="n">
        <v>20</v>
      </c>
      <c r="D1580" s="9" t="n">
        <v>40</v>
      </c>
      <c r="H1580" s="9">
        <f>SUM(D1580*C1580)</f>
        <v/>
      </c>
      <c r="I1580" s="10" t="inlineStr">
        <is>
          <t>บจก. วีที คัลเลอร์ โปร</t>
        </is>
      </c>
      <c r="J1580" s="161" t="n">
        <v>24529</v>
      </c>
      <c r="K1580" s="8" t="inlineStr">
        <is>
          <t>IV6702104</t>
        </is>
      </c>
      <c r="L1580" s="8" t="inlineStr">
        <is>
          <t>ราคาที่ลง ยังไม่รวมภาษี</t>
        </is>
      </c>
    </row>
    <row r="1581">
      <c r="B1581" s="6" t="inlineStr">
        <is>
          <t>ฮาร์ดเดนเนอร์ LEZZON 162</t>
        </is>
      </c>
      <c r="C1581" s="8" t="n">
        <v>20</v>
      </c>
      <c r="D1581" s="9" t="n">
        <v>40</v>
      </c>
      <c r="H1581" s="9">
        <f>SUM(D1581*C1581)</f>
        <v/>
      </c>
      <c r="I1581" s="10" t="inlineStr">
        <is>
          <t>บจก. วีที คัลเลอร์ โปร</t>
        </is>
      </c>
      <c r="J1581" s="161" t="n">
        <v>24550</v>
      </c>
      <c r="K1581" s="8" t="inlineStr">
        <is>
          <t>IV6703087</t>
        </is>
      </c>
      <c r="L1581" s="8" t="inlineStr">
        <is>
          <t>ราคาที่ลง ยังไม่รวมภาษี</t>
        </is>
      </c>
    </row>
    <row r="1582">
      <c r="B1582" s="6" t="inlineStr">
        <is>
          <t>ฮาร์ดเดนเนอร์ LEZZON 162</t>
        </is>
      </c>
      <c r="C1582" s="8" t="n">
        <v>20</v>
      </c>
      <c r="D1582" s="9" t="n">
        <v>40</v>
      </c>
      <c r="H1582" s="9">
        <f>SUM(D1582*C1582)</f>
        <v/>
      </c>
      <c r="I1582" s="10" t="inlineStr">
        <is>
          <t>บจก. วีที คัลเลอร์ โปร</t>
        </is>
      </c>
      <c r="J1582" s="161" t="n">
        <v>24584</v>
      </c>
      <c r="K1582" s="8" t="inlineStr">
        <is>
          <t>IV6704071</t>
        </is>
      </c>
      <c r="L1582" s="8" t="inlineStr">
        <is>
          <t>ราคาที่ลง ยังไม่รวมภาษี</t>
        </is>
      </c>
    </row>
    <row r="1583">
      <c r="B1583" s="6" t="inlineStr">
        <is>
          <t>ฮาร์ดเดนเนอร์ LEZZON 162</t>
        </is>
      </c>
      <c r="C1583" s="8" t="n">
        <v>20</v>
      </c>
      <c r="D1583" s="9" t="n">
        <v>40</v>
      </c>
      <c r="H1583" s="9">
        <f>SUM(D1583*C1583)</f>
        <v/>
      </c>
      <c r="I1583" s="10" t="inlineStr">
        <is>
          <t>บจก. วีที คัลเลอร์ โปร</t>
        </is>
      </c>
      <c r="J1583" s="161" t="n">
        <v>24613</v>
      </c>
      <c r="K1583" s="8" t="inlineStr">
        <is>
          <t>IV6705105</t>
        </is>
      </c>
      <c r="L1583" s="8" t="inlineStr">
        <is>
          <t>ราคาที่ลง ยังไม่รวมภาษี</t>
        </is>
      </c>
    </row>
    <row r="1584">
      <c r="B1584" s="6" t="inlineStr">
        <is>
          <t>ฮาร์ดเดนเนอร์ LEZZON 162</t>
        </is>
      </c>
      <c r="C1584" s="8" t="n">
        <v>20</v>
      </c>
      <c r="D1584" s="9" t="n">
        <v>40</v>
      </c>
      <c r="H1584" s="9">
        <f>SUM(D1584*C1584)</f>
        <v/>
      </c>
      <c r="I1584" s="10" t="inlineStr">
        <is>
          <t>บจก. วีที คัลเลอร์ โปร</t>
        </is>
      </c>
      <c r="J1584" s="161" t="n">
        <v>24644</v>
      </c>
      <c r="K1584" s="8" t="inlineStr">
        <is>
          <t>IV6706124</t>
        </is>
      </c>
      <c r="L1584" s="8" t="inlineStr">
        <is>
          <t>ราคาที่ลง ยังไม่รวมภาษี</t>
        </is>
      </c>
    </row>
    <row r="1585">
      <c r="B1585" s="6" t="inlineStr">
        <is>
          <t>ฮาร์ดเดนเนอร์ LEZZON 162</t>
        </is>
      </c>
      <c r="C1585" s="8" t="n">
        <v>20</v>
      </c>
      <c r="D1585" s="9" t="n">
        <v>40</v>
      </c>
      <c r="H1585" s="9">
        <f>SUM(D1585*C1585)</f>
        <v/>
      </c>
      <c r="I1585" s="10" t="inlineStr">
        <is>
          <t>บจก. วีที คัลเลอร์ โปร</t>
        </is>
      </c>
      <c r="J1585" s="161" t="n">
        <v>24676</v>
      </c>
      <c r="K1585" s="8" t="inlineStr">
        <is>
          <t>IV6707131</t>
        </is>
      </c>
      <c r="L1585" s="8" t="inlineStr">
        <is>
          <t>ราคาที่ลง ยังไม่รวมภาษี</t>
        </is>
      </c>
    </row>
    <row r="1586">
      <c r="B1586" s="6" t="inlineStr">
        <is>
          <t>ฮาร์ดเดนเนอร์ LEZZON 162</t>
        </is>
      </c>
      <c r="C1586" s="8" t="n">
        <v>20</v>
      </c>
      <c r="D1586" s="9" t="n">
        <v>40</v>
      </c>
      <c r="H1586" s="9">
        <f>SUM(D1586*C1586)</f>
        <v/>
      </c>
      <c r="I1586" s="10" t="inlineStr">
        <is>
          <t>บจก. วีที คัลเลอร์ โปร</t>
        </is>
      </c>
      <c r="J1586" s="161" t="n">
        <v>24707</v>
      </c>
      <c r="K1586" s="8" t="inlineStr">
        <is>
          <t>IV6708117</t>
        </is>
      </c>
      <c r="L1586" s="8" t="inlineStr">
        <is>
          <t>ราคาที่ลง ยังไม่รวมภาษี</t>
        </is>
      </c>
    </row>
    <row r="1587">
      <c r="B1587" s="6" t="inlineStr">
        <is>
          <t>ฮาร์ดเดนเนอร์ LEZZON 162</t>
        </is>
      </c>
      <c r="C1587" s="8" t="n">
        <v>20</v>
      </c>
      <c r="D1587" s="9" t="n">
        <v>40</v>
      </c>
      <c r="H1587" s="9">
        <f>SUM(D1587*C1587)</f>
        <v/>
      </c>
      <c r="I1587" s="10" t="inlineStr">
        <is>
          <t>บจก. วีที คัลเลอร์ โปร</t>
        </is>
      </c>
      <c r="J1587" s="161" t="n">
        <v>24739</v>
      </c>
      <c r="K1587" s="8" t="inlineStr">
        <is>
          <t>IV6709123</t>
        </is>
      </c>
      <c r="L1587" s="8" t="inlineStr">
        <is>
          <t>ราคาที่ลง ยังไม่รวมภาษี</t>
        </is>
      </c>
    </row>
    <row r="1588">
      <c r="B1588" s="6" t="inlineStr">
        <is>
          <t>ฮาร์ดเดนเนอร์ LEZZON 162</t>
        </is>
      </c>
      <c r="C1588" s="8" t="n">
        <v>20</v>
      </c>
      <c r="D1588" s="9" t="n">
        <v>40</v>
      </c>
      <c r="H1588" s="9">
        <f>SUM(D1588*C1588)</f>
        <v/>
      </c>
      <c r="I1588" s="10" t="inlineStr">
        <is>
          <t>บจก. วีที คัลเลอร์ โปร</t>
        </is>
      </c>
      <c r="J1588" s="161" t="n">
        <v>24766</v>
      </c>
      <c r="K1588" s="8" t="inlineStr">
        <is>
          <t>IV6710109</t>
        </is>
      </c>
      <c r="L1588" s="8" t="inlineStr">
        <is>
          <t>ราคาที่ลง ยังไม่รวมภาษี</t>
        </is>
      </c>
    </row>
    <row r="1589">
      <c r="B1589" s="6" t="inlineStr">
        <is>
          <t>ฮาร์ดเดนเนอร์ LEZZON 162</t>
        </is>
      </c>
      <c r="C1589" s="8" t="n">
        <v>20</v>
      </c>
      <c r="D1589" s="9" t="n">
        <v>40</v>
      </c>
      <c r="H1589" s="9">
        <f>SUM(D1589*C1589)</f>
        <v/>
      </c>
      <c r="I1589" s="10" t="inlineStr">
        <is>
          <t>บจก. วีที คัลเลอร์ โปร</t>
        </is>
      </c>
      <c r="J1589" s="161" t="n">
        <v>24795</v>
      </c>
      <c r="K1589" s="8" t="inlineStr">
        <is>
          <t>IV6711104</t>
        </is>
      </c>
      <c r="L1589" s="8" t="inlineStr">
        <is>
          <t>ราคาที่ลง ยังไม่รวมภาษี</t>
        </is>
      </c>
    </row>
    <row r="1590">
      <c r="B1590" s="6" t="inlineStr">
        <is>
          <t>ฮาร์ดเดนเนอร์ LEZZON 162</t>
        </is>
      </c>
      <c r="C1590" s="8" t="n">
        <v>20</v>
      </c>
      <c r="D1590" s="9" t="n">
        <v>40</v>
      </c>
      <c r="H1590" s="9">
        <f>SUM(D1590*C1590)</f>
        <v/>
      </c>
      <c r="I1590" s="10" t="inlineStr">
        <is>
          <t>บจก. วีที คัลเลอร์ โปร</t>
        </is>
      </c>
      <c r="J1590" s="161" t="n">
        <v>24824</v>
      </c>
      <c r="K1590" s="8" t="inlineStr">
        <is>
          <t>IV6712085</t>
        </is>
      </c>
      <c r="L1590" s="8" t="inlineStr">
        <is>
          <t>ราคาที่ลง ยังไม่รวมภาษี</t>
        </is>
      </c>
    </row>
    <row r="1591">
      <c r="B1591" s="6" t="inlineStr">
        <is>
          <t>ฮาร์ดเดนเนอร์ LEZZON 162</t>
        </is>
      </c>
      <c r="C1591" s="8" t="n">
        <v>20</v>
      </c>
      <c r="D1591" s="9" t="n">
        <v>42.8</v>
      </c>
      <c r="H1591" s="9">
        <f>SUM(D1591*C1591)</f>
        <v/>
      </c>
      <c r="I1591" s="10" t="inlineStr">
        <is>
          <t>บจก. วีที คัลเลอร์ โปร</t>
        </is>
      </c>
      <c r="J1591" s="161" t="n">
        <v>24858</v>
      </c>
      <c r="K1591" s="8" t="inlineStr">
        <is>
          <t>IV6801106</t>
        </is>
      </c>
      <c r="L1591" s="8" t="inlineStr">
        <is>
          <t>ราคารวม VAT แล้ว</t>
        </is>
      </c>
    </row>
    <row r="1592">
      <c r="B1592" s="6" t="inlineStr">
        <is>
          <t>ฮาร์ดเดนเนอร์ LEZZON 162</t>
        </is>
      </c>
      <c r="C1592" s="8" t="n">
        <v>20</v>
      </c>
      <c r="D1592" s="9" t="n">
        <v>42.8</v>
      </c>
      <c r="H1592" s="9">
        <f>SUM(D1592*C1592)</f>
        <v/>
      </c>
      <c r="I1592" s="10" t="inlineStr">
        <is>
          <t>บจก. วีที คัลเลอร์ โปร</t>
        </is>
      </c>
      <c r="J1592" s="161" t="n">
        <v>24892</v>
      </c>
      <c r="K1592" s="8" t="inlineStr">
        <is>
          <t>IV6802145</t>
        </is>
      </c>
      <c r="L1592" s="8" t="inlineStr">
        <is>
          <t>ราคารวม VAT แล้ว</t>
        </is>
      </c>
    </row>
    <row r="1593">
      <c r="B1593" s="6" t="inlineStr">
        <is>
          <t>ฮาร์ดเดนเนอร์ LEZZON 162</t>
        </is>
      </c>
      <c r="C1593" s="8" t="n">
        <v>20</v>
      </c>
      <c r="D1593" s="9" t="n">
        <v>42.8</v>
      </c>
      <c r="H1593" s="9">
        <f>SUM(D1593*C1593)</f>
        <v/>
      </c>
      <c r="I1593" s="10" t="inlineStr">
        <is>
          <t>บจก. วีที คัลเลอร์ โปร</t>
        </is>
      </c>
      <c r="J1593" s="161" t="n">
        <v>24923</v>
      </c>
      <c r="K1593" s="8" t="inlineStr">
        <is>
          <t>IV6803172</t>
        </is>
      </c>
      <c r="L1593" s="8" t="inlineStr">
        <is>
          <t>ราคารวม VAT แล้ว</t>
        </is>
      </c>
    </row>
    <row r="1594">
      <c r="B1594" s="6" t="inlineStr">
        <is>
          <t>ฮาร์ดเดนเนอร์ LEZZON 162</t>
        </is>
      </c>
      <c r="C1594" s="8" t="n">
        <v>20</v>
      </c>
      <c r="D1594" s="9" t="n">
        <v>40</v>
      </c>
      <c r="E1594" s="9">
        <f>SUM(D1594*C1594)</f>
        <v/>
      </c>
      <c r="F1594" s="8" t="n">
        <v>0.07000000000000001</v>
      </c>
      <c r="G1594" s="10" t="inlineStr">
        <is>
          <t>รวม VAT =</t>
        </is>
      </c>
      <c r="H1594" s="9">
        <f>SUM(E1594+N1594)</f>
        <v/>
      </c>
      <c r="I1594" s="10" t="inlineStr">
        <is>
          <t>บจก. วีที คัลเลอร์ โปร</t>
        </is>
      </c>
      <c r="J1594" s="161" t="n">
        <v>25002</v>
      </c>
      <c r="K1594" s="8" t="inlineStr">
        <is>
          <t>IV6806091</t>
        </is>
      </c>
      <c r="N1594" s="6">
        <f>SUM(E1594*F1594)</f>
        <v/>
      </c>
    </row>
    <row r="1595">
      <c r="B1595" s="6" t="inlineStr">
        <is>
          <t>ฮาร์ดเดนเนอร์ LEZZON 162</t>
        </is>
      </c>
      <c r="C1595" s="8" t="n">
        <v>20</v>
      </c>
      <c r="D1595" s="9" t="n">
        <v>40</v>
      </c>
      <c r="E1595" s="9">
        <f>SUM(D1595*C1595)</f>
        <v/>
      </c>
      <c r="F1595" s="8" t="n">
        <v>0.07000000000000001</v>
      </c>
      <c r="G1595" s="10" t="inlineStr">
        <is>
          <t>รวม VAT =</t>
        </is>
      </c>
      <c r="H1595" s="9">
        <f>SUM(E1595+N1595)</f>
        <v/>
      </c>
      <c r="I1595" s="10" t="inlineStr">
        <is>
          <t>บจก. วีที คัลเลอร์ โปร</t>
        </is>
      </c>
      <c r="J1595" s="161" t="n">
        <v>25015</v>
      </c>
      <c r="K1595" s="8" t="inlineStr">
        <is>
          <t>IV6806175</t>
        </is>
      </c>
      <c r="N1595" s="6">
        <f>SUM(E1595*F1595)</f>
        <v/>
      </c>
    </row>
    <row r="1596">
      <c r="B1596" s="6" t="inlineStr">
        <is>
          <t>ฮาร์ดเดนเนอร์ LEZZON 162</t>
        </is>
      </c>
      <c r="C1596" s="8" t="n">
        <v>20</v>
      </c>
      <c r="D1596" s="9" t="n">
        <v>40</v>
      </c>
      <c r="E1596" s="9">
        <f>SUM(D1596*C1596)</f>
        <v/>
      </c>
      <c r="F1596" s="8" t="n">
        <v>0.07000000000000001</v>
      </c>
      <c r="G1596" s="10" t="inlineStr">
        <is>
          <t>รวม VAT =</t>
        </is>
      </c>
      <c r="H1596" s="9">
        <f>SUM(E1596+N1596)</f>
        <v/>
      </c>
      <c r="I1596" s="10" t="inlineStr">
        <is>
          <t>บจก. วีที คัลเลอร์ โปร</t>
        </is>
      </c>
      <c r="J1596" s="161" t="n">
        <v>25040</v>
      </c>
      <c r="K1596" s="8" t="inlineStr">
        <is>
          <t>IV6807158</t>
        </is>
      </c>
      <c r="N1596" s="6">
        <f>SUM(E1596*F1596)</f>
        <v/>
      </c>
    </row>
    <row r="1597">
      <c r="B1597" s="6" t="inlineStr">
        <is>
          <t>ฮาร์ดเดนเนอร์ LEZZON 162</t>
        </is>
      </c>
      <c r="C1597" s="8" t="n">
        <v>12</v>
      </c>
      <c r="D1597" s="9" t="n">
        <v>40</v>
      </c>
      <c r="E1597" s="9">
        <f>SUM(D1597*C1597)</f>
        <v/>
      </c>
      <c r="F1597" s="8" t="n">
        <v>0.07000000000000001</v>
      </c>
      <c r="G1597" s="10" t="inlineStr">
        <is>
          <t>รวม VAT =</t>
        </is>
      </c>
      <c r="H1597" s="9">
        <f>SUM(E1597+N1597)</f>
        <v/>
      </c>
      <c r="I1597" s="10" t="inlineStr">
        <is>
          <t>บจก. วีที คัลเลอร์ โปร</t>
        </is>
      </c>
      <c r="J1597" s="161" t="n">
        <v>25069</v>
      </c>
      <c r="K1597" s="8" t="inlineStr">
        <is>
          <t>IV6808112</t>
        </is>
      </c>
      <c r="N1597" s="6">
        <f>SUM(E1597*F1597)</f>
        <v/>
      </c>
    </row>
    <row r="1598">
      <c r="B1598" s="6" t="inlineStr">
        <is>
          <t>ฮาร์ดเดนเนอร์ LEZZON 162</t>
        </is>
      </c>
      <c r="C1598" s="8" t="n">
        <v>20</v>
      </c>
      <c r="D1598" s="9" t="n">
        <v>40</v>
      </c>
      <c r="E1598" s="9">
        <f>SUM(D1598*C1598)</f>
        <v/>
      </c>
      <c r="F1598" s="8" t="n">
        <v>0.07000000000000001</v>
      </c>
      <c r="G1598" s="10" t="inlineStr">
        <is>
          <t>รวม VAT =</t>
        </is>
      </c>
      <c r="H1598" s="9">
        <f>SUM(E1598+N1598)</f>
        <v/>
      </c>
      <c r="I1598" s="10" t="inlineStr">
        <is>
          <t>บจก. วีที คัลเลอร์ โปร</t>
        </is>
      </c>
      <c r="J1598" s="161" t="n">
        <v>25098</v>
      </c>
      <c r="K1598" s="8" t="inlineStr">
        <is>
          <t>IV6809124</t>
        </is>
      </c>
      <c r="N1598" s="6">
        <f>SUM(E1598*F1598)</f>
        <v/>
      </c>
    </row>
    <row r="1599">
      <c r="A1599" s="70" t="n"/>
      <c r="B1599" s="6" t="inlineStr">
        <is>
          <t>ฮาร์ดเดนเนอร์ LEZZON 162</t>
        </is>
      </c>
      <c r="C1599" s="8" t="n">
        <v>24</v>
      </c>
      <c r="D1599" s="9" t="n">
        <v>40</v>
      </c>
      <c r="E1599" s="9">
        <f>SUM(C1599*D1599)</f>
        <v/>
      </c>
      <c r="H1599" s="9">
        <f>SUM(E1599*107/100)</f>
        <v/>
      </c>
      <c r="I1599" s="10" t="inlineStr">
        <is>
          <t>บจก. วีที คัลเลอร์ โปร</t>
        </is>
      </c>
      <c r="J1599" s="161" t="n">
        <v>25135</v>
      </c>
      <c r="K1599" s="8" t="inlineStr">
        <is>
          <t>IV6810152</t>
        </is>
      </c>
      <c r="L1599" s="8" t="inlineStr">
        <is>
          <t>ราคาที่ลง ยังไม่รวมภาษี</t>
        </is>
      </c>
    </row>
    <row r="1600">
      <c r="B1600" s="6" t="inlineStr">
        <is>
          <t>ฮาร์ดเดนเนอร์ LEZZON 162</t>
        </is>
      </c>
      <c r="C1600" s="8" t="n">
        <v>24</v>
      </c>
      <c r="D1600" s="9" t="n">
        <v>40</v>
      </c>
      <c r="E1600" s="9">
        <f>SUM(D1600*C1600)</f>
        <v/>
      </c>
      <c r="F1600" s="8" t="n">
        <v>0.07000000000000001</v>
      </c>
      <c r="G1600" s="10" t="inlineStr">
        <is>
          <t>ยอดรวม VAT =</t>
        </is>
      </c>
      <c r="H1600" s="9">
        <f>SUM(E1600+N1600)</f>
        <v/>
      </c>
      <c r="I1600" s="10" t="inlineStr">
        <is>
          <t>บจก. วีที คัลเลอร์ โปร</t>
        </is>
      </c>
      <c r="J1600" s="161" t="n">
        <v>25189</v>
      </c>
      <c r="K1600" s="8" t="inlineStr">
        <is>
          <t>IV6812124</t>
        </is>
      </c>
      <c r="N1600" s="6">
        <f>SUM(E1600*F1600)</f>
        <v/>
      </c>
    </row>
    <row r="1602">
      <c r="B1602" s="6" t="inlineStr">
        <is>
          <t>ฮาร์ดเดนเนอร์ LEZZON 4122</t>
        </is>
      </c>
      <c r="C1602" s="8" t="n">
        <v>12</v>
      </c>
      <c r="D1602" s="9" t="n">
        <v>220</v>
      </c>
      <c r="E1602" s="9">
        <f>SUM(C1602*D1602)</f>
        <v/>
      </c>
      <c r="H1602" s="9">
        <f>SUM(E1602*O1602/N1602)</f>
        <v/>
      </c>
      <c r="I1602" s="10" t="inlineStr">
        <is>
          <t>บจก. วีที คัลเลอร์ โปร</t>
        </is>
      </c>
      <c r="J1602" s="161" t="n">
        <v>24929</v>
      </c>
      <c r="K1602" s="8" t="inlineStr">
        <is>
          <t>IV6804015</t>
        </is>
      </c>
      <c r="N1602" s="6" t="n">
        <v>100</v>
      </c>
      <c r="O1602" s="6" t="n">
        <v>107</v>
      </c>
    </row>
    <row r="1604">
      <c r="A1604" s="66" t="inlineStr">
        <is>
          <t>สีโป๊วเก็บรอย</t>
        </is>
      </c>
      <c r="B1604" s="6" t="inlineStr">
        <is>
          <t>สีโป๊วเก็บรอย BODY</t>
        </is>
      </c>
      <c r="C1604" s="8" t="inlineStr">
        <is>
          <t>2กป.</t>
        </is>
      </c>
      <c r="D1604" s="9" t="n">
        <v>320</v>
      </c>
      <c r="H1604" s="9" t="n">
        <v>640</v>
      </c>
      <c r="I1604" s="10" t="inlineStr">
        <is>
          <t>บจก. วีที คัลเลอร์ โปร</t>
        </is>
      </c>
      <c r="J1604" s="161" t="n">
        <v>23978</v>
      </c>
      <c r="K1604" s="8" t="inlineStr">
        <is>
          <t>IV147-65</t>
        </is>
      </c>
      <c r="L1604" s="8" t="inlineStr">
        <is>
          <t>ราคาที่ลง ยังไม่รวมภาษี</t>
        </is>
      </c>
    </row>
    <row r="1605">
      <c r="B1605" s="6" t="inlineStr">
        <is>
          <t>สีโป๊วเก็บรอย BODY</t>
        </is>
      </c>
      <c r="C1605" s="8" t="inlineStr">
        <is>
          <t>2กป.</t>
        </is>
      </c>
      <c r="D1605" s="9" t="n">
        <v>320</v>
      </c>
      <c r="H1605" s="9" t="n">
        <v>640</v>
      </c>
      <c r="I1605" s="10" t="inlineStr">
        <is>
          <t>บจก. วีที คัลเลอร์ โปร</t>
        </is>
      </c>
      <c r="J1605" s="161" t="n">
        <v>24496</v>
      </c>
      <c r="K1605" s="8" t="inlineStr">
        <is>
          <t>IV6701080</t>
        </is>
      </c>
      <c r="L1605" s="8" t="inlineStr">
        <is>
          <t>ราคาที่ลง ยังไม่รวมภาษี</t>
        </is>
      </c>
    </row>
    <row r="1606">
      <c r="B1606" s="6" t="inlineStr">
        <is>
          <t>สีโป๊วเก็บรอย BODY</t>
        </is>
      </c>
      <c r="C1606" s="8" t="inlineStr">
        <is>
          <t>2กป.</t>
        </is>
      </c>
      <c r="D1606" s="9" t="n">
        <v>320</v>
      </c>
      <c r="H1606" s="9" t="n">
        <v>640</v>
      </c>
      <c r="I1606" s="10" t="inlineStr">
        <is>
          <t>บจก. วีที คัลเลอร์ โปร</t>
        </is>
      </c>
      <c r="J1606" s="161" t="n">
        <v>24676</v>
      </c>
      <c r="K1606" s="8" t="inlineStr">
        <is>
          <t>IV6707131</t>
        </is>
      </c>
      <c r="L1606" s="8" t="inlineStr">
        <is>
          <t>ราคาที่ลง ยังไม่รวมภาษี</t>
        </is>
      </c>
    </row>
    <row r="1607">
      <c r="B1607" s="6" t="inlineStr">
        <is>
          <t>สีโป๊วเก็บรอย BODY</t>
        </is>
      </c>
      <c r="C1607" s="8" t="n">
        <v>2</v>
      </c>
      <c r="D1607" s="9" t="n">
        <v>320</v>
      </c>
      <c r="H1607" s="9">
        <f>SUM(D1607*C1607)</f>
        <v/>
      </c>
      <c r="I1607" s="10" t="inlineStr">
        <is>
          <t>บจก. วีที คัลเลอร์ โปร</t>
        </is>
      </c>
      <c r="J1607" s="161" t="n">
        <v>24707</v>
      </c>
      <c r="K1607" s="8" t="inlineStr">
        <is>
          <t>IV6708117</t>
        </is>
      </c>
      <c r="L1607" s="8" t="inlineStr">
        <is>
          <t>ราคาที่ลง ยังไม่รวมภาษี</t>
        </is>
      </c>
    </row>
    <row r="1608">
      <c r="B1608" s="6" t="inlineStr">
        <is>
          <t>สีโป๊วเก็บรอย BODY</t>
        </is>
      </c>
      <c r="C1608" s="8" t="n">
        <v>3</v>
      </c>
      <c r="D1608" s="9" t="n">
        <v>320</v>
      </c>
      <c r="E1608" s="9">
        <f>SUM(D1608*C1608)</f>
        <v/>
      </c>
      <c r="F1608" s="8" t="n">
        <v>0.07000000000000001</v>
      </c>
      <c r="G1608" s="10" t="inlineStr">
        <is>
          <t>รวม VAT =</t>
        </is>
      </c>
      <c r="H1608" s="9">
        <f>SUM(E1608+N1608)</f>
        <v/>
      </c>
      <c r="I1608" s="10" t="inlineStr">
        <is>
          <t>บจก. วีที คัลเลอร์ โปร</t>
        </is>
      </c>
      <c r="J1608" s="161" t="n">
        <v>25015</v>
      </c>
      <c r="K1608" s="8" t="inlineStr">
        <is>
          <t>IV6806175</t>
        </is>
      </c>
      <c r="L1608" s="8" t="inlineStr">
        <is>
          <t>ราคาที่ระบุ ยังไม่รวม VAT7%</t>
        </is>
      </c>
      <c r="N1608" s="6">
        <f>SUM(E1608*F1608)</f>
        <v/>
      </c>
    </row>
    <row r="1609">
      <c r="B1609" s="6" t="inlineStr">
        <is>
          <t>สีโป๊วเก็บรอย BODY</t>
        </is>
      </c>
      <c r="C1609" s="8" t="n">
        <v>6</v>
      </c>
      <c r="D1609" s="9" t="n">
        <v>320</v>
      </c>
      <c r="E1609" s="9">
        <f>SUM(D1609*C1609)</f>
        <v/>
      </c>
      <c r="F1609" s="8" t="n">
        <v>0.07000000000000001</v>
      </c>
      <c r="G1609" s="10" t="inlineStr">
        <is>
          <t>รวม VAT =</t>
        </is>
      </c>
      <c r="H1609" s="9">
        <f>SUM(E1609+N1609)</f>
        <v/>
      </c>
      <c r="I1609" s="10" t="inlineStr">
        <is>
          <t>บจก. วีที คัลเลอร์ โปร</t>
        </is>
      </c>
      <c r="J1609" s="161" t="n">
        <v>25146</v>
      </c>
      <c r="K1609" s="8" t="inlineStr">
        <is>
          <t>IV6811032</t>
        </is>
      </c>
      <c r="L1609" s="8" t="inlineStr">
        <is>
          <t>ราคาที่ระบุ ยังไม่รวม VAT7%</t>
        </is>
      </c>
      <c r="N1609" s="6">
        <f>SUM(E1609*F1609)</f>
        <v/>
      </c>
    </row>
    <row r="1610" customFormat="1" s="42">
      <c r="A1610" s="45" t="n"/>
      <c r="B1610" s="42" t="inlineStr">
        <is>
          <t xml:space="preserve"> ** เมื่อ 22/2/69 วาทีแจ้งปรับลดราคา เหลือ 300 บาท</t>
        </is>
      </c>
      <c r="C1610" s="45" t="n"/>
      <c r="D1610" s="16" t="n"/>
      <c r="E1610" s="16" t="n"/>
      <c r="F1610" s="45" t="n"/>
      <c r="G1610" s="50" t="n"/>
      <c r="H1610" s="16" t="n"/>
      <c r="I1610" s="50" t="n"/>
      <c r="J1610" s="166" t="n"/>
      <c r="K1610" s="45" t="n"/>
      <c r="L1610" s="45" t="n"/>
    </row>
    <row r="1612">
      <c r="A1612" s="66" t="inlineStr">
        <is>
          <t>สีโป๊วไฟเบอร์</t>
        </is>
      </c>
      <c r="B1612" s="6" t="inlineStr">
        <is>
          <t>สีโป๊วไฟเบอร์ BODY F250 bodyfiber (พร้อมตัวเร่ง)</t>
        </is>
      </c>
      <c r="C1612" s="8" t="inlineStr">
        <is>
          <t>4ชุด</t>
        </is>
      </c>
      <c r="D1612" s="9" t="n">
        <v>360</v>
      </c>
      <c r="H1612" s="9" t="n">
        <v>1440</v>
      </c>
      <c r="I1612" s="10" t="inlineStr">
        <is>
          <t>บจก. วีที คัลเลอร์ โปร</t>
        </is>
      </c>
      <c r="J1612" s="161" t="n">
        <v>24005</v>
      </c>
      <c r="K1612" s="8" t="inlineStr">
        <is>
          <t>IV183-65</t>
        </is>
      </c>
      <c r="L1612" s="8" t="inlineStr">
        <is>
          <t>ราคาที่ลง ยังไม่รวมภาษี</t>
        </is>
      </c>
    </row>
    <row r="1613">
      <c r="B1613" s="6" t="inlineStr">
        <is>
          <t>สีโป๊วไฟเบอร์ BODY F250 bodyfiber (พร้อมตัวเร่ง)</t>
        </is>
      </c>
      <c r="C1613" s="8" t="inlineStr">
        <is>
          <t>2ชุด</t>
        </is>
      </c>
      <c r="D1613" s="9" t="n">
        <v>360</v>
      </c>
      <c r="H1613" s="9" t="n">
        <v>720</v>
      </c>
      <c r="I1613" s="10" t="inlineStr">
        <is>
          <t>บจก. วีที คัลเลอร์ โปร</t>
        </is>
      </c>
      <c r="J1613" s="161" t="n">
        <v>24124</v>
      </c>
      <c r="K1613" s="8" t="inlineStr">
        <is>
          <t>IV036-66</t>
        </is>
      </c>
      <c r="L1613" s="8" t="inlineStr">
        <is>
          <t>ราคาที่ลง ยังไม่รวมภาษี</t>
        </is>
      </c>
    </row>
    <row r="1614">
      <c r="B1614" s="6" t="inlineStr">
        <is>
          <t>สีโป๊วไฟเบอร์ BODY F250 bodyfiber (พร้อมตัวเร่ง)</t>
        </is>
      </c>
      <c r="C1614" s="8" t="inlineStr">
        <is>
          <t>2ชุด</t>
        </is>
      </c>
      <c r="D1614" s="9" t="n">
        <v>360</v>
      </c>
      <c r="H1614" s="9" t="n">
        <v>720</v>
      </c>
      <c r="I1614" s="10" t="inlineStr">
        <is>
          <t>บจก. วีที คัลเลอร์ โปร</t>
        </is>
      </c>
      <c r="J1614" s="161" t="n">
        <v>24176</v>
      </c>
      <c r="K1614" s="8" t="inlineStr">
        <is>
          <t>IV150-66</t>
        </is>
      </c>
      <c r="L1614" s="8" t="inlineStr">
        <is>
          <t>ราคาที่ลง ยังไม่รวมภาษี</t>
        </is>
      </c>
    </row>
    <row r="1615">
      <c r="B1615" s="6" t="inlineStr">
        <is>
          <t>สีโป๊วไฟเบอร์ BODY F250 bodyfiber (พร้อมตัวเร่ง)</t>
        </is>
      </c>
      <c r="C1615" s="8" t="inlineStr">
        <is>
          <t>3ชุด</t>
        </is>
      </c>
      <c r="D1615" s="9" t="n">
        <v>360</v>
      </c>
      <c r="H1615" s="9" t="n">
        <v>1080</v>
      </c>
      <c r="I1615" s="10" t="inlineStr">
        <is>
          <t>บจก. วีที คัลเลอร์ โปร</t>
        </is>
      </c>
      <c r="J1615" s="161" t="n">
        <v>24272</v>
      </c>
      <c r="K1615" s="8" t="inlineStr">
        <is>
          <t>IV336-66</t>
        </is>
      </c>
      <c r="L1615" s="8" t="inlineStr">
        <is>
          <t>ราคาที่ลง ยังไม่รวมภาษี</t>
        </is>
      </c>
    </row>
    <row r="1616">
      <c r="B1616" s="6" t="inlineStr">
        <is>
          <t>สีโป๊วไฟเบอร์ BODY F250 bodyfiber (พร้อมตัวเร่ง)</t>
        </is>
      </c>
      <c r="C1616" s="8" t="n">
        <v>3</v>
      </c>
      <c r="D1616" s="9" t="n">
        <v>360</v>
      </c>
      <c r="H1616" s="9">
        <f>SUM(D1616*C1616)</f>
        <v/>
      </c>
      <c r="I1616" s="10" t="inlineStr">
        <is>
          <t>บจก. วีที คัลเลอร์ โปร</t>
        </is>
      </c>
      <c r="J1616" s="161" t="n">
        <v>24358</v>
      </c>
      <c r="K1616" s="8" t="inlineStr">
        <is>
          <t>IV516-66</t>
        </is>
      </c>
      <c r="L1616" s="8" t="inlineStr">
        <is>
          <t>ราคาที่ลง ยังไม่รวมภาษี</t>
        </is>
      </c>
    </row>
    <row r="1617">
      <c r="B1617" s="6" t="inlineStr">
        <is>
          <t>สีโป๊วไฟเบอร์ BODY F250 bodyfiber (พร้อมตัวเร่ง)</t>
        </is>
      </c>
      <c r="C1617" s="8" t="n">
        <v>4</v>
      </c>
      <c r="D1617" s="9" t="n">
        <v>360</v>
      </c>
      <c r="H1617" s="9">
        <f>SUM(D1617*C1617)</f>
        <v/>
      </c>
      <c r="I1617" s="10" t="inlineStr">
        <is>
          <t>บจก. วีที คัลเลอร์ โปร</t>
        </is>
      </c>
      <c r="J1617" s="161" t="n">
        <v>24386</v>
      </c>
      <c r="K1617" s="8" t="inlineStr">
        <is>
          <t>IV575-66</t>
        </is>
      </c>
      <c r="L1617" s="8" t="inlineStr">
        <is>
          <t>ราคาที่ลง ยังไม่รวมภาษี</t>
        </is>
      </c>
    </row>
    <row r="1618">
      <c r="B1618" s="6" t="inlineStr">
        <is>
          <t>สีโป๊วไฟเบอร์ BODY F250 bodyfiber (พร้อมตัวเร่ง)</t>
        </is>
      </c>
      <c r="C1618" s="8" t="n">
        <v>4</v>
      </c>
      <c r="D1618" s="9" t="n">
        <v>360</v>
      </c>
      <c r="H1618" s="9">
        <f>SUM(D1618*C1618)</f>
        <v/>
      </c>
      <c r="I1618" s="10" t="inlineStr">
        <is>
          <t>บจก. วีที คัลเลอร์ โปร</t>
        </is>
      </c>
      <c r="J1618" s="161" t="n">
        <v>24401</v>
      </c>
      <c r="K1618" s="8" t="inlineStr">
        <is>
          <t>IV685-66</t>
        </is>
      </c>
      <c r="L1618" s="8" t="inlineStr">
        <is>
          <t>ราคาที่ลง ยังไม่รวมภาษี</t>
        </is>
      </c>
    </row>
    <row r="1619">
      <c r="B1619" s="6" t="inlineStr">
        <is>
          <t>สีโป๊วไฟเบอร์ BODY F250 bodyfiber (พร้อมตัวเร่ง)</t>
        </is>
      </c>
      <c r="C1619" s="8" t="n">
        <v>4</v>
      </c>
      <c r="D1619" s="9" t="n">
        <v>360</v>
      </c>
      <c r="H1619" s="9">
        <f>SUM(D1619*C1619)</f>
        <v/>
      </c>
      <c r="I1619" s="10" t="inlineStr">
        <is>
          <t>บจก. วีที คัลเลอร์ โปร</t>
        </is>
      </c>
      <c r="J1619" s="161" t="n">
        <v>24496</v>
      </c>
      <c r="K1619" s="8" t="inlineStr">
        <is>
          <t>IV6701080</t>
        </is>
      </c>
      <c r="L1619" s="8" t="inlineStr">
        <is>
          <t>ราคาที่ลง ยังไม่รวมภาษี</t>
        </is>
      </c>
    </row>
    <row r="1620">
      <c r="B1620" s="6" t="inlineStr">
        <is>
          <t>สีโป๊วไฟเบอร์ BODY F250 bodyfiber (พร้อมตัวเร่ง)</t>
        </is>
      </c>
      <c r="C1620" s="8" t="n">
        <v>6</v>
      </c>
      <c r="D1620" s="9" t="n">
        <v>360</v>
      </c>
      <c r="H1620" s="9">
        <f>SUM(D1620*C1620)</f>
        <v/>
      </c>
      <c r="I1620" s="10" t="inlineStr">
        <is>
          <t>บจก. วีที คัลเลอร์ โปร</t>
        </is>
      </c>
      <c r="J1620" s="161" t="n">
        <v>24550</v>
      </c>
      <c r="K1620" s="8" t="inlineStr">
        <is>
          <t>IV6703089</t>
        </is>
      </c>
      <c r="L1620" s="8" t="inlineStr">
        <is>
          <t>ราคาที่ลง ยังไม่รวมภาษี</t>
        </is>
      </c>
    </row>
    <row r="1621">
      <c r="B1621" s="6" t="inlineStr">
        <is>
          <t>สีโป๊วไฟเบอร์ BODY F250 bodyfiber (พร้อมตัวเร่ง)</t>
        </is>
      </c>
      <c r="C1621" s="8" t="n">
        <v>4</v>
      </c>
      <c r="D1621" s="9" t="n">
        <v>360</v>
      </c>
      <c r="H1621" s="9">
        <f>SUM(D1621*C1621)</f>
        <v/>
      </c>
      <c r="I1621" s="10" t="inlineStr">
        <is>
          <t>บจก. วีที คัลเลอร์ โปร</t>
        </is>
      </c>
      <c r="J1621" s="161" t="n">
        <v>24664</v>
      </c>
      <c r="K1621" s="8" t="inlineStr">
        <is>
          <t>IV6707083</t>
        </is>
      </c>
      <c r="L1621" s="8" t="inlineStr">
        <is>
          <t>ราคาที่ลง ยังไม่รวมภาษี</t>
        </is>
      </c>
    </row>
    <row r="1622">
      <c r="B1622" s="6" t="inlineStr">
        <is>
          <t>สีโป๊วไฟเบอร์ BODY F250 bodyfiber (พร้อมตัวเร่ง)</t>
        </is>
      </c>
      <c r="C1622" s="8" t="n">
        <v>2</v>
      </c>
      <c r="D1622" s="9" t="n">
        <v>360</v>
      </c>
      <c r="H1622" s="9">
        <f>SUM(D1622*C1622)</f>
        <v/>
      </c>
      <c r="I1622" s="10" t="inlineStr">
        <is>
          <t>บจก. วีที คัลเลอร์ โปร</t>
        </is>
      </c>
      <c r="J1622" s="161" t="n">
        <v>24755</v>
      </c>
      <c r="K1622" s="8" t="inlineStr">
        <is>
          <t>IV6710058</t>
        </is>
      </c>
      <c r="L1622" s="8" t="inlineStr">
        <is>
          <t>ราคาที่ลง ยังไม่รวมภาษี</t>
        </is>
      </c>
    </row>
    <row r="1623">
      <c r="B1623" s="6" t="inlineStr">
        <is>
          <t>สีโป๊วไฟเบอร์ BODY F250 bodyfiber (พร้อมตัวเร่ง)</t>
        </is>
      </c>
      <c r="C1623" s="8" t="n">
        <v>4</v>
      </c>
      <c r="D1623" s="9" t="n">
        <v>360</v>
      </c>
      <c r="H1623" s="9">
        <f>SUM(D1623*C1623)</f>
        <v/>
      </c>
      <c r="I1623" s="10" t="inlineStr">
        <is>
          <t>บจก. วีที คัลเลอร์ โปร</t>
        </is>
      </c>
      <c r="J1623" s="161" t="n">
        <v>24777</v>
      </c>
      <c r="K1623" s="8" t="inlineStr">
        <is>
          <t>IV6711021</t>
        </is>
      </c>
      <c r="L1623" s="8" t="inlineStr">
        <is>
          <t>ราคาที่ลง ยังไม่รวมภาษี</t>
        </is>
      </c>
    </row>
    <row r="1624">
      <c r="B1624" s="6" t="inlineStr">
        <is>
          <t>สีโป๊วไฟเบอร์ BODY F250 bodyfiber (พร้อมตัวเร่ง)</t>
        </is>
      </c>
      <c r="C1624" s="8" t="n">
        <v>4</v>
      </c>
      <c r="D1624" s="9" t="n">
        <v>360</v>
      </c>
      <c r="H1624" s="9">
        <f>SUM(D1624*C1624)</f>
        <v/>
      </c>
      <c r="I1624" s="10" t="inlineStr">
        <is>
          <t>บจก. วีที คัลเลอร์ โปร</t>
        </is>
      </c>
      <c r="J1624" s="161" t="n">
        <v>24818</v>
      </c>
      <c r="K1624" s="8" t="inlineStr">
        <is>
          <t>IV6712064</t>
        </is>
      </c>
      <c r="L1624" s="8" t="inlineStr">
        <is>
          <t>ราคาที่ลง ยังไม่รวมภาษี</t>
        </is>
      </c>
    </row>
    <row r="1625">
      <c r="B1625" s="6" t="inlineStr">
        <is>
          <t>สีโป๊วไฟเบอร์ BODY F250 bodyfiber (พร้อมตัวเร่ง)</t>
        </is>
      </c>
      <c r="C1625" s="8" t="n">
        <v>4</v>
      </c>
      <c r="D1625" s="9" t="n">
        <v>385.2</v>
      </c>
      <c r="H1625" s="9">
        <f>SUM(D1625*C1625)</f>
        <v/>
      </c>
      <c r="I1625" s="10" t="inlineStr">
        <is>
          <t>บจก. วีที คัลเลอร์ โปร</t>
        </is>
      </c>
      <c r="J1625" s="161" t="n">
        <v>24893</v>
      </c>
      <c r="K1625" s="8" t="inlineStr">
        <is>
          <t>IV6802153</t>
        </is>
      </c>
      <c r="L1625" s="8" t="inlineStr">
        <is>
          <t>ราคาที่ลง ยังไม่รวมภาษี</t>
        </is>
      </c>
    </row>
    <row r="1626">
      <c r="B1626" s="6" t="inlineStr">
        <is>
          <t>สีโป๊วไฟเบอร์ BODY F250 bodyfiber (พร้อมตัวเร่ง)</t>
        </is>
      </c>
      <c r="C1626" s="8" t="n">
        <v>4</v>
      </c>
      <c r="D1626" s="9" t="n">
        <v>385.2</v>
      </c>
      <c r="H1626" s="9">
        <f>SUM(D1626*C1626)</f>
        <v/>
      </c>
      <c r="I1626" s="10" t="inlineStr">
        <is>
          <t>บจก. วีที คัลเลอร์ โปร</t>
        </is>
      </c>
      <c r="J1626" s="161" t="n">
        <v>24923</v>
      </c>
      <c r="K1626" s="8" t="inlineStr">
        <is>
          <t>IV6803172</t>
        </is>
      </c>
      <c r="L1626" s="8" t="inlineStr">
        <is>
          <t>ราคารวม VAT แล้ว</t>
        </is>
      </c>
    </row>
    <row r="1627">
      <c r="B1627" s="6" t="inlineStr">
        <is>
          <t>สีโป๊วไฟเบอร์ BODY F250 bodyfiber (พร้อมตัวเร่ง)</t>
        </is>
      </c>
      <c r="C1627" s="8" t="n">
        <v>4</v>
      </c>
      <c r="D1627" s="9" t="n">
        <v>360</v>
      </c>
      <c r="E1627" s="9">
        <f>SUM(C1627*D1627)</f>
        <v/>
      </c>
      <c r="H1627" s="9">
        <f>SUM(E1627*O1627/N1627)</f>
        <v/>
      </c>
      <c r="I1627" s="10" t="inlineStr">
        <is>
          <t>บจก. วีที คัลเลอร์ โปร</t>
        </is>
      </c>
      <c r="J1627" s="161" t="n">
        <v>24977</v>
      </c>
      <c r="K1627" s="8" t="inlineStr">
        <is>
          <t>IV6805132</t>
        </is>
      </c>
      <c r="N1627" s="6" t="n">
        <v>100</v>
      </c>
      <c r="O1627" s="6" t="n">
        <v>107</v>
      </c>
    </row>
    <row r="1628">
      <c r="B1628" s="6" t="inlineStr">
        <is>
          <t>สีโป๊วไฟเบอร์ BODY F250 bodyfiber (พร้อมตัวเร่ง)</t>
        </is>
      </c>
      <c r="C1628" s="8" t="n">
        <v>6</v>
      </c>
      <c r="D1628" s="9" t="n">
        <v>360</v>
      </c>
      <c r="E1628" s="9">
        <f>SUM(D1628*C1628)</f>
        <v/>
      </c>
      <c r="F1628" s="8" t="n">
        <v>0.07000000000000001</v>
      </c>
      <c r="G1628" s="10" t="inlineStr">
        <is>
          <t>รวม VAT =</t>
        </is>
      </c>
      <c r="H1628" s="9">
        <f>SUM(E1628+N1628)</f>
        <v/>
      </c>
      <c r="I1628" s="10" t="inlineStr">
        <is>
          <t>บจก. วีที คัลเลอร์ โปร</t>
        </is>
      </c>
      <c r="J1628" s="161" t="n">
        <v>25037</v>
      </c>
      <c r="K1628" s="8" t="inlineStr">
        <is>
          <t>IV6807145</t>
        </is>
      </c>
      <c r="N1628" s="6">
        <f>SUM(E1628*F1628)</f>
        <v/>
      </c>
    </row>
    <row r="1629">
      <c r="B1629" s="6" t="inlineStr">
        <is>
          <t>สีโป๊วไฟเบอร์ BODY F250 bodyfiber (พร้อมตัวเร่ง)</t>
        </is>
      </c>
      <c r="C1629" s="8" t="n">
        <v>4</v>
      </c>
      <c r="D1629" s="9" t="n">
        <v>360</v>
      </c>
      <c r="E1629" s="9">
        <f>SUM(D1629*C1629)</f>
        <v/>
      </c>
      <c r="F1629" s="8" t="n">
        <v>0.07000000000000001</v>
      </c>
      <c r="G1629" s="10" t="inlineStr">
        <is>
          <t>รวม VAT =</t>
        </is>
      </c>
      <c r="H1629" s="9">
        <f>SUM(E1629+N1629)</f>
        <v/>
      </c>
      <c r="I1629" s="10" t="inlineStr">
        <is>
          <t>บจก. วีที คัลเลอร์ โปร</t>
        </is>
      </c>
      <c r="J1629" s="161" t="n">
        <v>25093</v>
      </c>
      <c r="K1629" s="8" t="inlineStr">
        <is>
          <t>IV6809085</t>
        </is>
      </c>
      <c r="N1629" s="6">
        <f>SUM(E1629*F1629)</f>
        <v/>
      </c>
    </row>
    <row r="1630">
      <c r="A1630" s="70" t="n"/>
      <c r="B1630" s="6" t="inlineStr">
        <is>
          <t>สีโป๊วไฟเบอร์ BODY F250 bodyfiber (พร้อมตัวเร่ง)</t>
        </is>
      </c>
      <c r="C1630" s="8" t="n">
        <v>10</v>
      </c>
      <c r="D1630" s="9" t="n">
        <v>360</v>
      </c>
      <c r="E1630" s="9">
        <f>SUM(C1630*D1630)</f>
        <v/>
      </c>
      <c r="H1630" s="9">
        <f>SUM(E1630*107/100)</f>
        <v/>
      </c>
      <c r="I1630" s="10" t="inlineStr">
        <is>
          <t>บจก. วีที คัลเลอร์ โปร</t>
        </is>
      </c>
      <c r="J1630" s="161" t="n">
        <v>25122</v>
      </c>
      <c r="K1630" s="8" t="inlineStr">
        <is>
          <t>IV6810079</t>
        </is>
      </c>
      <c r="L1630" s="8" t="inlineStr">
        <is>
          <t>ราคาที่ลง ยังไม่รวมภาษี</t>
        </is>
      </c>
    </row>
    <row r="1631" customFormat="1" s="42">
      <c r="A1631" s="45" t="n"/>
      <c r="B1631" s="42" t="inlineStr">
        <is>
          <t xml:space="preserve"> ** เมื่อ 22/2/69 วาทีแจ้งปรับลดราคา เหลือ 350 บาท</t>
        </is>
      </c>
      <c r="C1631" s="45" t="n"/>
      <c r="D1631" s="16" t="n"/>
      <c r="E1631" s="16" t="n"/>
      <c r="F1631" s="45" t="n"/>
      <c r="G1631" s="50" t="n"/>
      <c r="H1631" s="16" t="n"/>
      <c r="I1631" s="50" t="n"/>
      <c r="J1631" s="166" t="n"/>
      <c r="K1631" s="45" t="n"/>
      <c r="L1631" s="45" t="n"/>
    </row>
    <row r="1633">
      <c r="B1633" s="6" t="inlineStr">
        <is>
          <t>น้ำยาสีโป๊ว 2K</t>
        </is>
      </c>
      <c r="C1633" s="8" t="inlineStr">
        <is>
          <t>36หลอด</t>
        </is>
      </c>
      <c r="D1633" s="9" t="n">
        <v>80</v>
      </c>
      <c r="H1633" s="9" t="n">
        <v>2880</v>
      </c>
      <c r="I1633" s="10" t="inlineStr">
        <is>
          <t>ทรัพย์สินไทย</t>
        </is>
      </c>
      <c r="J1633" s="161" t="n">
        <v>22886</v>
      </c>
      <c r="L1633" s="8" t="inlineStr">
        <is>
          <t>ราคาที่ลง ยังไม่รวมภาษี</t>
        </is>
      </c>
    </row>
    <row r="1634">
      <c r="B1634" s="6" t="inlineStr">
        <is>
          <t>น้ำยาสีโป๊ว 2K</t>
        </is>
      </c>
      <c r="C1634" s="8" t="inlineStr">
        <is>
          <t>20หลอด</t>
        </is>
      </c>
      <c r="D1634" s="9" t="n">
        <v>80</v>
      </c>
      <c r="H1634" s="9" t="n">
        <v>1600</v>
      </c>
      <c r="I1634" s="10" t="inlineStr">
        <is>
          <t>ทรัพย์สินไทย</t>
        </is>
      </c>
      <c r="J1634" s="161" t="n">
        <v>22913</v>
      </c>
      <c r="L1634" s="8" t="inlineStr">
        <is>
          <t>ราคาที่ลง ยังไม่รวมภาษี</t>
        </is>
      </c>
    </row>
    <row r="1636">
      <c r="B1636" s="6" t="inlineStr">
        <is>
          <t>สีโป๊ว MP-100 (N) 4kg.</t>
        </is>
      </c>
      <c r="C1636" s="8" t="inlineStr">
        <is>
          <t>20 กล.</t>
        </is>
      </c>
      <c r="D1636" s="9" t="n">
        <v>320</v>
      </c>
      <c r="H1636" s="9" t="n">
        <v>6400</v>
      </c>
      <c r="I1636" s="10" t="inlineStr">
        <is>
          <t>ทรัพย์สินไทย</t>
        </is>
      </c>
      <c r="J1636" s="161" t="n">
        <v>22790</v>
      </c>
      <c r="L1636" s="8" t="inlineStr">
        <is>
          <t>ราคาที่ลง ยังไม่รวมภาษี</t>
        </is>
      </c>
    </row>
    <row r="1637">
      <c r="B1637" s="6" t="inlineStr">
        <is>
          <t>สีโป๊ว MP-100 (N) 4kg.</t>
        </is>
      </c>
      <c r="C1637" s="8" t="inlineStr">
        <is>
          <t>20 กล.</t>
        </is>
      </c>
      <c r="D1637" s="9" t="n">
        <v>320</v>
      </c>
      <c r="H1637" s="9" t="n">
        <v>6400</v>
      </c>
      <c r="I1637" s="10" t="inlineStr">
        <is>
          <t>ทรัพย์สินไทย</t>
        </is>
      </c>
      <c r="J1637" s="161" t="n">
        <v>22821</v>
      </c>
      <c r="L1637" s="8" t="inlineStr">
        <is>
          <t>ราคาที่ลง ยังไม่รวมภาษี</t>
        </is>
      </c>
    </row>
    <row r="1638">
      <c r="B1638" s="6" t="inlineStr">
        <is>
          <t>สีโป๊ว MP-100 (N) 4kg.</t>
        </is>
      </c>
      <c r="C1638" s="8" t="inlineStr">
        <is>
          <t>20 กล.</t>
        </is>
      </c>
      <c r="D1638" s="9" t="n">
        <v>320</v>
      </c>
      <c r="H1638" s="9" t="n">
        <v>6400</v>
      </c>
      <c r="I1638" s="10" t="inlineStr">
        <is>
          <t>ทรัพย์สินไทย</t>
        </is>
      </c>
      <c r="J1638" s="161" t="n">
        <v>22851</v>
      </c>
      <c r="L1638" s="8" t="inlineStr">
        <is>
          <t>ราคาที่ลง ยังไม่รวมภาษี</t>
        </is>
      </c>
    </row>
    <row r="1640">
      <c r="B1640" s="6" t="inlineStr">
        <is>
          <t>น้ำยาสีโป๊ว BH-80R</t>
        </is>
      </c>
      <c r="C1640" s="8" t="inlineStr">
        <is>
          <t>20 หลอด</t>
        </is>
      </c>
      <c r="D1640" s="9" t="n">
        <v>80</v>
      </c>
      <c r="H1640" s="9" t="n">
        <v>1600</v>
      </c>
      <c r="I1640" s="10" t="inlineStr">
        <is>
          <t>ทรัพย์สินไทย</t>
        </is>
      </c>
      <c r="J1640" s="161" t="n">
        <v>22790</v>
      </c>
      <c r="L1640" s="8" t="inlineStr">
        <is>
          <t>ราคาที่ลง ยังไม่รวมภาษี</t>
        </is>
      </c>
    </row>
    <row r="1641">
      <c r="B1641" s="6" t="inlineStr">
        <is>
          <t>น้ำยาสีโป๊ว BH-80R</t>
        </is>
      </c>
      <c r="C1641" s="8" t="inlineStr">
        <is>
          <t>20 หลอด</t>
        </is>
      </c>
      <c r="D1641" s="9" t="n">
        <v>80</v>
      </c>
      <c r="H1641" s="9" t="n">
        <v>1600</v>
      </c>
      <c r="I1641" s="10" t="inlineStr">
        <is>
          <t>ทรัพย์สินไทย</t>
        </is>
      </c>
      <c r="J1641" s="161" t="n">
        <v>22821</v>
      </c>
      <c r="L1641" s="8" t="inlineStr">
        <is>
          <t>ราคาที่ลง ยังไม่รวมภาษี</t>
        </is>
      </c>
    </row>
    <row r="1642">
      <c r="B1642" s="6" t="inlineStr">
        <is>
          <t>น้ำยาสีโป๊ว BH-80R</t>
        </is>
      </c>
      <c r="C1642" s="8" t="inlineStr">
        <is>
          <t>20 หลอด</t>
        </is>
      </c>
      <c r="D1642" s="9" t="n">
        <v>80</v>
      </c>
      <c r="H1642" s="9" t="n">
        <v>1600</v>
      </c>
      <c r="I1642" s="10" t="inlineStr">
        <is>
          <t>ทรัพย์สินไทย</t>
        </is>
      </c>
      <c r="J1642" s="161" t="n">
        <v>22851</v>
      </c>
      <c r="L1642" s="8" t="inlineStr">
        <is>
          <t>ราคาที่ลง ยังไม่รวมภาษี</t>
        </is>
      </c>
    </row>
    <row r="1644">
      <c r="B1644" s="6" t="inlineStr">
        <is>
          <t>สีโป๊วชนิดพิเศษ Sikkens Polykit IV 2kg.</t>
        </is>
      </c>
      <c r="C1644" s="8" t="inlineStr">
        <is>
          <t>12 กป.</t>
        </is>
      </c>
      <c r="D1644" s="9" t="n">
        <v>675</v>
      </c>
      <c r="F1644" s="8" t="n">
        <v>15</v>
      </c>
      <c r="H1644" s="9" t="n">
        <v>8100</v>
      </c>
      <c r="I1644" s="10" t="inlineStr">
        <is>
          <t>ทรัพย์สินไทย</t>
        </is>
      </c>
      <c r="J1644" s="161" t="n">
        <v>22821</v>
      </c>
      <c r="L1644" s="8" t="inlineStr">
        <is>
          <t>ราคาที่ลง ยังไม่รวมภาษี</t>
        </is>
      </c>
    </row>
    <row r="1645">
      <c r="B1645" s="6" t="inlineStr">
        <is>
          <t>สีโป๊วชนิดพิเศษ Sikkens Polykit IV 2kg.</t>
        </is>
      </c>
      <c r="C1645" s="8" t="inlineStr">
        <is>
          <t>6 กป.</t>
        </is>
      </c>
      <c r="D1645" s="9" t="n">
        <v>675</v>
      </c>
      <c r="F1645" s="8" t="n">
        <v>15</v>
      </c>
      <c r="H1645" s="9" t="n">
        <v>4050</v>
      </c>
      <c r="I1645" s="10" t="inlineStr">
        <is>
          <t>ทรัพย์สินไทย</t>
        </is>
      </c>
      <c r="J1645" s="161" t="n">
        <v>23341</v>
      </c>
      <c r="L1645" s="8" t="inlineStr">
        <is>
          <t>ราคาที่ลง ยังไม่รวมภาษี</t>
        </is>
      </c>
    </row>
    <row r="1647">
      <c r="A1647" s="66" t="inlineStr">
        <is>
          <t>กาว</t>
        </is>
      </c>
      <c r="B1647" s="6" t="inlineStr">
        <is>
          <t>กาว AB 150 (4ลิตร) B/C Binder</t>
        </is>
      </c>
      <c r="C1647" s="8" t="inlineStr">
        <is>
          <t>2กป.</t>
        </is>
      </c>
      <c r="D1647" s="9" t="n">
        <v>1880</v>
      </c>
      <c r="F1647" s="8" t="n">
        <v>23</v>
      </c>
      <c r="H1647" s="9" t="n">
        <v>1447.6</v>
      </c>
      <c r="I1647" s="10" t="inlineStr">
        <is>
          <t>ออโต้ สมาร์ท</t>
        </is>
      </c>
      <c r="J1647" s="161" t="n">
        <v>22431</v>
      </c>
    </row>
    <row r="1648">
      <c r="B1648" s="6" t="inlineStr">
        <is>
          <t>กาว AB 150 (4ลิตร) B/C Binder</t>
        </is>
      </c>
      <c r="C1648" s="8" t="inlineStr">
        <is>
          <t>1กป.</t>
        </is>
      </c>
      <c r="D1648" s="9" t="n">
        <v>1880</v>
      </c>
      <c r="F1648" s="8" t="n">
        <v>23</v>
      </c>
      <c r="G1648" s="10" t="n">
        <v>1447.6</v>
      </c>
      <c r="H1648" s="9" t="n">
        <v>1447.6</v>
      </c>
      <c r="I1648" s="10" t="inlineStr">
        <is>
          <t>ออโต้ สมาร์ท</t>
        </is>
      </c>
      <c r="J1648" s="161" t="n">
        <v>22849</v>
      </c>
      <c r="L1648" s="8" t="inlineStr">
        <is>
          <t>ราคาที่ลง ยังไม่รวมภาษี</t>
        </is>
      </c>
    </row>
    <row r="1649">
      <c r="B1649" s="6" t="inlineStr">
        <is>
          <t>กาว AB 150 (4ลิตร) B/C Binder</t>
        </is>
      </c>
      <c r="C1649" s="8" t="inlineStr">
        <is>
          <t>1กป.</t>
        </is>
      </c>
      <c r="D1649" s="9" t="n">
        <v>1880</v>
      </c>
      <c r="F1649" s="8" t="n">
        <v>23</v>
      </c>
      <c r="G1649" s="10" t="n">
        <v>1447.6</v>
      </c>
      <c r="H1649" s="9" t="n">
        <v>1447.6</v>
      </c>
      <c r="I1649" s="10" t="inlineStr">
        <is>
          <t>ออโต้ สมาร์ท</t>
        </is>
      </c>
      <c r="J1649" s="161" t="n">
        <v>22863</v>
      </c>
      <c r="L1649" s="8" t="inlineStr">
        <is>
          <t>ราคาที่ลง ยังไม่รวมภาษี</t>
        </is>
      </c>
    </row>
    <row r="1650">
      <c r="B1650" s="6" t="inlineStr">
        <is>
          <t>กาว AB 150 (4ลิตร) B/C Binder</t>
        </is>
      </c>
      <c r="C1650" s="8" t="inlineStr">
        <is>
          <t>1กป.</t>
        </is>
      </c>
      <c r="D1650" s="9" t="n">
        <v>1880</v>
      </c>
      <c r="F1650" s="8" t="n">
        <v>23</v>
      </c>
      <c r="G1650" s="10" t="n">
        <v>1447.6</v>
      </c>
      <c r="H1650" s="9" t="n">
        <v>1447.6</v>
      </c>
      <c r="I1650" s="10" t="inlineStr">
        <is>
          <t>ออโต้ สมาร์ท</t>
        </is>
      </c>
      <c r="J1650" s="161" t="n">
        <v>22882</v>
      </c>
      <c r="L1650" s="8" t="inlineStr">
        <is>
          <t>ราคาที่ลง ยังไม่รวมภาษี</t>
        </is>
      </c>
    </row>
    <row r="1651">
      <c r="B1651" s="6" t="inlineStr">
        <is>
          <t>กาว AB 150 (4ลิตร) B/C Binder</t>
        </is>
      </c>
      <c r="C1651" s="8" t="inlineStr">
        <is>
          <t>1กป.</t>
        </is>
      </c>
      <c r="D1651" s="9" t="n">
        <v>1880</v>
      </c>
      <c r="F1651" s="8" t="n">
        <v>23</v>
      </c>
      <c r="G1651" s="10" t="n">
        <v>1447.6</v>
      </c>
      <c r="H1651" s="9" t="n">
        <v>1447.6</v>
      </c>
      <c r="I1651" s="10" t="inlineStr">
        <is>
          <t>ออโต้ สมาร์ท</t>
        </is>
      </c>
      <c r="J1651" s="161" t="n">
        <v>22997</v>
      </c>
      <c r="L1651" s="8" t="inlineStr">
        <is>
          <t>ราคาที่ลง ยังไม่รวมภาษี</t>
        </is>
      </c>
    </row>
    <row r="1652">
      <c r="B1652" s="6" t="inlineStr">
        <is>
          <t>กาว AB 150 (4ลิตร) B/C Binder</t>
        </is>
      </c>
      <c r="C1652" s="8" t="inlineStr">
        <is>
          <t>2กป.</t>
        </is>
      </c>
      <c r="D1652" s="9" t="n">
        <v>1880</v>
      </c>
      <c r="F1652" s="8" t="n">
        <v>23</v>
      </c>
      <c r="G1652" s="10" t="n">
        <v>1447.6</v>
      </c>
      <c r="H1652" s="9" t="n">
        <v>2895.2</v>
      </c>
      <c r="I1652" s="10" t="inlineStr">
        <is>
          <t>ออโต้ สมาร์ท</t>
        </is>
      </c>
      <c r="J1652" s="161" t="n">
        <v>23064</v>
      </c>
      <c r="L1652" s="8" t="inlineStr">
        <is>
          <t>ราคาที่ลง ยังไม่รวมภาษี</t>
        </is>
      </c>
    </row>
    <row r="1653">
      <c r="B1653" s="6" t="inlineStr">
        <is>
          <t>กาว AB 150 (4ลิตร) B/C Binder</t>
        </is>
      </c>
      <c r="C1653" s="8" t="inlineStr">
        <is>
          <t>2กป.</t>
        </is>
      </c>
      <c r="D1653" s="9" t="n">
        <v>1880</v>
      </c>
      <c r="F1653" s="8" t="n">
        <v>23</v>
      </c>
      <c r="G1653" s="10" t="n">
        <v>1447.6</v>
      </c>
      <c r="H1653" s="9" t="n">
        <v>2895.2</v>
      </c>
      <c r="I1653" s="10" t="inlineStr">
        <is>
          <t>ออโต้ สมาร์ท</t>
        </is>
      </c>
      <c r="J1653" s="161" t="n">
        <v>23087</v>
      </c>
      <c r="L1653" s="8" t="inlineStr">
        <is>
          <t>ราคาที่ลง ยังไม่รวมภาษี</t>
        </is>
      </c>
    </row>
    <row r="1654">
      <c r="B1654" s="6" t="inlineStr">
        <is>
          <t>กาว AB 150 (4ลิตร) B/C Binder</t>
        </is>
      </c>
      <c r="C1654" s="8" t="inlineStr">
        <is>
          <t>1กป.</t>
        </is>
      </c>
      <c r="D1654" s="9" t="n">
        <v>1880</v>
      </c>
      <c r="F1654" s="8" t="n">
        <v>23</v>
      </c>
      <c r="G1654" s="10" t="n">
        <v>1447.6</v>
      </c>
      <c r="H1654" s="9" t="n">
        <v>1447.6</v>
      </c>
      <c r="I1654" s="10" t="inlineStr">
        <is>
          <t>ออโต้ สมาร์ท</t>
        </is>
      </c>
      <c r="J1654" s="161" t="n">
        <v>23110</v>
      </c>
      <c r="L1654" s="8" t="inlineStr">
        <is>
          <t>ราคาที่ลง ยังไม่รวมภาษี</t>
        </is>
      </c>
    </row>
    <row r="1655">
      <c r="B1655" s="6" t="inlineStr">
        <is>
          <t>กาว AB 150 (4ลิตร) B/C Binder</t>
        </is>
      </c>
      <c r="C1655" s="8" t="inlineStr">
        <is>
          <t>2กป.</t>
        </is>
      </c>
      <c r="D1655" s="9" t="n">
        <v>1880</v>
      </c>
      <c r="F1655" s="8" t="n">
        <v>23</v>
      </c>
      <c r="G1655" s="10" t="n">
        <v>1447.6</v>
      </c>
      <c r="H1655" s="9" t="n">
        <v>2895.2</v>
      </c>
      <c r="I1655" s="10" t="inlineStr">
        <is>
          <t>ออโต้ สมาร์ท</t>
        </is>
      </c>
      <c r="J1655" s="161" t="n">
        <v>23151</v>
      </c>
      <c r="L1655" s="8" t="inlineStr">
        <is>
          <t>ราคาที่ลง ยังไม่รวมภาษี</t>
        </is>
      </c>
    </row>
    <row r="1656">
      <c r="B1656" s="6" t="inlineStr">
        <is>
          <t>กาว AB 150 (4ลิตร) B/C Binder</t>
        </is>
      </c>
      <c r="C1656" s="8" t="inlineStr">
        <is>
          <t>1กป.</t>
        </is>
      </c>
      <c r="D1656" s="9" t="n">
        <v>1880</v>
      </c>
      <c r="F1656" s="8" t="n">
        <v>23</v>
      </c>
      <c r="G1656" s="10" t="n">
        <v>1447.6</v>
      </c>
      <c r="H1656" s="9" t="n">
        <v>1447.6</v>
      </c>
      <c r="I1656" s="10" t="inlineStr">
        <is>
          <t>ออโต้ สมาร์ท</t>
        </is>
      </c>
      <c r="J1656" s="161" t="n">
        <v>23186</v>
      </c>
      <c r="L1656" s="8" t="inlineStr">
        <is>
          <t>ราคาที่ลง ยังไม่รวมภาษี</t>
        </is>
      </c>
    </row>
    <row r="1657">
      <c r="B1657" s="6" t="inlineStr">
        <is>
          <t>กาว AB 150 (4ลิตร) B/C Binder</t>
        </is>
      </c>
      <c r="C1657" s="8" t="inlineStr">
        <is>
          <t>1กป.</t>
        </is>
      </c>
      <c r="D1657" s="9" t="n">
        <v>1880</v>
      </c>
      <c r="F1657" s="8" t="n">
        <v>23</v>
      </c>
      <c r="G1657" s="10" t="n">
        <v>1447.6</v>
      </c>
      <c r="H1657" s="9" t="n">
        <v>1447.6</v>
      </c>
      <c r="I1657" s="10" t="inlineStr">
        <is>
          <t>ออโต้ สมาร์ท</t>
        </is>
      </c>
      <c r="J1657" s="161" t="n">
        <v>23202</v>
      </c>
      <c r="L1657" s="8" t="inlineStr">
        <is>
          <t>ราคาที่ลง ยังไม่รวมภาษี</t>
        </is>
      </c>
    </row>
    <row r="1658">
      <c r="B1658" s="6" t="inlineStr">
        <is>
          <t>กาว AB 150 (4ลิตร) B/C Binder</t>
        </is>
      </c>
      <c r="C1658" s="8" t="inlineStr">
        <is>
          <t>1กป.</t>
        </is>
      </c>
      <c r="D1658" s="9" t="n">
        <v>1880</v>
      </c>
      <c r="F1658" s="8" t="n">
        <v>23</v>
      </c>
      <c r="G1658" s="10" t="n">
        <v>1447.6</v>
      </c>
      <c r="H1658" s="9" t="n">
        <v>1447.6</v>
      </c>
      <c r="I1658" s="10" t="inlineStr">
        <is>
          <t>ออโต้ สมาร์ท</t>
        </is>
      </c>
      <c r="J1658" s="161" t="n">
        <v>23230</v>
      </c>
      <c r="L1658" s="8" t="inlineStr">
        <is>
          <t>ราคาที่ลง ยังไม่รวมภาษี</t>
        </is>
      </c>
    </row>
    <row r="1659">
      <c r="B1659" s="6" t="inlineStr">
        <is>
          <t>กาว AB 150 (4ลิตร) B/C Binder</t>
        </is>
      </c>
      <c r="C1659" s="8" t="inlineStr">
        <is>
          <t>2กป.</t>
        </is>
      </c>
      <c r="D1659" s="9" t="n">
        <v>1880</v>
      </c>
      <c r="F1659" s="8" t="n">
        <v>23</v>
      </c>
      <c r="G1659" s="10" t="n">
        <v>1447.6</v>
      </c>
      <c r="H1659" s="9" t="n">
        <v>2895</v>
      </c>
      <c r="I1659" s="10" t="inlineStr">
        <is>
          <t>ออโต้ สมาร์ท</t>
        </is>
      </c>
      <c r="J1659" s="161" t="n">
        <v>23254</v>
      </c>
      <c r="L1659" s="8" t="inlineStr">
        <is>
          <t>ราคาที่ลง ยังไม่รวมภาษี</t>
        </is>
      </c>
    </row>
    <row r="1660">
      <c r="B1660" s="6" t="inlineStr">
        <is>
          <t>กาว AB 150 (4ลิตร) B/C Binder</t>
        </is>
      </c>
      <c r="C1660" s="8" t="inlineStr">
        <is>
          <t>1กป.</t>
        </is>
      </c>
      <c r="D1660" s="9" t="n">
        <v>1880</v>
      </c>
      <c r="F1660" s="8" t="n">
        <v>23</v>
      </c>
      <c r="G1660" s="10" t="n">
        <v>1447.6</v>
      </c>
      <c r="H1660" s="9" t="n">
        <v>1447.6</v>
      </c>
      <c r="I1660" s="10" t="inlineStr">
        <is>
          <t>ออโต้ สมาร์ท</t>
        </is>
      </c>
      <c r="J1660" s="161" t="n">
        <v>23279</v>
      </c>
      <c r="L1660" s="8" t="inlineStr">
        <is>
          <t>ราคาที่ลง ยังไม่รวมภาษี</t>
        </is>
      </c>
    </row>
    <row r="1661">
      <c r="B1661" s="6" t="inlineStr">
        <is>
          <t>กาว AB 150 (4ลิตร) B/C Binder</t>
        </is>
      </c>
      <c r="C1661" s="8" t="inlineStr">
        <is>
          <t>2กป.</t>
        </is>
      </c>
      <c r="D1661" s="9" t="n">
        <v>1880</v>
      </c>
      <c r="F1661" s="8" t="n">
        <v>23</v>
      </c>
      <c r="G1661" s="10" t="n">
        <v>1447.6</v>
      </c>
      <c r="H1661" s="9" t="n">
        <v>2895</v>
      </c>
      <c r="I1661" s="10" t="inlineStr">
        <is>
          <t>ออโต้ สมาร์ท</t>
        </is>
      </c>
      <c r="J1661" s="161" t="n">
        <v>23308</v>
      </c>
      <c r="L1661" s="8" t="inlineStr">
        <is>
          <t>ราคาที่ลง ยังไม่รวมภาษี</t>
        </is>
      </c>
    </row>
    <row r="1662">
      <c r="B1662" s="6" t="inlineStr">
        <is>
          <t>กาว AB 150 (4ลิตร) B/C Binder</t>
        </is>
      </c>
      <c r="C1662" s="8" t="inlineStr">
        <is>
          <t>1กป.</t>
        </is>
      </c>
      <c r="D1662" s="9" t="n">
        <v>1880</v>
      </c>
      <c r="F1662" s="8" t="n">
        <v>23</v>
      </c>
      <c r="G1662" s="10" t="n">
        <v>1447.6</v>
      </c>
      <c r="H1662" s="9" t="n">
        <v>1447.6</v>
      </c>
      <c r="I1662" s="10" t="inlineStr">
        <is>
          <t>ออโต้ สมาร์ท</t>
        </is>
      </c>
      <c r="J1662" s="161" t="n">
        <v>23335</v>
      </c>
      <c r="L1662" s="8" t="inlineStr">
        <is>
          <t>ราคาที่ลง ยังไม่รวมภาษี</t>
        </is>
      </c>
    </row>
    <row r="1663">
      <c r="B1663" s="6" t="inlineStr">
        <is>
          <t>กาว AB 150 (4ลิตร) B/C Binder</t>
        </is>
      </c>
      <c r="C1663" s="8" t="inlineStr">
        <is>
          <t>2กป.</t>
        </is>
      </c>
      <c r="D1663" s="9" t="n">
        <v>1880</v>
      </c>
      <c r="F1663" s="8" t="n">
        <v>23</v>
      </c>
      <c r="G1663" s="10" t="n">
        <v>1447.6</v>
      </c>
      <c r="H1663" s="9" t="n">
        <v>2895.2</v>
      </c>
      <c r="I1663" s="10" t="inlineStr">
        <is>
          <t>ออโต้ สมาร์ท</t>
        </is>
      </c>
      <c r="J1663" s="161" t="n">
        <v>23462</v>
      </c>
      <c r="L1663" s="8" t="inlineStr">
        <is>
          <t>ราคาที่ลง ยังไม่รวมภาษี</t>
        </is>
      </c>
    </row>
    <row r="1664">
      <c r="B1664" s="6" t="inlineStr">
        <is>
          <t>กาว AB 150 (4ลิตร) B/C Binder</t>
        </is>
      </c>
      <c r="C1664" s="8" t="inlineStr">
        <is>
          <t>1กป.</t>
        </is>
      </c>
      <c r="D1664" s="9" t="n">
        <v>1880</v>
      </c>
      <c r="F1664" s="8" t="n">
        <v>23</v>
      </c>
      <c r="G1664" s="10" t="n">
        <v>1447.6</v>
      </c>
      <c r="H1664" s="9" t="n">
        <v>1447.6</v>
      </c>
      <c r="I1664" s="10" t="inlineStr">
        <is>
          <t>ออโต้ สมาร์ท</t>
        </is>
      </c>
      <c r="J1664" s="161" t="n">
        <v>23643</v>
      </c>
      <c r="K1664" s="8" t="n">
        <v>202109165</v>
      </c>
      <c r="L1664" s="8" t="inlineStr">
        <is>
          <t>ราคาที่ลง ยังไม่รวมภาษี</t>
        </is>
      </c>
    </row>
    <row r="1665">
      <c r="B1665" s="6" t="inlineStr">
        <is>
          <t>กาว AB 150 (4ลิตร) B/C Binder</t>
        </is>
      </c>
      <c r="C1665" s="8" t="inlineStr">
        <is>
          <t>1กป.</t>
        </is>
      </c>
      <c r="D1665" s="9" t="n">
        <v>1880</v>
      </c>
      <c r="F1665" s="8" t="n">
        <v>23</v>
      </c>
      <c r="G1665" s="10" t="n">
        <v>1447.6</v>
      </c>
      <c r="H1665" s="9" t="n">
        <v>1447.6</v>
      </c>
      <c r="I1665" s="10" t="inlineStr">
        <is>
          <t>ออโต้ สมาร์ท</t>
        </is>
      </c>
      <c r="J1665" s="161" t="n">
        <v>23661</v>
      </c>
      <c r="K1665" s="8" t="n">
        <v>202110080</v>
      </c>
      <c r="L1665" s="8" t="inlineStr">
        <is>
          <t>ราคาที่ลง ยังไม่รวมภาษี</t>
        </is>
      </c>
    </row>
    <row r="1666">
      <c r="B1666" s="6" t="inlineStr">
        <is>
          <t>กาว AB 150 (4ลิตร) B/C Binder</t>
        </is>
      </c>
      <c r="C1666" s="8" t="inlineStr">
        <is>
          <t>1กป.</t>
        </is>
      </c>
      <c r="D1666" s="9" t="n">
        <v>1880</v>
      </c>
      <c r="F1666" s="8" t="n">
        <v>23</v>
      </c>
      <c r="G1666" s="10" t="n">
        <v>1447.6</v>
      </c>
      <c r="H1666" s="9" t="n">
        <v>1447.6</v>
      </c>
      <c r="I1666" s="10" t="inlineStr">
        <is>
          <t>ออโต้ สมาร์ท</t>
        </is>
      </c>
      <c r="J1666" s="161" t="n">
        <v>23678</v>
      </c>
      <c r="K1666" s="8" t="n">
        <v>202110201</v>
      </c>
      <c r="L1666" s="8" t="inlineStr">
        <is>
          <t>ราคาที่ลง ยังไม่รวมภาษี</t>
        </is>
      </c>
    </row>
    <row r="1667">
      <c r="B1667" s="6" t="inlineStr">
        <is>
          <t>กาว AB 150 (4ลิตร) B/C Binder</t>
        </is>
      </c>
      <c r="C1667" s="8" t="inlineStr">
        <is>
          <t>1กป.</t>
        </is>
      </c>
      <c r="D1667" s="9" t="n">
        <v>1880</v>
      </c>
      <c r="F1667" s="8" t="n">
        <v>23</v>
      </c>
      <c r="G1667" s="10" t="n">
        <v>1447.6</v>
      </c>
      <c r="H1667" s="9" t="n">
        <v>1447.6</v>
      </c>
      <c r="I1667" s="10" t="inlineStr">
        <is>
          <t>ออโต้ สมาร์ท</t>
        </is>
      </c>
      <c r="J1667" s="161" t="n">
        <v>23691</v>
      </c>
      <c r="K1667" s="8" t="n">
        <v>202111095</v>
      </c>
      <c r="L1667" s="8" t="inlineStr">
        <is>
          <t>ราคาที่ลง ยังไม่รวมภาษี</t>
        </is>
      </c>
    </row>
    <row r="1668">
      <c r="B1668" s="6" t="inlineStr">
        <is>
          <t>กาว AB 150 (4ลิตร) B/C Binder</t>
        </is>
      </c>
      <c r="C1668" s="8" t="inlineStr">
        <is>
          <t>2กป.</t>
        </is>
      </c>
      <c r="D1668" s="9" t="n">
        <v>1995</v>
      </c>
      <c r="F1668" s="8" t="n">
        <v>23</v>
      </c>
      <c r="G1668" s="10" t="n">
        <v>1536.15</v>
      </c>
      <c r="H1668" s="9" t="n">
        <v>3072.3</v>
      </c>
      <c r="I1668" s="10" t="inlineStr">
        <is>
          <t>ออโต้ สมาร์ท</t>
        </is>
      </c>
      <c r="J1668" s="161" t="n">
        <v>23796</v>
      </c>
      <c r="K1668" s="8" t="n">
        <v>202202199</v>
      </c>
      <c r="L1668" s="8" t="inlineStr">
        <is>
          <t>ราคาที่ลง ยังไม่รวมภาษี</t>
        </is>
      </c>
    </row>
    <row r="1669">
      <c r="B1669" s="6" t="inlineStr">
        <is>
          <t>กาว AB 150 (4ลิตร) B/C Binder</t>
        </is>
      </c>
      <c r="C1669" s="8" t="inlineStr">
        <is>
          <t>2กป.</t>
        </is>
      </c>
      <c r="D1669" s="9" t="n">
        <v>1995</v>
      </c>
      <c r="F1669" s="8" t="n">
        <v>23</v>
      </c>
      <c r="G1669" s="10" t="n">
        <v>1536.15</v>
      </c>
      <c r="H1669" s="9" t="n">
        <v>3072.3</v>
      </c>
      <c r="I1669" s="10" t="inlineStr">
        <is>
          <t>ออโต้ สมาร์ท</t>
        </is>
      </c>
      <c r="J1669" s="161" t="n">
        <v>23811</v>
      </c>
      <c r="K1669" s="8" t="n">
        <v>202203091</v>
      </c>
      <c r="L1669" s="8" t="inlineStr">
        <is>
          <t>ราคาที่ลง ยังไม่รวมภาษี</t>
        </is>
      </c>
    </row>
    <row r="1670">
      <c r="B1670" s="6" t="inlineStr">
        <is>
          <t>กาว AB 150 (4ลิตร) B/C Binder</t>
        </is>
      </c>
      <c r="C1670" s="8" t="inlineStr">
        <is>
          <t>2กป.</t>
        </is>
      </c>
      <c r="D1670" s="9" t="n">
        <v>1995</v>
      </c>
      <c r="F1670" s="8" t="n">
        <v>23</v>
      </c>
      <c r="G1670" s="10" t="n">
        <v>1536.15</v>
      </c>
      <c r="H1670" s="9" t="n">
        <v>3072.3</v>
      </c>
      <c r="I1670" s="10" t="inlineStr">
        <is>
          <t>ออโต้ สมาร์ท</t>
        </is>
      </c>
      <c r="J1670" s="161" t="n">
        <v>23829</v>
      </c>
      <c r="K1670" s="8" t="n">
        <v>202203217</v>
      </c>
      <c r="L1670" s="8" t="inlineStr">
        <is>
          <t>ราคาที่ลง ยังไม่รวมภาษี</t>
        </is>
      </c>
    </row>
    <row r="1671">
      <c r="B1671" s="6" t="inlineStr">
        <is>
          <t>กาว AB 150 (4ลิตร) B/C Binder</t>
        </is>
      </c>
      <c r="C1671" s="8" t="inlineStr">
        <is>
          <t>2กป.</t>
        </is>
      </c>
      <c r="D1671" s="9" t="n">
        <v>1995</v>
      </c>
      <c r="F1671" s="8" t="n">
        <v>23</v>
      </c>
      <c r="G1671" s="10" t="n">
        <v>1536.15</v>
      </c>
      <c r="H1671" s="9" t="n">
        <v>3072.3</v>
      </c>
      <c r="I1671" s="10" t="inlineStr">
        <is>
          <t>ออโต้ สมาร์ท</t>
        </is>
      </c>
      <c r="J1671" s="161" t="n">
        <v>23868</v>
      </c>
      <c r="K1671" s="8" t="n">
        <v>202205057</v>
      </c>
      <c r="L1671" s="8" t="inlineStr">
        <is>
          <t>ราคาที่ลง ยังไม่รวมภาษี</t>
        </is>
      </c>
    </row>
    <row r="1672">
      <c r="B1672" s="6" t="inlineStr">
        <is>
          <t>กาว AB 150 (4ลิตร) B/C Binder 600</t>
        </is>
      </c>
      <c r="C1672" s="8" t="inlineStr">
        <is>
          <t>3กป.</t>
        </is>
      </c>
      <c r="D1672" s="9" t="n">
        <v>1995</v>
      </c>
      <c r="F1672" s="8" t="n">
        <v>23</v>
      </c>
      <c r="G1672" s="10" t="n">
        <v>1536.15</v>
      </c>
      <c r="H1672" s="9" t="n">
        <v>4608.45</v>
      </c>
      <c r="I1672" s="10" t="inlineStr">
        <is>
          <t>บจก. วีที คัลเลอร์ โปร</t>
        </is>
      </c>
      <c r="J1672" s="161" t="n">
        <v>23943</v>
      </c>
      <c r="K1672" s="8" t="inlineStr">
        <is>
          <t>IV100-65</t>
        </is>
      </c>
      <c r="L1672" s="8" t="inlineStr">
        <is>
          <t>ราคาที่ลง ยังไม่รวมภาษี</t>
        </is>
      </c>
    </row>
    <row r="1673" customFormat="1" s="30">
      <c r="A1673" s="68" t="n"/>
      <c r="B1673" s="30" t="inlineStr">
        <is>
          <t>** เมื่อ 26/8/65 วาทีเสนอขายยี่ห้อใหม่ แกลลอนละ(4ลิตร) = 1,100 บาท (พี่หนุ่มเทสต์ของแล้ว บอกว่าใช้ได้)</t>
        </is>
      </c>
      <c r="C1673" s="29" t="n"/>
      <c r="D1673" s="31" t="n"/>
      <c r="E1673" s="31" t="n"/>
      <c r="F1673" s="29" t="n"/>
      <c r="G1673" s="32" t="n"/>
      <c r="H1673" s="31" t="n"/>
      <c r="I1673" s="32" t="n"/>
      <c r="J1673" s="165" t="n"/>
      <c r="K1673" s="29" t="n"/>
      <c r="L1673" s="29" t="n"/>
    </row>
    <row r="1674" customFormat="1" s="40">
      <c r="A1674" s="76" t="n"/>
      <c r="B1674" s="40" t="inlineStr">
        <is>
          <t>กาว Binder 150 SC super color Base coat 2K (3.875 ลิตร)</t>
        </is>
      </c>
      <c r="C1674" s="36" t="inlineStr">
        <is>
          <t>2กล.</t>
        </is>
      </c>
      <c r="D1674" s="37" t="n">
        <v>1100</v>
      </c>
      <c r="E1674" s="37" t="n"/>
      <c r="F1674" s="36" t="n">
        <v>23</v>
      </c>
      <c r="G1674" s="38" t="n">
        <v>847</v>
      </c>
      <c r="H1674" s="37" t="n">
        <v>1694</v>
      </c>
      <c r="I1674" s="10" t="inlineStr">
        <is>
          <t>บจก. วีที คัลเลอร์ โปร</t>
        </is>
      </c>
      <c r="J1674" s="167" t="n">
        <v>23980</v>
      </c>
      <c r="K1674" s="8" t="inlineStr">
        <is>
          <t>IV152-65</t>
        </is>
      </c>
      <c r="L1674" s="8" t="inlineStr">
        <is>
          <t>ราคาที่ลง ยังไม่รวมภาษี</t>
        </is>
      </c>
    </row>
    <row r="1675" customFormat="1" s="40">
      <c r="A1675" s="76" t="n"/>
      <c r="B1675" s="40" t="inlineStr">
        <is>
          <t>กาว Binder 150 SC super color Base coat 2K (3.875 ลิตร)</t>
        </is>
      </c>
      <c r="C1675" s="36" t="inlineStr">
        <is>
          <t>2กล.</t>
        </is>
      </c>
      <c r="D1675" s="37" t="n">
        <v>1100</v>
      </c>
      <c r="E1675" s="37" t="n"/>
      <c r="F1675" s="36" t="n"/>
      <c r="G1675" s="38" t="n"/>
      <c r="H1675" s="37" t="n">
        <v>1100</v>
      </c>
      <c r="I1675" s="10" t="inlineStr">
        <is>
          <t>บจก. วีที คัลเลอร์ โปร</t>
        </is>
      </c>
      <c r="J1675" s="167" t="n">
        <v>24018</v>
      </c>
      <c r="K1675" s="8" t="inlineStr">
        <is>
          <t>IV198-65</t>
        </is>
      </c>
      <c r="L1675" s="8" t="inlineStr">
        <is>
          <t>ราคาที่ลง ยังไม่รวมภาษี</t>
        </is>
      </c>
    </row>
    <row r="1677">
      <c r="B1677" s="6" t="inlineStr">
        <is>
          <t>กาว AB 150 (3.5ลิตร) B/C Binder</t>
        </is>
      </c>
      <c r="C1677" s="8" t="inlineStr">
        <is>
          <t>2กป.</t>
        </is>
      </c>
      <c r="D1677" s="9" t="n">
        <v>1645</v>
      </c>
      <c r="F1677" s="8" t="n">
        <v>23</v>
      </c>
      <c r="H1677" s="9" t="n">
        <v>2533.3</v>
      </c>
      <c r="I1677" s="10" t="inlineStr">
        <is>
          <t>ออโต้ สมาร์ท</t>
        </is>
      </c>
      <c r="J1677" s="161" t="n">
        <v>23349</v>
      </c>
      <c r="L1677" s="8" t="inlineStr">
        <is>
          <t>ราคาที่ลง ยังไม่รวมภาษี</t>
        </is>
      </c>
    </row>
    <row r="1678">
      <c r="B1678" s="6" t="inlineStr">
        <is>
          <t>กาว AB 150 (3.5ลิตร) B/C Binder</t>
        </is>
      </c>
      <c r="C1678" s="8" t="inlineStr">
        <is>
          <t>1กป.</t>
        </is>
      </c>
      <c r="D1678" s="9" t="n">
        <v>1645</v>
      </c>
      <c r="F1678" s="8" t="n">
        <v>23</v>
      </c>
      <c r="H1678" s="9" t="n">
        <v>1266.65</v>
      </c>
      <c r="I1678" s="10" t="inlineStr">
        <is>
          <t>ออโต้ สมาร์ท</t>
        </is>
      </c>
      <c r="J1678" s="161" t="n">
        <v>23354</v>
      </c>
      <c r="L1678" s="8" t="inlineStr">
        <is>
          <t>ราคาที่ลง ยังไม่รวมภาษี</t>
        </is>
      </c>
    </row>
    <row r="1679">
      <c r="B1679" s="6" t="inlineStr">
        <is>
          <t>กาว AB 150 (3.5ลิตร) B/C Binder</t>
        </is>
      </c>
      <c r="C1679" s="8" t="inlineStr">
        <is>
          <t>1กป.</t>
        </is>
      </c>
      <c r="D1679" s="9" t="n">
        <v>1645</v>
      </c>
      <c r="F1679" s="8" t="n">
        <v>23</v>
      </c>
      <c r="H1679" s="9" t="n">
        <v>1266.65</v>
      </c>
      <c r="I1679" s="10" t="inlineStr">
        <is>
          <t>ออโต้ สมาร์ท</t>
        </is>
      </c>
      <c r="J1679" s="161" t="n">
        <v>23442</v>
      </c>
      <c r="L1679" s="8" t="inlineStr">
        <is>
          <t>ราคาที่ลง ยังไม่รวมภาษี</t>
        </is>
      </c>
    </row>
    <row r="1680">
      <c r="B1680" s="6" t="inlineStr">
        <is>
          <t>กาว AB 150 (3.5ลิตร) B/C Binder</t>
        </is>
      </c>
      <c r="C1680" s="8" t="inlineStr">
        <is>
          <t>2กป.</t>
        </is>
      </c>
      <c r="D1680" s="9" t="n">
        <v>1645</v>
      </c>
      <c r="F1680" s="8" t="n">
        <v>23</v>
      </c>
      <c r="H1680" s="9" t="n">
        <v>2533.3</v>
      </c>
      <c r="I1680" s="10" t="inlineStr">
        <is>
          <t>ออโต้ สมาร์ท</t>
        </is>
      </c>
      <c r="J1680" s="161" t="n">
        <v>23577</v>
      </c>
      <c r="L1680" s="8" t="inlineStr">
        <is>
          <t>ราคาที่ลง ยังไม่รวมภาษี</t>
        </is>
      </c>
    </row>
    <row r="1682">
      <c r="B1682" s="6" t="inlineStr">
        <is>
          <t>กาว SC-150</t>
        </is>
      </c>
      <c r="C1682" s="8" t="inlineStr">
        <is>
          <t>4กล.</t>
        </is>
      </c>
      <c r="D1682" s="9" t="n">
        <v>1000</v>
      </c>
      <c r="H1682" s="9" t="n">
        <v>4000</v>
      </c>
      <c r="I1682" s="10" t="inlineStr">
        <is>
          <t>บจก. วีที คัลเลอร์ โปร</t>
        </is>
      </c>
      <c r="J1682" s="161" t="n">
        <v>24061</v>
      </c>
      <c r="K1682" s="8" t="inlineStr">
        <is>
          <t>IV261-65</t>
        </is>
      </c>
      <c r="L1682" s="8" t="inlineStr">
        <is>
          <t>ราคาที่ลง ยังไม่รวมภาษี</t>
        </is>
      </c>
    </row>
    <row r="1683">
      <c r="B1683" s="6" t="inlineStr">
        <is>
          <t>กาว SC-150</t>
        </is>
      </c>
      <c r="C1683" s="8" t="inlineStr">
        <is>
          <t>4กล.</t>
        </is>
      </c>
      <c r="D1683" s="9" t="n">
        <v>1000</v>
      </c>
      <c r="H1683" s="9" t="n">
        <v>4000</v>
      </c>
      <c r="I1683" s="10" t="inlineStr">
        <is>
          <t>บจก. วีที คัลเลอร์ โปร</t>
        </is>
      </c>
      <c r="J1683" s="161" t="n">
        <v>24096</v>
      </c>
      <c r="K1683" s="8" t="inlineStr">
        <is>
          <t>IV322-65</t>
        </is>
      </c>
      <c r="L1683" s="8" t="inlineStr">
        <is>
          <t>ราคาที่ลง ยังไม่รวมภาษี</t>
        </is>
      </c>
    </row>
    <row r="1684">
      <c r="B1684" s="6" t="inlineStr">
        <is>
          <t>กาว SC-150</t>
        </is>
      </c>
      <c r="C1684" s="8" t="inlineStr">
        <is>
          <t>2กล.</t>
        </is>
      </c>
      <c r="D1684" s="9" t="n">
        <v>1000</v>
      </c>
      <c r="H1684" s="9" t="n">
        <v>2000</v>
      </c>
      <c r="I1684" s="10" t="inlineStr">
        <is>
          <t>บจก. วีที คัลเลอร์ โปร</t>
        </is>
      </c>
      <c r="J1684" s="161" t="n">
        <v>24124</v>
      </c>
      <c r="K1684" s="8" t="inlineStr">
        <is>
          <t>IV036-66</t>
        </is>
      </c>
      <c r="L1684" s="8" t="inlineStr">
        <is>
          <t>ราคาที่ลง ยังไม่รวมภาษี</t>
        </is>
      </c>
    </row>
    <row r="1685">
      <c r="B1685" s="6" t="inlineStr">
        <is>
          <t>กาว SC-150</t>
        </is>
      </c>
      <c r="C1685" s="8" t="inlineStr">
        <is>
          <t>4กล.</t>
        </is>
      </c>
      <c r="D1685" s="9" t="n">
        <v>1000</v>
      </c>
      <c r="H1685" s="9" t="n">
        <v>4000</v>
      </c>
      <c r="I1685" s="10" t="inlineStr">
        <is>
          <t>บจก. วีที คัลเลอร์ โปร</t>
        </is>
      </c>
      <c r="J1685" s="161" t="n">
        <v>24168</v>
      </c>
      <c r="K1685" s="8" t="inlineStr">
        <is>
          <t>IV130-66</t>
        </is>
      </c>
      <c r="L1685" s="8" t="inlineStr">
        <is>
          <t>ราคาที่ลง ยังไม่รวมภาษี</t>
        </is>
      </c>
    </row>
    <row r="1686">
      <c r="B1686" s="6" t="inlineStr">
        <is>
          <t>กาว SC-150</t>
        </is>
      </c>
      <c r="C1686" s="8" t="inlineStr">
        <is>
          <t>1กล.</t>
        </is>
      </c>
      <c r="D1686" s="9" t="n">
        <v>1000</v>
      </c>
      <c r="H1686" s="9" t="n">
        <v>1000</v>
      </c>
      <c r="I1686" s="10" t="inlineStr">
        <is>
          <t>บจก. วีที คัลเลอร์ โปร</t>
        </is>
      </c>
      <c r="J1686" s="161" t="n">
        <v>24222</v>
      </c>
      <c r="K1686" s="8" t="inlineStr">
        <is>
          <t>IV230-66</t>
        </is>
      </c>
      <c r="L1686" s="8" t="inlineStr">
        <is>
          <t>ราคาที่ลง ยังไม่รวมภาษี</t>
        </is>
      </c>
    </row>
    <row r="1687">
      <c r="B1687" s="6" t="inlineStr">
        <is>
          <t>กาว SC-150</t>
        </is>
      </c>
      <c r="C1687" s="8" t="inlineStr">
        <is>
          <t>2กล.</t>
        </is>
      </c>
      <c r="D1687" s="9" t="n">
        <v>1000</v>
      </c>
      <c r="H1687" s="9" t="n">
        <v>2000</v>
      </c>
      <c r="I1687" s="10" t="inlineStr">
        <is>
          <t>บจก. วีที คัลเลอร์ โปร</t>
        </is>
      </c>
      <c r="J1687" s="161" t="n">
        <v>24272</v>
      </c>
      <c r="K1687" s="8" t="inlineStr">
        <is>
          <t>IV336-66</t>
        </is>
      </c>
      <c r="L1687" s="8" t="inlineStr">
        <is>
          <t>ราคาที่ลง ยังไม่รวมภาษี</t>
        </is>
      </c>
    </row>
    <row r="1689">
      <c r="B1689" s="6" t="inlineStr">
        <is>
          <t>กาว Hybrid 150</t>
        </is>
      </c>
      <c r="C1689" s="8" t="inlineStr">
        <is>
          <t>4กล.</t>
        </is>
      </c>
      <c r="D1689" s="9" t="n">
        <v>1000</v>
      </c>
      <c r="H1689" s="9" t="n">
        <v>4000</v>
      </c>
      <c r="I1689" s="10" t="inlineStr">
        <is>
          <t>บจก. วีที คัลเลอร์ โปร</t>
        </is>
      </c>
      <c r="J1689" s="161" t="n">
        <v>24298</v>
      </c>
      <c r="K1689" s="8" t="inlineStr">
        <is>
          <t>IV387-66</t>
        </is>
      </c>
      <c r="L1689" s="8" t="inlineStr">
        <is>
          <t>ราคาที่ลง ยังไม่รวมภาษี</t>
        </is>
      </c>
    </row>
    <row r="1690">
      <c r="B1690" s="6" t="inlineStr">
        <is>
          <t>กาว Hybrid 150</t>
        </is>
      </c>
      <c r="C1690" s="8" t="inlineStr">
        <is>
          <t>4กล.</t>
        </is>
      </c>
      <c r="D1690" s="9" t="n">
        <v>1000</v>
      </c>
      <c r="H1690" s="9" t="n">
        <v>4000</v>
      </c>
      <c r="I1690" s="10" t="inlineStr">
        <is>
          <t>บจก. วีที คัลเลอร์ โปร</t>
        </is>
      </c>
      <c r="J1690" s="161" t="n">
        <v>24315</v>
      </c>
      <c r="K1690" s="8" t="inlineStr">
        <is>
          <t>IV424-66</t>
        </is>
      </c>
      <c r="L1690" s="8" t="inlineStr">
        <is>
          <t>ราคาที่ลง ยังไม่รวมภาษี</t>
        </is>
      </c>
    </row>
    <row r="1691">
      <c r="B1691" s="6" t="inlineStr">
        <is>
          <t>กาว Hybrid 150</t>
        </is>
      </c>
      <c r="C1691" s="8" t="n">
        <v>3</v>
      </c>
      <c r="D1691" s="9" t="n">
        <v>1000</v>
      </c>
      <c r="H1691" s="9">
        <f>SUM(D1691*C1691)</f>
        <v/>
      </c>
      <c r="I1691" s="10" t="inlineStr">
        <is>
          <t>บจก. วีที คัลเลอร์ โปร</t>
        </is>
      </c>
      <c r="J1691" s="161" t="n">
        <v>24372</v>
      </c>
      <c r="K1691" s="8" t="inlineStr">
        <is>
          <t>IV542-66</t>
        </is>
      </c>
      <c r="L1691" s="8" t="inlineStr">
        <is>
          <t>ราคาที่ลง ยังไม่รวมภาษี</t>
        </is>
      </c>
    </row>
    <row r="1692">
      <c r="B1692" s="6" t="inlineStr">
        <is>
          <t>กาว Hybrid 150</t>
        </is>
      </c>
      <c r="C1692" s="8" t="n">
        <v>4</v>
      </c>
      <c r="D1692" s="9" t="n">
        <v>1000</v>
      </c>
      <c r="H1692" s="9">
        <f>SUM(D1692*C1692)</f>
        <v/>
      </c>
      <c r="I1692" s="10" t="inlineStr">
        <is>
          <t>บจก. วีที คัลเลอร์ โปร</t>
        </is>
      </c>
      <c r="J1692" s="161" t="n">
        <v>24396</v>
      </c>
      <c r="K1692" s="8" t="inlineStr">
        <is>
          <t>IV591-66</t>
        </is>
      </c>
      <c r="L1692" s="8" t="inlineStr">
        <is>
          <t>ราคาที่ลง ยังไม่รวมภาษี</t>
        </is>
      </c>
    </row>
    <row r="1693">
      <c r="B1693" s="6" t="inlineStr">
        <is>
          <t>กาว Hybrid 150</t>
        </is>
      </c>
      <c r="C1693" s="8" t="n">
        <v>4</v>
      </c>
      <c r="D1693" s="9" t="n">
        <v>1000</v>
      </c>
      <c r="H1693" s="9">
        <f>SUM(D1693*C1693)</f>
        <v/>
      </c>
      <c r="I1693" s="10" t="inlineStr">
        <is>
          <t>บจก. วีที คัลเลอร์ โปร</t>
        </is>
      </c>
      <c r="J1693" s="161" t="n">
        <v>24396</v>
      </c>
      <c r="K1693" s="8" t="inlineStr">
        <is>
          <t>IV591-66</t>
        </is>
      </c>
      <c r="L1693" s="8" t="inlineStr">
        <is>
          <t>ราคาที่ลง ยังไม่รวมภาษี</t>
        </is>
      </c>
    </row>
    <row r="1694">
      <c r="B1694" s="6" t="inlineStr">
        <is>
          <t>กาว Hybrid 150</t>
        </is>
      </c>
      <c r="C1694" s="8" t="n">
        <v>8</v>
      </c>
      <c r="D1694" s="9" t="n">
        <v>1000</v>
      </c>
      <c r="H1694" s="9">
        <f>SUM(D1694*C1694)</f>
        <v/>
      </c>
      <c r="I1694" s="10" t="inlineStr">
        <is>
          <t>บจก. วีที คัลเลอร์ โปร</t>
        </is>
      </c>
      <c r="J1694" s="161" t="n">
        <v>24452</v>
      </c>
      <c r="K1694" s="8" t="inlineStr">
        <is>
          <t>IV734-66</t>
        </is>
      </c>
      <c r="L1694" s="8" t="inlineStr">
        <is>
          <t>ราคาที่ลง ยังไม่รวมภาษี</t>
        </is>
      </c>
    </row>
    <row r="1695">
      <c r="B1695" s="6" t="inlineStr">
        <is>
          <t>กาว Hybrid 150</t>
        </is>
      </c>
      <c r="C1695" s="8" t="n">
        <v>8</v>
      </c>
      <c r="D1695" s="9" t="n">
        <v>1000</v>
      </c>
      <c r="H1695" s="9">
        <f>SUM(D1695*C1695)</f>
        <v/>
      </c>
      <c r="I1695" s="10" t="inlineStr">
        <is>
          <t>บจก. วีที คัลเลอร์ โปร</t>
        </is>
      </c>
      <c r="J1695" s="161" t="n">
        <v>24613</v>
      </c>
      <c r="K1695" s="8" t="inlineStr">
        <is>
          <t>IV6705106</t>
        </is>
      </c>
      <c r="L1695" s="8" t="inlineStr">
        <is>
          <t>ราคาที่ลง ยังไม่รวมภาษี</t>
        </is>
      </c>
    </row>
    <row r="1696">
      <c r="B1696" s="6" t="inlineStr">
        <is>
          <t>กาว Hybrid 150</t>
        </is>
      </c>
      <c r="C1696" s="8" t="n">
        <v>4</v>
      </c>
      <c r="D1696" s="9" t="n">
        <v>1000</v>
      </c>
      <c r="H1696" s="9">
        <f>SUM(D1696*C1696)</f>
        <v/>
      </c>
      <c r="I1696" s="10" t="inlineStr">
        <is>
          <t>บจก. วีที คัลเลอร์ โปร</t>
        </is>
      </c>
      <c r="J1696" s="161" t="n">
        <v>24550</v>
      </c>
      <c r="K1696" s="8" t="inlineStr">
        <is>
          <t>IV6703089</t>
        </is>
      </c>
      <c r="L1696" s="8" t="inlineStr">
        <is>
          <t>ราคาที่ลง ยังไม่รวมภาษี</t>
        </is>
      </c>
    </row>
    <row r="1697">
      <c r="B1697" s="6" t="inlineStr">
        <is>
          <t>กาว Hybrid 150</t>
        </is>
      </c>
      <c r="C1697" s="8" t="n">
        <v>4</v>
      </c>
      <c r="D1697" s="9" t="n">
        <v>1000</v>
      </c>
      <c r="H1697" s="9">
        <f>SUM(D1697*C1697)</f>
        <v/>
      </c>
      <c r="I1697" s="10" t="inlineStr">
        <is>
          <t>บจก. วีที คัลเลอร์ โปร</t>
        </is>
      </c>
      <c r="J1697" s="161" t="n">
        <v>24707</v>
      </c>
      <c r="K1697" s="8" t="inlineStr">
        <is>
          <t>IV6708117</t>
        </is>
      </c>
      <c r="L1697" s="8" t="inlineStr">
        <is>
          <t>ราคาที่ลง ยังไม่รวมภาษี</t>
        </is>
      </c>
    </row>
    <row r="1698">
      <c r="B1698" s="6" t="inlineStr">
        <is>
          <t>กาว Hybrid 150</t>
        </is>
      </c>
      <c r="C1698" s="8" t="n">
        <v>2</v>
      </c>
      <c r="D1698" s="9" t="n">
        <v>1000</v>
      </c>
      <c r="H1698" s="9">
        <f>SUM(D1698*C1698)</f>
        <v/>
      </c>
      <c r="I1698" s="10" t="inlineStr">
        <is>
          <t>บจก. วีที คัลเลอร์ โปร</t>
        </is>
      </c>
      <c r="J1698" s="161" t="n">
        <v>24755</v>
      </c>
      <c r="K1698" s="8" t="inlineStr">
        <is>
          <t>IV6710058</t>
        </is>
      </c>
      <c r="L1698" s="8" t="inlineStr">
        <is>
          <t>ราคาที่ลง ยังไม่รวมภาษี</t>
        </is>
      </c>
    </row>
    <row r="1699">
      <c r="B1699" s="6" t="inlineStr">
        <is>
          <t>กาว Hybrid 150</t>
        </is>
      </c>
      <c r="C1699" s="8" t="n">
        <v>4</v>
      </c>
      <c r="D1699" s="9" t="n">
        <v>1000</v>
      </c>
      <c r="H1699" s="9">
        <f>SUM(D1699*C1699)</f>
        <v/>
      </c>
      <c r="I1699" s="10" t="inlineStr">
        <is>
          <t>บจก. วีที คัลเลอร์ โปร</t>
        </is>
      </c>
      <c r="J1699" s="161" t="n">
        <v>24774</v>
      </c>
      <c r="K1699" s="8" t="inlineStr">
        <is>
          <t>IV6710152</t>
        </is>
      </c>
      <c r="L1699" s="8" t="inlineStr">
        <is>
          <t>ราคาที่ลง ยังไม่รวมภาษี</t>
        </is>
      </c>
    </row>
    <row r="1700">
      <c r="B1700" s="6" t="inlineStr">
        <is>
          <t>กาว Hybrid 150</t>
        </is>
      </c>
      <c r="C1700" s="8" t="n">
        <v>4</v>
      </c>
      <c r="D1700" s="9" t="n">
        <v>1000</v>
      </c>
      <c r="H1700" s="9">
        <f>SUM(D1700*C1700)</f>
        <v/>
      </c>
      <c r="I1700" s="10" t="inlineStr">
        <is>
          <t>บจก. วีที คัลเลอร์ โปร</t>
        </is>
      </c>
      <c r="J1700" s="161" t="n">
        <v>24818</v>
      </c>
      <c r="K1700" s="8" t="inlineStr">
        <is>
          <t>IV6712064</t>
        </is>
      </c>
      <c r="L1700" s="8" t="inlineStr">
        <is>
          <t>ราคาที่ลง ยังไม่รวมภาษี</t>
        </is>
      </c>
    </row>
    <row r="1701">
      <c r="B1701" s="6" t="inlineStr">
        <is>
          <t>กาว Hybrid 150</t>
        </is>
      </c>
      <c r="C1701" s="8" t="n">
        <v>4</v>
      </c>
      <c r="D1701" s="9" t="n">
        <v>1000</v>
      </c>
      <c r="H1701" s="9">
        <f>SUM(D1701*C1701)</f>
        <v/>
      </c>
      <c r="I1701" s="10" t="inlineStr">
        <is>
          <t>บจก. วีที คัลเลอร์ โปร</t>
        </is>
      </c>
      <c r="J1701" s="161" t="n">
        <v>24889</v>
      </c>
      <c r="K1701" s="8" t="inlineStr">
        <is>
          <t>IV6802127</t>
        </is>
      </c>
      <c r="L1701" s="8" t="inlineStr">
        <is>
          <t>ราคาที่ลง ยังไม่รวมภาษี</t>
        </is>
      </c>
    </row>
    <row r="1702">
      <c r="B1702" s="6" t="inlineStr">
        <is>
          <t>กาว Hybrid 150</t>
        </is>
      </c>
      <c r="C1702" s="8" t="n">
        <v>6</v>
      </c>
      <c r="D1702" s="9" t="n">
        <v>1000</v>
      </c>
      <c r="E1702" s="9">
        <f>SUM(C1702*D1702)</f>
        <v/>
      </c>
      <c r="G1702" s="10" t="inlineStr">
        <is>
          <t>รวมVAT =</t>
        </is>
      </c>
      <c r="H1702" s="9">
        <f>SUM(E1702*O1702/N1702)</f>
        <v/>
      </c>
      <c r="I1702" s="10" t="inlineStr">
        <is>
          <t>บจก. วีที คัลเลอร์ โปร</t>
        </is>
      </c>
      <c r="J1702" s="161" t="n">
        <v>24999</v>
      </c>
      <c r="K1702" s="8" t="inlineStr">
        <is>
          <t>IV6806061</t>
        </is>
      </c>
      <c r="N1702" s="6" t="n">
        <v>100</v>
      </c>
      <c r="O1702" s="6" t="n">
        <v>107</v>
      </c>
    </row>
    <row r="1703">
      <c r="B1703" s="6" t="inlineStr">
        <is>
          <t>กาว Hybrid 150</t>
        </is>
      </c>
      <c r="C1703" s="8" t="n">
        <v>6</v>
      </c>
      <c r="D1703" s="9" t="n">
        <v>1000</v>
      </c>
      <c r="E1703" s="9">
        <f>SUM(C1703*D1703)</f>
        <v/>
      </c>
      <c r="G1703" s="10" t="inlineStr">
        <is>
          <t>รวมVAT =</t>
        </is>
      </c>
      <c r="H1703" s="9">
        <f>SUM(E1703*O1703/N1703)</f>
        <v/>
      </c>
      <c r="I1703" s="10" t="inlineStr">
        <is>
          <t>บจก. วีที คัลเลอร์ โปร</t>
        </is>
      </c>
      <c r="J1703" s="161" t="n">
        <v>25113</v>
      </c>
      <c r="K1703" s="8" t="inlineStr">
        <is>
          <t>IV6810023</t>
        </is>
      </c>
      <c r="N1703" s="6" t="n">
        <v>100</v>
      </c>
      <c r="O1703" s="6" t="n">
        <v>107</v>
      </c>
    </row>
    <row r="1705">
      <c r="B1705" s="6" t="inlineStr">
        <is>
          <t>กาว Hybrid 160</t>
        </is>
      </c>
      <c r="C1705" s="8" t="n">
        <v>2</v>
      </c>
      <c r="D1705" s="9" t="n">
        <v>1200</v>
      </c>
      <c r="H1705" s="9">
        <f>SUM(D1705*C1705)</f>
        <v/>
      </c>
      <c r="I1705" s="10" t="inlineStr">
        <is>
          <t>บจก. วีที คัลเลอร์ โปร</t>
        </is>
      </c>
      <c r="J1705" s="161" t="n">
        <v>24401</v>
      </c>
      <c r="K1705" s="8" t="inlineStr">
        <is>
          <t>IV685-66</t>
        </is>
      </c>
      <c r="L1705" s="8" t="inlineStr">
        <is>
          <t>ราคาที่ลง ยังไม่รวมภาษี</t>
        </is>
      </c>
    </row>
    <row r="1706">
      <c r="B1706" s="6" t="inlineStr">
        <is>
          <t>กาว Hybrid 160</t>
        </is>
      </c>
      <c r="C1706" s="8" t="n">
        <v>4</v>
      </c>
      <c r="D1706" s="9" t="n">
        <v>1200</v>
      </c>
      <c r="H1706" s="9">
        <f>SUM(D1706*C1706)</f>
        <v/>
      </c>
      <c r="I1706" s="10" t="inlineStr">
        <is>
          <t>บจก. วีที คัลเลอร์ โปร</t>
        </is>
      </c>
      <c r="J1706" s="161" t="n">
        <v>24452</v>
      </c>
      <c r="K1706" s="8" t="inlineStr">
        <is>
          <t>IV734-66</t>
        </is>
      </c>
      <c r="L1706" s="8" t="inlineStr">
        <is>
          <t>ราคาที่ลง ยังไม่รวมภาษี</t>
        </is>
      </c>
    </row>
    <row r="1707">
      <c r="B1707" s="6" t="inlineStr">
        <is>
          <t>กาว Hybrid 160</t>
        </is>
      </c>
      <c r="C1707" s="8" t="n">
        <v>1</v>
      </c>
      <c r="D1707" s="9" t="n">
        <v>1284</v>
      </c>
      <c r="H1707" s="9">
        <f>SUM(D1707*C1707)</f>
        <v/>
      </c>
      <c r="I1707" s="10" t="inlineStr">
        <is>
          <t>บจก. วีที คัลเลอร์ โปร</t>
        </is>
      </c>
      <c r="J1707" s="161" t="n">
        <v>24910</v>
      </c>
      <c r="K1707" s="8" t="inlineStr">
        <is>
          <t>IV6803094</t>
        </is>
      </c>
      <c r="L1707" s="8" t="inlineStr">
        <is>
          <t>ราคารวม VAT แล้ว</t>
        </is>
      </c>
    </row>
    <row r="1708">
      <c r="B1708" s="6" t="inlineStr">
        <is>
          <t>กาว Hybrid 160</t>
        </is>
      </c>
      <c r="C1708" s="8" t="n">
        <v>4</v>
      </c>
      <c r="D1708" s="9" t="n">
        <v>1200</v>
      </c>
      <c r="E1708" s="9">
        <f>SUM(C1708*D1708)</f>
        <v/>
      </c>
      <c r="G1708" s="10" t="inlineStr">
        <is>
          <t>รวมVAT =</t>
        </is>
      </c>
      <c r="H1708" s="9">
        <f>SUM(E1708*O1708/N1708)</f>
        <v/>
      </c>
      <c r="I1708" s="10" t="inlineStr">
        <is>
          <t>บจก. วีที คัลเลอร์ โปร</t>
        </is>
      </c>
      <c r="J1708" s="161" t="n">
        <v>24999</v>
      </c>
      <c r="K1708" s="8" t="inlineStr">
        <is>
          <t>IV6806061</t>
        </is>
      </c>
      <c r="N1708" s="6" t="n">
        <v>100</v>
      </c>
      <c r="O1708" s="6" t="n">
        <v>107</v>
      </c>
    </row>
    <row r="1710">
      <c r="B1710" s="6" t="inlineStr">
        <is>
          <t>กาว CROMAX160</t>
        </is>
      </c>
      <c r="C1710" s="8" t="inlineStr">
        <is>
          <t>2กล.</t>
        </is>
      </c>
      <c r="D1710" s="9" t="n">
        <v>1613</v>
      </c>
      <c r="H1710" s="9" t="n">
        <v>3226</v>
      </c>
      <c r="I1710" s="10" t="inlineStr">
        <is>
          <t>บจก. วีที คัลเลอร์ โปร</t>
        </is>
      </c>
      <c r="J1710" s="161" t="n">
        <v>24272</v>
      </c>
      <c r="K1710" s="8" t="inlineStr">
        <is>
          <t>IV336-66</t>
        </is>
      </c>
    </row>
    <row r="1712">
      <c r="A1712" s="66" t="inlineStr">
        <is>
          <t>สีโซเวนซ์</t>
        </is>
      </c>
      <c r="B1712" s="6" t="inlineStr">
        <is>
          <t xml:space="preserve">สีโซเวนซ์ Tack cloth M-64 </t>
        </is>
      </c>
      <c r="C1712" s="8" t="inlineStr">
        <is>
          <t>12ชิ้น</t>
        </is>
      </c>
      <c r="D1712" s="9" t="n">
        <v>60</v>
      </c>
      <c r="H1712" s="9" t="n">
        <v>720</v>
      </c>
      <c r="I1712" s="10" t="inlineStr">
        <is>
          <t>ออโต้ สมาร์ท</t>
        </is>
      </c>
      <c r="J1712" s="161" t="n">
        <v>22431</v>
      </c>
    </row>
    <row r="1713">
      <c r="B1713" s="6" t="inlineStr">
        <is>
          <t xml:space="preserve">สีโซเวนซ์ Tack cloth M-64 </t>
        </is>
      </c>
      <c r="C1713" s="8" t="inlineStr">
        <is>
          <t>12ชิ้น</t>
        </is>
      </c>
      <c r="D1713" s="9" t="n">
        <v>60</v>
      </c>
      <c r="H1713" s="9" t="n">
        <v>720</v>
      </c>
      <c r="I1713" s="10" t="inlineStr">
        <is>
          <t>ออโต้ สมาร์ท</t>
        </is>
      </c>
      <c r="J1713" s="161" t="n">
        <v>22849</v>
      </c>
      <c r="L1713" s="8" t="inlineStr">
        <is>
          <t>ราคาที่ลง ยังไม่รวมภาษี</t>
        </is>
      </c>
    </row>
    <row r="1714">
      <c r="B1714" s="6" t="inlineStr">
        <is>
          <t xml:space="preserve">สีโซเวนซ์ Tack cloth M-64 </t>
        </is>
      </c>
      <c r="C1714" s="8" t="inlineStr">
        <is>
          <t>12ชิ้น</t>
        </is>
      </c>
      <c r="D1714" s="9" t="n">
        <v>60</v>
      </c>
      <c r="H1714" s="9" t="n">
        <v>720</v>
      </c>
      <c r="I1714" s="10" t="inlineStr">
        <is>
          <t>ออโต้ สมาร์ท</t>
        </is>
      </c>
      <c r="J1714" s="161" t="n">
        <v>22898</v>
      </c>
      <c r="L1714" s="8" t="inlineStr">
        <is>
          <t>ราคาที่ลง ยังไม่รวมภาษี</t>
        </is>
      </c>
    </row>
    <row r="1715">
      <c r="B1715" s="6" t="inlineStr">
        <is>
          <t xml:space="preserve">สีโซเวนซ์ Tack cloth M-64 </t>
        </is>
      </c>
      <c r="C1715" s="8" t="inlineStr">
        <is>
          <t>12ชิ้น</t>
        </is>
      </c>
      <c r="D1715" s="9" t="n">
        <v>60</v>
      </c>
      <c r="H1715" s="9" t="n">
        <v>720</v>
      </c>
      <c r="I1715" s="10" t="inlineStr">
        <is>
          <t>ออโต้ สมาร์ท</t>
        </is>
      </c>
      <c r="J1715" s="161" t="n">
        <v>23095</v>
      </c>
      <c r="L1715" s="8" t="inlineStr">
        <is>
          <t>ราคาที่ลง ยังไม่รวมภาษี</t>
        </is>
      </c>
    </row>
    <row r="1716">
      <c r="B1716" s="6" t="inlineStr">
        <is>
          <t xml:space="preserve">สีโซเวนซ์ Tack cloth M-64 </t>
        </is>
      </c>
      <c r="C1716" s="8" t="inlineStr">
        <is>
          <t>12ชิ้น</t>
        </is>
      </c>
      <c r="D1716" s="9" t="n">
        <v>60</v>
      </c>
      <c r="H1716" s="9" t="n">
        <v>720</v>
      </c>
      <c r="I1716" s="10" t="inlineStr">
        <is>
          <t>ออโต้ สมาร์ท</t>
        </is>
      </c>
      <c r="J1716" s="161" t="n">
        <v>23254</v>
      </c>
      <c r="L1716" s="8" t="inlineStr">
        <is>
          <t>ราคาที่ลง ยังไม่รวมภาษี</t>
        </is>
      </c>
    </row>
    <row r="1717">
      <c r="B1717" s="6" t="inlineStr">
        <is>
          <t xml:space="preserve">สีโซเวนซ์ Tack cloth M-64 </t>
        </is>
      </c>
      <c r="C1717" s="8" t="inlineStr">
        <is>
          <t>12ชิ้น</t>
        </is>
      </c>
      <c r="D1717" s="9" t="n">
        <v>60</v>
      </c>
      <c r="H1717" s="9" t="n">
        <v>720</v>
      </c>
      <c r="I1717" s="10" t="inlineStr">
        <is>
          <t>ออโต้ สมาร์ท</t>
        </is>
      </c>
      <c r="J1717" s="161" t="n">
        <v>23308</v>
      </c>
      <c r="L1717" s="8" t="inlineStr">
        <is>
          <t>ราคาที่ลง ยังไม่รวมภาษี</t>
        </is>
      </c>
    </row>
    <row r="1718">
      <c r="B1718" s="6" t="inlineStr">
        <is>
          <t xml:space="preserve">สีโซเวนซ์ Tack cloth M-64 </t>
        </is>
      </c>
      <c r="C1718" s="8" t="inlineStr">
        <is>
          <t>12ชิ้น</t>
        </is>
      </c>
      <c r="D1718" s="9" t="n">
        <v>60</v>
      </c>
      <c r="H1718" s="9" t="n">
        <v>720</v>
      </c>
      <c r="I1718" s="10" t="inlineStr">
        <is>
          <t>ออโต้ สมาร์ท</t>
        </is>
      </c>
      <c r="J1718" s="161" t="n">
        <v>23354</v>
      </c>
      <c r="L1718" s="8" t="inlineStr">
        <is>
          <t>ราคาที่ลง ยังไม่รวมภาษี</t>
        </is>
      </c>
    </row>
    <row r="1719">
      <c r="B1719" s="6" t="inlineStr">
        <is>
          <t xml:space="preserve">สีโซเวนซ์ Tack cloth M-64 </t>
        </is>
      </c>
      <c r="C1719" s="8" t="inlineStr">
        <is>
          <t>12ชิ้น</t>
        </is>
      </c>
      <c r="D1719" s="9" t="n">
        <v>60</v>
      </c>
      <c r="H1719" s="9" t="n">
        <v>720</v>
      </c>
      <c r="I1719" s="10" t="inlineStr">
        <is>
          <t>ออโต้ สมาร์ท</t>
        </is>
      </c>
      <c r="J1719" s="161" t="n">
        <v>23577</v>
      </c>
      <c r="L1719" s="8" t="inlineStr">
        <is>
          <t>ราคาที่ลง ยังไม่รวมภาษี</t>
        </is>
      </c>
    </row>
    <row r="1720">
      <c r="B1720" s="6" t="inlineStr">
        <is>
          <t xml:space="preserve">สีโซเวนซ์ Tack cloth M-64 </t>
        </is>
      </c>
      <c r="C1720" s="8" t="inlineStr">
        <is>
          <t>12ชิ้น</t>
        </is>
      </c>
      <c r="D1720" s="9" t="n">
        <v>60</v>
      </c>
      <c r="H1720" s="9" t="n">
        <v>720</v>
      </c>
      <c r="I1720" s="10" t="inlineStr">
        <is>
          <t>ออโต้ สมาร์ท</t>
        </is>
      </c>
      <c r="J1720" s="161" t="n">
        <v>23753</v>
      </c>
      <c r="K1720" s="8" t="n">
        <v>202201071</v>
      </c>
      <c r="L1720" s="8" t="inlineStr">
        <is>
          <t>ราคาที่ลง ยังไม่รวมภาษี</t>
        </is>
      </c>
    </row>
    <row r="1722">
      <c r="A1722" s="66" t="inlineStr">
        <is>
          <t>แม่สี</t>
        </is>
      </c>
      <c r="B1722" s="6" t="inlineStr">
        <is>
          <t>แม่สี Sikkens Base Q065 (3.75 ลิตร)</t>
        </is>
      </c>
      <c r="C1722" s="8" t="inlineStr">
        <is>
          <t>2กล.</t>
        </is>
      </c>
      <c r="D1722" s="9" t="n">
        <v>4195</v>
      </c>
      <c r="F1722" s="8" t="n">
        <v>15</v>
      </c>
      <c r="H1722" s="9" t="n">
        <v>8390</v>
      </c>
      <c r="I1722" s="10" t="inlineStr">
        <is>
          <t>ซีเอส รีฟินิช</t>
        </is>
      </c>
      <c r="J1722" s="161" t="n">
        <v>22426</v>
      </c>
      <c r="L1722" s="8" t="inlineStr">
        <is>
          <t>ราคาที่ระบุเป็นก่อนหักส่วนลด</t>
        </is>
      </c>
    </row>
    <row r="1723">
      <c r="B1723" s="6" t="inlineStr">
        <is>
          <t>แม่สี Sikkens Base Q065 (3.75 ลิตร)</t>
        </is>
      </c>
      <c r="C1723" s="8" t="inlineStr">
        <is>
          <t>1กล.</t>
        </is>
      </c>
      <c r="D1723" s="9" t="n">
        <v>4475</v>
      </c>
      <c r="F1723" s="8" t="n">
        <v>15</v>
      </c>
      <c r="H1723" s="9" t="n">
        <v>4475</v>
      </c>
      <c r="I1723" s="10" t="inlineStr">
        <is>
          <t>ซีเอส รีฟินิช</t>
        </is>
      </c>
      <c r="J1723" s="161" t="n">
        <v>22824</v>
      </c>
      <c r="L1723" s="8" t="inlineStr">
        <is>
          <t>ราคาที่ระบุเป็นก่อนหักส่วนลด</t>
        </is>
      </c>
    </row>
    <row r="1724">
      <c r="B1724" s="6" t="inlineStr">
        <is>
          <t>แม่สี Sikkens Base Q065 (3.75 ลิตร)</t>
        </is>
      </c>
      <c r="C1724" s="8" t="inlineStr">
        <is>
          <t>1กล.</t>
        </is>
      </c>
      <c r="D1724" s="9" t="n">
        <v>4475</v>
      </c>
      <c r="F1724" s="8" t="n">
        <v>15</v>
      </c>
      <c r="H1724" s="9" t="n">
        <v>4475</v>
      </c>
      <c r="I1724" s="10" t="inlineStr">
        <is>
          <t>ซีเอส รีฟินิช</t>
        </is>
      </c>
      <c r="J1724" s="161" t="n">
        <v>23430</v>
      </c>
      <c r="L1724" s="8" t="inlineStr">
        <is>
          <t>ราคาที่ระบุเป็นก่อนหักส่วนลด</t>
        </is>
      </c>
    </row>
    <row r="1726">
      <c r="B1726" s="6" t="inlineStr">
        <is>
          <t>แม่สี Sikkens Base  Q070 (1 ลิตร)</t>
        </is>
      </c>
      <c r="C1726" s="8" t="inlineStr">
        <is>
          <t>3กป.</t>
        </is>
      </c>
      <c r="D1726" s="9" t="n">
        <v>1350</v>
      </c>
      <c r="F1726" s="8" t="n">
        <v>15</v>
      </c>
      <c r="H1726" s="9" t="n">
        <v>4050</v>
      </c>
      <c r="I1726" s="10" t="inlineStr">
        <is>
          <t>ซีเอส รีฟินิช</t>
        </is>
      </c>
      <c r="J1726" s="161" t="n">
        <v>22824</v>
      </c>
      <c r="L1726" s="8" t="inlineStr">
        <is>
          <t>ราคาที่ระบุเป็นก่อนหักส่วนลด</t>
        </is>
      </c>
    </row>
    <row r="1727">
      <c r="B1727" s="6" t="inlineStr">
        <is>
          <t>แม่สี Sikkens Base  Q070 (1 ลิตร)</t>
        </is>
      </c>
      <c r="C1727" s="8" t="inlineStr">
        <is>
          <t>2กป.</t>
        </is>
      </c>
      <c r="D1727" s="9" t="n">
        <v>1350</v>
      </c>
      <c r="F1727" s="8" t="n">
        <v>15</v>
      </c>
      <c r="H1727" s="9" t="n">
        <v>2700</v>
      </c>
      <c r="I1727" s="10" t="inlineStr">
        <is>
          <t>ซีเอส รีฟินิช</t>
        </is>
      </c>
      <c r="J1727" s="161" t="n">
        <v>23430</v>
      </c>
      <c r="L1727" s="8" t="inlineStr">
        <is>
          <t>ราคาที่ระบุเป็นก่อนหักส่วนลด</t>
        </is>
      </c>
    </row>
    <row r="1729">
      <c r="B1729" s="6" t="inlineStr">
        <is>
          <t>แม่สี Sikkens Base Q120 (3.75 ลิตร)</t>
        </is>
      </c>
      <c r="C1729" s="8" t="inlineStr">
        <is>
          <t>1กล.</t>
        </is>
      </c>
      <c r="D1729" s="9" t="n">
        <v>4950</v>
      </c>
      <c r="F1729" s="8" t="n">
        <v>15</v>
      </c>
      <c r="H1729" s="9" t="n">
        <v>4950</v>
      </c>
      <c r="I1729" s="10" t="inlineStr">
        <is>
          <t>ซีเอส รีฟินิช</t>
        </is>
      </c>
      <c r="J1729" s="161" t="n">
        <v>23094</v>
      </c>
      <c r="L1729" s="8" t="inlineStr">
        <is>
          <t>ราคาที่ระบุเป็นก่อนหักส่วนลด</t>
        </is>
      </c>
    </row>
    <row r="1731">
      <c r="B1731" s="6" t="inlineStr">
        <is>
          <t>แม่สี Sikkens Base Q140 (3.75 ลิตร)</t>
        </is>
      </c>
      <c r="C1731" s="8" t="inlineStr">
        <is>
          <t>1กล.</t>
        </is>
      </c>
      <c r="D1731" s="9" t="n">
        <v>4950</v>
      </c>
      <c r="F1731" s="8" t="n">
        <v>15</v>
      </c>
      <c r="H1731" s="9" t="n">
        <v>4950</v>
      </c>
      <c r="I1731" s="10" t="inlineStr">
        <is>
          <t>ซีเอส รีฟินิช</t>
        </is>
      </c>
      <c r="J1731" s="161" t="n">
        <v>23430</v>
      </c>
      <c r="L1731" s="8" t="inlineStr">
        <is>
          <t>ราคาที่ระบุเป็นก่อนหักส่วนลด</t>
        </is>
      </c>
    </row>
    <row r="1733">
      <c r="B1733" s="6" t="inlineStr">
        <is>
          <t>แม่สี Sikkens  Q190 (3.75 ลิตร)</t>
        </is>
      </c>
      <c r="C1733" s="8" t="inlineStr">
        <is>
          <t>2กล.</t>
        </is>
      </c>
      <c r="D1733" s="9" t="n">
        <v>4690</v>
      </c>
      <c r="F1733" s="8" t="n">
        <v>15</v>
      </c>
      <c r="H1733" s="9" t="n">
        <v>9380</v>
      </c>
      <c r="I1733" s="10" t="inlineStr">
        <is>
          <t>ซีเอส รีฟินิช</t>
        </is>
      </c>
      <c r="J1733" s="161" t="n">
        <v>22426</v>
      </c>
      <c r="L1733" s="8" t="inlineStr">
        <is>
          <t>ราคาที่ระบุเป็นก่อนหักส่วนลด</t>
        </is>
      </c>
    </row>
    <row r="1734">
      <c r="B1734" s="6" t="inlineStr">
        <is>
          <t>แม่สี Sikkens  Q190 (3.75 ลิตร)</t>
        </is>
      </c>
      <c r="C1734" s="8" t="inlineStr">
        <is>
          <t>1กล.</t>
        </is>
      </c>
      <c r="D1734" s="9" t="n">
        <v>4690</v>
      </c>
      <c r="F1734" s="8" t="n">
        <v>15</v>
      </c>
      <c r="H1734" s="9" t="n">
        <v>4950</v>
      </c>
      <c r="I1734" s="10" t="inlineStr">
        <is>
          <t>ซีเอส รีฟินิช</t>
        </is>
      </c>
      <c r="J1734" s="161" t="n">
        <v>23430</v>
      </c>
      <c r="L1734" s="8" t="inlineStr">
        <is>
          <t>ราคาที่ระบุเป็นก่อนหักส่วนลด</t>
        </is>
      </c>
    </row>
    <row r="1736">
      <c r="B1736" s="6" t="inlineStr">
        <is>
          <t>แม่สี Sikkens Base Q196 (1 ลิตร)</t>
        </is>
      </c>
      <c r="C1736" s="8" t="inlineStr">
        <is>
          <t>1กป.</t>
        </is>
      </c>
      <c r="D1736" s="9" t="n">
        <v>1250</v>
      </c>
      <c r="F1736" s="8" t="n">
        <v>15</v>
      </c>
      <c r="H1736" s="9" t="n">
        <v>1250</v>
      </c>
      <c r="I1736" s="10" t="inlineStr">
        <is>
          <t>ซีเอส รีฟินิช</t>
        </is>
      </c>
      <c r="J1736" s="161" t="n">
        <v>23094</v>
      </c>
      <c r="L1736" s="8" t="inlineStr">
        <is>
          <t>ราคาที่ระบุเป็นก่อนหักส่วนลด</t>
        </is>
      </c>
    </row>
    <row r="1738">
      <c r="B1738" s="6" t="inlineStr">
        <is>
          <t>แม่สี Sikkens Base  Q232 (1 ลิตร)</t>
        </is>
      </c>
      <c r="C1738" s="8" t="inlineStr">
        <is>
          <t>2กป.</t>
        </is>
      </c>
      <c r="D1738" s="9" t="n">
        <v>1690</v>
      </c>
      <c r="F1738" s="8" t="n">
        <v>15</v>
      </c>
      <c r="H1738" s="9" t="n">
        <v>3380</v>
      </c>
      <c r="I1738" s="10" t="inlineStr">
        <is>
          <t>ซีเอส รีฟินิช</t>
        </is>
      </c>
      <c r="J1738" s="161" t="n">
        <v>22824</v>
      </c>
      <c r="L1738" s="8" t="inlineStr">
        <is>
          <t>ราคาที่ระบุเป็นก่อนหักส่วนลด</t>
        </is>
      </c>
    </row>
    <row r="1739">
      <c r="B1739" s="6" t="inlineStr">
        <is>
          <t>แม่สี Sikkens Base  Q232 (1 ลิตร)</t>
        </is>
      </c>
      <c r="C1739" s="8" t="inlineStr">
        <is>
          <t>1กป.</t>
        </is>
      </c>
      <c r="D1739" s="9" t="n">
        <v>1690</v>
      </c>
      <c r="F1739" s="8" t="n">
        <v>15</v>
      </c>
      <c r="H1739" s="9" t="n">
        <v>1690</v>
      </c>
      <c r="I1739" s="10" t="inlineStr">
        <is>
          <t>ซีเอส รีฟินิช</t>
        </is>
      </c>
      <c r="J1739" s="161" t="n">
        <v>23430</v>
      </c>
      <c r="L1739" s="8" t="inlineStr">
        <is>
          <t>ราคาที่ระบุเป็นก่อนหักส่วนลด</t>
        </is>
      </c>
    </row>
    <row r="1741">
      <c r="B1741" s="6" t="inlineStr">
        <is>
          <t>แม่สี Sikkens Base  Q271 (1 ลิตร)</t>
        </is>
      </c>
      <c r="C1741" s="8" t="inlineStr">
        <is>
          <t>2กป.</t>
        </is>
      </c>
      <c r="D1741" s="9" t="n">
        <v>1800</v>
      </c>
      <c r="F1741" s="8" t="n">
        <v>15</v>
      </c>
      <c r="H1741" s="9" t="n">
        <v>3600</v>
      </c>
      <c r="I1741" s="10" t="inlineStr">
        <is>
          <t>ซีเอส รีฟินิช</t>
        </is>
      </c>
      <c r="J1741" s="161" t="n">
        <v>22824</v>
      </c>
      <c r="L1741" s="8" t="inlineStr">
        <is>
          <t>ราคาที่ระบุเป็นก่อนหักส่วนลด</t>
        </is>
      </c>
    </row>
    <row r="1742">
      <c r="B1742" s="6" t="inlineStr">
        <is>
          <t>แม่สี Sikkens Base  Q271 (1 ลิตร)</t>
        </is>
      </c>
      <c r="C1742" s="8" t="inlineStr">
        <is>
          <t>2กป.</t>
        </is>
      </c>
      <c r="D1742" s="9" t="n">
        <v>1800</v>
      </c>
      <c r="F1742" s="8" t="n">
        <v>15</v>
      </c>
      <c r="H1742" s="9" t="n">
        <v>3600</v>
      </c>
      <c r="I1742" s="10" t="inlineStr">
        <is>
          <t>ซีเอส รีฟินิช</t>
        </is>
      </c>
      <c r="J1742" s="161" t="n">
        <v>23460</v>
      </c>
      <c r="L1742" s="8" t="inlineStr">
        <is>
          <t>ราคาที่ระบุเป็นก่อนหักส่วนลด</t>
        </is>
      </c>
    </row>
    <row r="1744">
      <c r="B1744" s="6" t="inlineStr">
        <is>
          <t>แม่สี Sikkens Base  Q652 (1 ลิตร)</t>
        </is>
      </c>
      <c r="C1744" s="8" t="inlineStr">
        <is>
          <t>1กป.</t>
        </is>
      </c>
      <c r="D1744" s="9" t="n">
        <v>1350</v>
      </c>
      <c r="F1744" s="8" t="n">
        <v>15</v>
      </c>
      <c r="H1744" s="9" t="n">
        <v>1350</v>
      </c>
      <c r="I1744" s="10" t="inlineStr">
        <is>
          <t>ซีเอส รีฟินิช</t>
        </is>
      </c>
      <c r="J1744" s="161" t="n">
        <v>23094</v>
      </c>
      <c r="L1744" s="8" t="inlineStr">
        <is>
          <t>ราคาที่ระบุเป็นก่อนหักส่วนลด</t>
        </is>
      </c>
    </row>
    <row r="1746">
      <c r="B1746" s="6" t="inlineStr">
        <is>
          <t>แม่สี Sikkens Base  Q725 (1 ลิตร)</t>
        </is>
      </c>
      <c r="C1746" s="8" t="inlineStr">
        <is>
          <t>1กป.</t>
        </is>
      </c>
      <c r="D1746" s="9" t="n">
        <v>1650</v>
      </c>
      <c r="F1746" s="8" t="n">
        <v>15</v>
      </c>
      <c r="H1746" s="9" t="n">
        <v>1650</v>
      </c>
      <c r="I1746" s="10" t="inlineStr">
        <is>
          <t>ซีเอส รีฟินิช</t>
        </is>
      </c>
      <c r="J1746" s="161" t="n">
        <v>23460</v>
      </c>
      <c r="L1746" s="8" t="inlineStr">
        <is>
          <t>ราคาที่ระบุเป็นก่อนหักส่วนลด</t>
        </is>
      </c>
    </row>
    <row r="1748">
      <c r="B1748" s="6" t="inlineStr">
        <is>
          <t>แม่สี Sikkens Base  Q726 (1 ลิตร)</t>
        </is>
      </c>
      <c r="C1748" s="8" t="inlineStr">
        <is>
          <t>1กป.</t>
        </is>
      </c>
      <c r="D1748" s="9" t="n">
        <v>1650</v>
      </c>
      <c r="F1748" s="8" t="n">
        <v>15</v>
      </c>
      <c r="H1748" s="9" t="n">
        <v>1650</v>
      </c>
      <c r="I1748" s="10" t="inlineStr">
        <is>
          <t>ซีเอส รีฟินิช</t>
        </is>
      </c>
      <c r="J1748" s="161" t="n">
        <v>23430</v>
      </c>
      <c r="L1748" s="8" t="inlineStr">
        <is>
          <t>ราคาที่ระบุเป็นก่อนหักส่วนลด</t>
        </is>
      </c>
    </row>
    <row r="1749">
      <c r="B1749" s="6" t="inlineStr">
        <is>
          <t>แม่สี Sikkens Base  Q726 (1 ลิตร)</t>
        </is>
      </c>
      <c r="C1749" s="8" t="inlineStr">
        <is>
          <t>1กป.</t>
        </is>
      </c>
      <c r="D1749" s="9" t="n">
        <v>1650</v>
      </c>
      <c r="F1749" s="8" t="n">
        <v>15</v>
      </c>
      <c r="H1749" s="9" t="n">
        <v>1650</v>
      </c>
      <c r="I1749" s="10" t="inlineStr">
        <is>
          <t>ซีเอส รีฟินิช</t>
        </is>
      </c>
      <c r="J1749" s="161" t="n">
        <v>23460</v>
      </c>
      <c r="L1749" s="8" t="inlineStr">
        <is>
          <t>ราคาที่ระบุเป็นก่อนหักส่วนลด</t>
        </is>
      </c>
    </row>
    <row r="1751">
      <c r="A1751" s="70" t="n"/>
      <c r="B1751" s="6" t="inlineStr">
        <is>
          <t>แม่สี Sikkens  Q811J (3.75 ลิตร)</t>
        </is>
      </c>
      <c r="C1751" s="8" t="inlineStr">
        <is>
          <t>1กล.</t>
        </is>
      </c>
      <c r="D1751" s="9" t="n">
        <v>5100</v>
      </c>
      <c r="F1751" s="8" t="n">
        <v>15</v>
      </c>
      <c r="H1751" s="9" t="n">
        <v>5100</v>
      </c>
      <c r="I1751" s="10" t="inlineStr">
        <is>
          <t>ซีเอส รีฟินิช</t>
        </is>
      </c>
      <c r="J1751" s="161" t="n">
        <v>22426</v>
      </c>
      <c r="L1751" s="8" t="inlineStr">
        <is>
          <t>ราคาที่ระบุเป็นก่อนหักส่วนลด</t>
        </is>
      </c>
    </row>
    <row r="1752">
      <c r="A1752" s="70" t="n"/>
    </row>
    <row r="1753">
      <c r="B1753" s="6" t="inlineStr">
        <is>
          <t>แม่สี Sikkens  Q811E (3.75 ลิตร)</t>
        </is>
      </c>
      <c r="C1753" s="8" t="inlineStr">
        <is>
          <t>1กล.</t>
        </is>
      </c>
      <c r="D1753" s="9" t="n">
        <v>5100</v>
      </c>
      <c r="F1753" s="8" t="n">
        <v>15</v>
      </c>
      <c r="H1753" s="9" t="n">
        <v>5100</v>
      </c>
      <c r="I1753" s="10" t="inlineStr">
        <is>
          <t>ซีเอส รีฟินิช</t>
        </is>
      </c>
      <c r="J1753" s="161" t="n">
        <v>22426</v>
      </c>
      <c r="L1753" s="8" t="inlineStr">
        <is>
          <t>ราคาที่ระบุเป็นก่อนหักส่วนลด</t>
        </is>
      </c>
    </row>
    <row r="1755">
      <c r="B1755" s="6" t="inlineStr">
        <is>
          <t>แม่สี Sikkens  Q811M (3.75 ลิตร)</t>
        </is>
      </c>
      <c r="C1755" s="8" t="inlineStr">
        <is>
          <t>1กล.</t>
        </is>
      </c>
      <c r="D1755" s="9" t="n">
        <v>5100</v>
      </c>
      <c r="F1755" s="8" t="n">
        <v>15</v>
      </c>
      <c r="H1755" s="9" t="n">
        <v>5100</v>
      </c>
      <c r="I1755" s="10" t="inlineStr">
        <is>
          <t>ซีเอส รีฟินิช</t>
        </is>
      </c>
      <c r="J1755" s="161" t="n">
        <v>22426</v>
      </c>
      <c r="L1755" s="8" t="inlineStr">
        <is>
          <t>ราคาที่ระบุเป็นก่อนหักส่วนลด</t>
        </is>
      </c>
    </row>
    <row r="1756">
      <c r="B1756" s="6" t="inlineStr">
        <is>
          <t>แม่สี Sikkens  Q811M (3.75 ลิตร)</t>
        </is>
      </c>
      <c r="C1756" s="8" t="inlineStr">
        <is>
          <t>1กล.</t>
        </is>
      </c>
      <c r="D1756" s="9" t="n">
        <v>5450</v>
      </c>
      <c r="F1756" s="8" t="n">
        <v>15</v>
      </c>
      <c r="H1756" s="9" t="n">
        <v>5450</v>
      </c>
      <c r="I1756" s="10" t="inlineStr">
        <is>
          <t>ซีเอส รีฟินิช</t>
        </is>
      </c>
      <c r="J1756" s="161" t="n">
        <v>23430</v>
      </c>
      <c r="L1756" s="8" t="inlineStr">
        <is>
          <t>ราคาที่ระบุเป็นก่อนหักส่วนลด</t>
        </is>
      </c>
    </row>
    <row r="1758">
      <c r="B1758" s="6" t="inlineStr">
        <is>
          <t>แม่สี Sikkens Base Q911H (1 ลิตร)</t>
        </is>
      </c>
      <c r="C1758" s="8" t="inlineStr">
        <is>
          <t>1กป.</t>
        </is>
      </c>
      <c r="D1758" s="9" t="n">
        <v>3450</v>
      </c>
      <c r="F1758" s="8" t="n">
        <v>15</v>
      </c>
      <c r="H1758" s="9" t="n">
        <v>3450</v>
      </c>
      <c r="I1758" s="10" t="inlineStr">
        <is>
          <t>ซีเอส รีฟินิช</t>
        </is>
      </c>
      <c r="J1758" s="161" t="n">
        <v>23094</v>
      </c>
      <c r="L1758" s="8" t="inlineStr">
        <is>
          <t>ราคาที่ระบุเป็นก่อนหักส่วนลด</t>
        </is>
      </c>
    </row>
    <row r="1760">
      <c r="B1760" s="6" t="inlineStr">
        <is>
          <t>แม่สี Sikkens Base  Q922M (1 ลิตร)</t>
        </is>
      </c>
      <c r="C1760" s="8" t="inlineStr">
        <is>
          <t>1กป.</t>
        </is>
      </c>
      <c r="D1760" s="9" t="n">
        <v>3190</v>
      </c>
      <c r="F1760" s="8" t="n">
        <v>15</v>
      </c>
      <c r="H1760" s="9" t="n">
        <v>3190</v>
      </c>
      <c r="I1760" s="10" t="inlineStr">
        <is>
          <t>ซีเอส รีฟินิช</t>
        </is>
      </c>
      <c r="J1760" s="161" t="n">
        <v>22824</v>
      </c>
      <c r="L1760" s="8" t="inlineStr">
        <is>
          <t>ราคาที่ระบุเป็นก่อนหักส่วนลด</t>
        </is>
      </c>
    </row>
    <row r="1761">
      <c r="B1761" s="6" t="inlineStr">
        <is>
          <t>แม่สี Sikkens Base  Q922M (1 ลิตร)</t>
        </is>
      </c>
      <c r="C1761" s="8" t="inlineStr">
        <is>
          <t>2กป.</t>
        </is>
      </c>
      <c r="D1761" s="9" t="n">
        <v>3190</v>
      </c>
      <c r="F1761" s="8" t="n">
        <v>15</v>
      </c>
      <c r="H1761" s="9" t="n">
        <v>6380</v>
      </c>
      <c r="I1761" s="10" t="inlineStr">
        <is>
          <t>ซีเอส รีฟินิช</t>
        </is>
      </c>
      <c r="J1761" s="161" t="n">
        <v>23460</v>
      </c>
      <c r="L1761" s="8" t="inlineStr">
        <is>
          <t>ราคาที่ระบุเป็นก่อนหักส่วนลด</t>
        </is>
      </c>
    </row>
    <row r="1763">
      <c r="B1763" s="6" t="inlineStr">
        <is>
          <t>แม่สี Sikkens Base  Q923H (1 ลิตร)</t>
        </is>
      </c>
      <c r="C1763" s="8" t="inlineStr">
        <is>
          <t>1กป.</t>
        </is>
      </c>
      <c r="D1763" s="9" t="n">
        <v>3450</v>
      </c>
      <c r="F1763" s="8" t="n">
        <v>15</v>
      </c>
      <c r="H1763" s="9" t="n">
        <v>3450</v>
      </c>
      <c r="I1763" s="10" t="inlineStr">
        <is>
          <t>ซีเอส รีฟินิช</t>
        </is>
      </c>
      <c r="J1763" s="161" t="n">
        <v>22824</v>
      </c>
      <c r="L1763" s="8" t="inlineStr">
        <is>
          <t>ราคาที่ระบุเป็นก่อนหักส่วนลด</t>
        </is>
      </c>
    </row>
    <row r="1764">
      <c r="B1764" s="6" t="inlineStr">
        <is>
          <t>แม่สี Sikkens Base  Q923H (1 ลิตร)</t>
        </is>
      </c>
      <c r="C1764" s="8" t="inlineStr">
        <is>
          <t>2กป.</t>
        </is>
      </c>
      <c r="D1764" s="9" t="n">
        <v>3450</v>
      </c>
      <c r="F1764" s="8" t="n">
        <v>15</v>
      </c>
      <c r="H1764" s="9" t="n">
        <v>6900</v>
      </c>
      <c r="I1764" s="10" t="inlineStr">
        <is>
          <t>ซีเอส รีฟินิช</t>
        </is>
      </c>
      <c r="J1764" s="161" t="n">
        <v>23430</v>
      </c>
      <c r="L1764" s="8" t="inlineStr">
        <is>
          <t>ราคาที่ระบุเป็นก่อนหักส่วนลด</t>
        </is>
      </c>
    </row>
    <row r="1766">
      <c r="B1766" s="6" t="inlineStr">
        <is>
          <t>แม่สี Sikkens Base  Q933M (1 ลิตร)</t>
        </is>
      </c>
      <c r="C1766" s="8" t="inlineStr">
        <is>
          <t>กป.</t>
        </is>
      </c>
      <c r="D1766" s="9" t="n">
        <v>3190</v>
      </c>
      <c r="F1766" s="8" t="n">
        <v>15</v>
      </c>
      <c r="H1766" s="9" t="n">
        <v>3190</v>
      </c>
      <c r="I1766" s="10" t="inlineStr">
        <is>
          <t>ซีเอส รีฟินิช</t>
        </is>
      </c>
      <c r="J1766" s="161" t="n">
        <v>23430</v>
      </c>
      <c r="L1766" s="8" t="inlineStr">
        <is>
          <t>ราคาที่ระบุเป็นก่อนหักส่วนลด</t>
        </is>
      </c>
    </row>
    <row r="1768">
      <c r="B1768" s="6" t="inlineStr">
        <is>
          <t>แม่สี Sikkens Base  Q952N (1 ลิตร)</t>
        </is>
      </c>
      <c r="C1768" s="8" t="inlineStr">
        <is>
          <t>1กป.</t>
        </is>
      </c>
      <c r="D1768" s="9" t="n">
        <v>3190</v>
      </c>
      <c r="F1768" s="8" t="n">
        <v>15</v>
      </c>
      <c r="H1768" s="9" t="n">
        <v>3190</v>
      </c>
      <c r="I1768" s="10" t="inlineStr">
        <is>
          <t>ซีเอส รีฟินิช</t>
        </is>
      </c>
      <c r="J1768" s="161" t="n">
        <v>22824</v>
      </c>
      <c r="L1768" s="8" t="inlineStr">
        <is>
          <t>ราคาที่ระบุเป็นก่อนหักส่วนลด</t>
        </is>
      </c>
    </row>
    <row r="1770">
      <c r="B1770" s="6" t="inlineStr">
        <is>
          <t>แม่สี Matrix  M-108</t>
        </is>
      </c>
      <c r="C1770" s="8" t="inlineStr">
        <is>
          <t>6กป.</t>
        </is>
      </c>
      <c r="D1770" s="9" t="n">
        <v>850</v>
      </c>
      <c r="F1770" s="8" t="n">
        <v>10</v>
      </c>
      <c r="H1770" s="9" t="n">
        <v>5100</v>
      </c>
      <c r="I1770" s="10" t="inlineStr">
        <is>
          <t>ทรัพย์สินไทย</t>
        </is>
      </c>
      <c r="J1770" s="161" t="n">
        <v>22429</v>
      </c>
      <c r="L1770" s="8" t="inlineStr">
        <is>
          <t>ราคาที่ระบุเป็นก่อนหักส่วนลด</t>
        </is>
      </c>
    </row>
    <row r="1771">
      <c r="B1771" s="6" t="inlineStr">
        <is>
          <t>แม่สี Matrix  M-108</t>
        </is>
      </c>
      <c r="C1771" s="8" t="inlineStr">
        <is>
          <t>6กป.</t>
        </is>
      </c>
      <c r="D1771" s="9" t="n">
        <v>850</v>
      </c>
      <c r="F1771" s="8" t="n">
        <v>10</v>
      </c>
      <c r="H1771" s="9" t="n">
        <v>5100</v>
      </c>
      <c r="I1771" s="10" t="inlineStr">
        <is>
          <t>ทรัพย์สินไทย</t>
        </is>
      </c>
      <c r="J1771" s="161" t="n">
        <v>22821</v>
      </c>
      <c r="L1771" s="8" t="inlineStr">
        <is>
          <t>ราคาที่ระบุเป็นก่อนหักส่วนลด</t>
        </is>
      </c>
    </row>
    <row r="1772">
      <c r="B1772" s="6" t="inlineStr">
        <is>
          <t>แม่สี Matrix  M-108</t>
        </is>
      </c>
      <c r="C1772" s="8" t="inlineStr">
        <is>
          <t>6กป.</t>
        </is>
      </c>
      <c r="D1772" s="9" t="n">
        <v>850</v>
      </c>
      <c r="F1772" s="8" t="n">
        <v>10</v>
      </c>
      <c r="H1772" s="9" t="n">
        <v>5100</v>
      </c>
      <c r="I1772" s="10" t="inlineStr">
        <is>
          <t>ทรัพย์สินไทย</t>
        </is>
      </c>
      <c r="J1772" s="161" t="n">
        <v>22851</v>
      </c>
      <c r="L1772" s="8" t="inlineStr">
        <is>
          <t>ราคาที่ระบุเป็นก่อนหักส่วนลด</t>
        </is>
      </c>
    </row>
    <row r="1773">
      <c r="B1773" s="6" t="inlineStr">
        <is>
          <t>แม่สี Matrix  M-108</t>
        </is>
      </c>
      <c r="C1773" s="8" t="inlineStr">
        <is>
          <t>6กป.</t>
        </is>
      </c>
      <c r="D1773" s="9" t="n">
        <v>850</v>
      </c>
      <c r="F1773" s="8" t="n">
        <v>10</v>
      </c>
      <c r="H1773" s="9" t="n">
        <v>5100</v>
      </c>
      <c r="I1773" s="10" t="inlineStr">
        <is>
          <t>ทรัพย์สินไทย</t>
        </is>
      </c>
      <c r="J1773" s="161" t="n">
        <v>22884</v>
      </c>
      <c r="L1773" s="8" t="inlineStr">
        <is>
          <t>ราคาที่ระบุเป็นก่อนหักส่วนลด</t>
        </is>
      </c>
    </row>
    <row r="1774">
      <c r="B1774" s="6" t="inlineStr">
        <is>
          <t>แม่สี Matrix  M-108</t>
        </is>
      </c>
      <c r="C1774" s="8" t="inlineStr">
        <is>
          <t>6กป.</t>
        </is>
      </c>
      <c r="D1774" s="9" t="n">
        <v>850</v>
      </c>
      <c r="F1774" s="8" t="n">
        <v>10</v>
      </c>
      <c r="H1774" s="9" t="n">
        <v>5100</v>
      </c>
      <c r="I1774" s="10" t="inlineStr">
        <is>
          <t>ทรัพย์สินไทย</t>
        </is>
      </c>
      <c r="J1774" s="161" t="n">
        <v>22913</v>
      </c>
      <c r="L1774" s="8" t="inlineStr">
        <is>
          <t>ราคาที่ระบุเป็นก่อนหักส่วนลด</t>
        </is>
      </c>
    </row>
    <row r="1775">
      <c r="B1775" s="6" t="inlineStr">
        <is>
          <t>แม่สี Matrix  M-108</t>
        </is>
      </c>
      <c r="C1775" s="8" t="inlineStr">
        <is>
          <t>3กป.</t>
        </is>
      </c>
      <c r="D1775" s="9" t="n">
        <v>850</v>
      </c>
      <c r="F1775" s="8" t="n">
        <v>10</v>
      </c>
      <c r="H1775" s="9" t="n">
        <v>2550</v>
      </c>
      <c r="I1775" s="10" t="inlineStr">
        <is>
          <t>ทรัพย์สินไทย</t>
        </is>
      </c>
      <c r="J1775" s="161" t="n">
        <v>23038</v>
      </c>
      <c r="L1775" s="8" t="inlineStr">
        <is>
          <t>ราคาที่ระบุเป็นก่อนหักส่วนลด</t>
        </is>
      </c>
    </row>
    <row r="1776">
      <c r="B1776" s="6" t="inlineStr">
        <is>
          <t>แม่สี Matrix  M-108</t>
        </is>
      </c>
      <c r="C1776" s="8" t="inlineStr">
        <is>
          <t>6กป.</t>
        </is>
      </c>
      <c r="D1776" s="9" t="n">
        <v>850</v>
      </c>
      <c r="F1776" s="8" t="n">
        <v>10</v>
      </c>
      <c r="H1776" s="9" t="n">
        <v>5100</v>
      </c>
      <c r="I1776" s="10" t="inlineStr">
        <is>
          <t>ทรัพย์สินไทย</t>
        </is>
      </c>
      <c r="J1776" s="161" t="n">
        <v>23062</v>
      </c>
      <c r="L1776" s="8" t="inlineStr">
        <is>
          <t>ราคาที่ระบุเป็นก่อนหักส่วนลด</t>
        </is>
      </c>
    </row>
    <row r="1777">
      <c r="B1777" s="6" t="inlineStr">
        <is>
          <t>แม่สี Matrix  M-108</t>
        </is>
      </c>
      <c r="C1777" s="8" t="inlineStr">
        <is>
          <t>6กป.</t>
        </is>
      </c>
      <c r="D1777" s="9" t="n">
        <v>850</v>
      </c>
      <c r="F1777" s="8" t="n">
        <v>10</v>
      </c>
      <c r="H1777" s="9" t="n">
        <v>5100</v>
      </c>
      <c r="I1777" s="10" t="inlineStr">
        <is>
          <t>ทรัพย์สินไทย</t>
        </is>
      </c>
      <c r="J1777" s="161" t="n">
        <v>23095</v>
      </c>
      <c r="L1777" s="8" t="inlineStr">
        <is>
          <t>ราคาที่ระบุเป็นก่อนหักส่วนลด</t>
        </is>
      </c>
    </row>
    <row r="1778">
      <c r="B1778" s="6" t="inlineStr">
        <is>
          <t>แม่สี Matrix  M-108</t>
        </is>
      </c>
      <c r="C1778" s="8" t="inlineStr">
        <is>
          <t>6กป.</t>
        </is>
      </c>
      <c r="D1778" s="9" t="n">
        <v>850</v>
      </c>
      <c r="F1778" s="8" t="n">
        <v>10</v>
      </c>
      <c r="H1778" s="9" t="n">
        <v>5100</v>
      </c>
      <c r="I1778" s="10" t="inlineStr">
        <is>
          <t>ทรัพย์สินไทย</t>
        </is>
      </c>
      <c r="J1778" s="161" t="n">
        <v>23124</v>
      </c>
      <c r="L1778" s="8" t="inlineStr">
        <is>
          <t>ราคาที่ระบุเป็นก่อนหักส่วนลด</t>
        </is>
      </c>
    </row>
    <row r="1779">
      <c r="B1779" s="6" t="inlineStr">
        <is>
          <t>แม่สี Matrix  M-108</t>
        </is>
      </c>
      <c r="C1779" s="8" t="inlineStr">
        <is>
          <t>6กป.</t>
        </is>
      </c>
      <c r="D1779" s="9" t="n">
        <v>850</v>
      </c>
      <c r="F1779" s="8" t="n">
        <v>10</v>
      </c>
      <c r="H1779" s="9" t="n">
        <v>5100</v>
      </c>
      <c r="I1779" s="10" t="inlineStr">
        <is>
          <t>ทรัพย์สินไทย</t>
        </is>
      </c>
      <c r="J1779" s="161" t="n">
        <v>23216</v>
      </c>
      <c r="L1779" s="8" t="inlineStr">
        <is>
          <t>ราคาที่ระบุเป็นก่อนหักส่วนลด</t>
        </is>
      </c>
    </row>
    <row r="1780">
      <c r="B1780" s="6" t="inlineStr">
        <is>
          <t>แม่สี Matrix  M-108</t>
        </is>
      </c>
      <c r="C1780" s="8" t="inlineStr">
        <is>
          <t>6กป.</t>
        </is>
      </c>
      <c r="D1780" s="9" t="n">
        <v>850</v>
      </c>
      <c r="F1780" s="8" t="n">
        <v>10</v>
      </c>
      <c r="H1780" s="9" t="n">
        <v>5100</v>
      </c>
      <c r="I1780" s="10" t="inlineStr">
        <is>
          <t>ทรัพย์สินไทย</t>
        </is>
      </c>
      <c r="J1780" s="161" t="n">
        <v>23247</v>
      </c>
      <c r="L1780" s="8" t="inlineStr">
        <is>
          <t>ราคาที่ระบุเป็นก่อนหักส่วนลด</t>
        </is>
      </c>
    </row>
    <row r="1781">
      <c r="B1781" s="6" t="inlineStr">
        <is>
          <t>แม่สี Matrix  M-108</t>
        </is>
      </c>
      <c r="C1781" s="8" t="inlineStr">
        <is>
          <t>6กป.</t>
        </is>
      </c>
      <c r="D1781" s="9" t="n">
        <v>850</v>
      </c>
      <c r="F1781" s="8" t="n">
        <v>10</v>
      </c>
      <c r="H1781" s="9" t="n">
        <v>5100</v>
      </c>
      <c r="I1781" s="10" t="inlineStr">
        <is>
          <t>ทรัพย์สินไทย</t>
        </is>
      </c>
      <c r="J1781" s="161" t="n">
        <v>23277</v>
      </c>
      <c r="L1781" s="8" t="inlineStr">
        <is>
          <t>ราคาที่ระบุเป็นก่อนหักส่วนลด</t>
        </is>
      </c>
    </row>
    <row r="1782">
      <c r="B1782" s="6" t="inlineStr">
        <is>
          <t>แม่สี Matrix  M-108</t>
        </is>
      </c>
      <c r="C1782" s="8" t="inlineStr">
        <is>
          <t>6กป.</t>
        </is>
      </c>
      <c r="D1782" s="9" t="n">
        <v>850</v>
      </c>
      <c r="F1782" s="8" t="n">
        <v>10</v>
      </c>
      <c r="H1782" s="9" t="n">
        <v>5100</v>
      </c>
      <c r="I1782" s="10" t="inlineStr">
        <is>
          <t>ทรัพย์สินไทย</t>
        </is>
      </c>
      <c r="J1782" s="161" t="n">
        <v>23305</v>
      </c>
      <c r="L1782" s="8" t="inlineStr">
        <is>
          <t>ราคาที่ระบุเป็นก่อนหักส่วนลด</t>
        </is>
      </c>
    </row>
    <row r="1783">
      <c r="B1783" s="6" t="inlineStr">
        <is>
          <t>แม่สี Matrix  M-108</t>
        </is>
      </c>
      <c r="C1783" s="8" t="inlineStr">
        <is>
          <t>6กป.</t>
        </is>
      </c>
      <c r="D1783" s="9" t="n">
        <v>850</v>
      </c>
      <c r="F1783" s="8" t="n">
        <v>10</v>
      </c>
      <c r="H1783" s="9" t="n">
        <v>5100</v>
      </c>
      <c r="I1783" s="10" t="inlineStr">
        <is>
          <t>ทรัพย์สินไทย</t>
        </is>
      </c>
      <c r="J1783" s="161" t="n">
        <v>23340</v>
      </c>
      <c r="L1783" s="8" t="inlineStr">
        <is>
          <t>ราคาที่ระบุเป็นก่อนหักส่วนลด</t>
        </is>
      </c>
    </row>
    <row r="1784">
      <c r="B1784" s="6" t="inlineStr">
        <is>
          <t>แม่สี Matrix  M-108</t>
        </is>
      </c>
      <c r="C1784" s="8" t="inlineStr">
        <is>
          <t>6กป.</t>
        </is>
      </c>
      <c r="D1784" s="9" t="n">
        <v>850</v>
      </c>
      <c r="F1784" s="8" t="n">
        <v>10</v>
      </c>
      <c r="H1784" s="9" t="n">
        <v>5100</v>
      </c>
      <c r="I1784" s="10" t="inlineStr">
        <is>
          <t>ทรัพย์สินไทย</t>
        </is>
      </c>
      <c r="J1784" s="161" t="n">
        <v>23366</v>
      </c>
      <c r="L1784" s="8" t="inlineStr">
        <is>
          <t>ราคาที่ระบุเป็นก่อนหักส่วนลด</t>
        </is>
      </c>
    </row>
    <row r="1785">
      <c r="B1785" s="6" t="inlineStr">
        <is>
          <t>แม่สี Matrix  M-108</t>
        </is>
      </c>
      <c r="C1785" s="8" t="inlineStr">
        <is>
          <t>6กป.</t>
        </is>
      </c>
      <c r="D1785" s="9" t="n">
        <v>850</v>
      </c>
      <c r="F1785" s="8" t="n">
        <v>10</v>
      </c>
      <c r="H1785" s="9" t="n">
        <v>5100</v>
      </c>
      <c r="I1785" s="10" t="inlineStr">
        <is>
          <t>ทรัพย์สินไทย</t>
        </is>
      </c>
      <c r="J1785" s="161" t="n">
        <v>23430</v>
      </c>
      <c r="L1785" s="8" t="inlineStr">
        <is>
          <t>ราคาที่ระบุเป็นก่อนหักส่วนลด</t>
        </is>
      </c>
    </row>
    <row r="1786">
      <c r="B1786" s="6" t="inlineStr">
        <is>
          <t>แม่สี Matrix  M-108</t>
        </is>
      </c>
      <c r="C1786" s="8" t="inlineStr">
        <is>
          <t>6กป.</t>
        </is>
      </c>
      <c r="D1786" s="9" t="n">
        <v>850</v>
      </c>
      <c r="F1786" s="8" t="n">
        <v>10</v>
      </c>
      <c r="H1786" s="9" t="n">
        <v>5100</v>
      </c>
      <c r="I1786" s="10" t="inlineStr">
        <is>
          <t>ทรัพย์สินไทย</t>
        </is>
      </c>
      <c r="J1786" s="161" t="n">
        <v>23460</v>
      </c>
      <c r="L1786" s="8" t="inlineStr">
        <is>
          <t>ราคาที่ระบุเป็นก่อนหักส่วนลด</t>
        </is>
      </c>
    </row>
    <row r="1787">
      <c r="B1787" s="6" t="inlineStr">
        <is>
          <t>แม่สี Matrix  M-108</t>
        </is>
      </c>
      <c r="C1787" s="8" t="inlineStr">
        <is>
          <t>6กป.</t>
        </is>
      </c>
      <c r="D1787" s="9" t="n">
        <v>850</v>
      </c>
      <c r="F1787" s="8" t="n">
        <v>10</v>
      </c>
      <c r="H1787" s="9" t="n">
        <v>5100</v>
      </c>
      <c r="I1787" s="10" t="inlineStr">
        <is>
          <t>ทรัพย์สินไทย</t>
        </is>
      </c>
      <c r="J1787" s="161" t="n">
        <v>23546</v>
      </c>
      <c r="L1787" s="8" t="inlineStr">
        <is>
          <t>ราคาที่ระบุเป็นก่อนหักส่วนลด</t>
        </is>
      </c>
    </row>
    <row r="1788">
      <c r="B1788" s="6" t="inlineStr">
        <is>
          <t>แม่สี Matrix  M-108</t>
        </is>
      </c>
      <c r="C1788" s="8" t="inlineStr">
        <is>
          <t>6กป.</t>
        </is>
      </c>
      <c r="D1788" s="9" t="n">
        <v>850</v>
      </c>
      <c r="F1788" s="8" t="n">
        <v>10</v>
      </c>
      <c r="H1788" s="9" t="n">
        <v>5100</v>
      </c>
      <c r="I1788" s="10" t="inlineStr">
        <is>
          <t>ทรัพย์สินไทย</t>
        </is>
      </c>
      <c r="J1788" s="161" t="n">
        <v>23584</v>
      </c>
      <c r="L1788" s="8" t="inlineStr">
        <is>
          <t>ราคาที่ระบุเป็นก่อนหักส่วนลด</t>
        </is>
      </c>
    </row>
    <row r="1789">
      <c r="B1789" s="6" t="inlineStr">
        <is>
          <t>แม่สี Matrix  M-108</t>
        </is>
      </c>
      <c r="C1789" s="8" t="inlineStr">
        <is>
          <t>3กป.</t>
        </is>
      </c>
      <c r="D1789" s="9" t="n">
        <v>850</v>
      </c>
      <c r="F1789" s="8" t="n">
        <v>10</v>
      </c>
      <c r="H1789" s="9" t="n">
        <v>2550</v>
      </c>
      <c r="I1789" s="10" t="inlineStr">
        <is>
          <t>ทรัพย์สินไทย</t>
        </is>
      </c>
      <c r="J1789" s="161" t="n">
        <v>23615</v>
      </c>
      <c r="L1789" s="8" t="inlineStr">
        <is>
          <t>ราคาที่ระบุเป็นก่อนหักส่วนลด</t>
        </is>
      </c>
    </row>
    <row r="1790">
      <c r="B1790" s="6" t="inlineStr">
        <is>
          <t>แม่สี Matrix  M-108</t>
        </is>
      </c>
      <c r="C1790" s="8" t="inlineStr">
        <is>
          <t>3กป.</t>
        </is>
      </c>
      <c r="D1790" s="9" t="n">
        <v>850</v>
      </c>
      <c r="F1790" s="8" t="n">
        <v>10</v>
      </c>
      <c r="H1790" s="9" t="n">
        <v>2550</v>
      </c>
      <c r="I1790" s="10" t="inlineStr">
        <is>
          <t>ทรัพย์สินไทย</t>
        </is>
      </c>
      <c r="J1790" s="161" t="n">
        <v>23615</v>
      </c>
      <c r="L1790" s="8" t="inlineStr">
        <is>
          <t>ราคาที่ระบุเป็นก่อนหักส่วนลด</t>
        </is>
      </c>
    </row>
    <row r="1791">
      <c r="B1791" s="6" t="inlineStr">
        <is>
          <t>แม่สี Matrix  M-108</t>
        </is>
      </c>
      <c r="C1791" s="8" t="inlineStr">
        <is>
          <t>4กป.</t>
        </is>
      </c>
      <c r="D1791" s="9" t="n">
        <v>850</v>
      </c>
      <c r="F1791" s="8" t="n">
        <v>10</v>
      </c>
      <c r="H1791" s="9" t="n">
        <v>3400</v>
      </c>
      <c r="I1791" s="10" t="inlineStr">
        <is>
          <t>ทรัพย์สินไทย</t>
        </is>
      </c>
      <c r="J1791" s="161" t="n">
        <v>23676</v>
      </c>
      <c r="K1791" s="8" t="inlineStr">
        <is>
          <t>IV6410364</t>
        </is>
      </c>
      <c r="L1791" s="8" t="inlineStr">
        <is>
          <t>ราคาที่ระบุเป็นก่อนหักส่วนลด</t>
        </is>
      </c>
    </row>
    <row r="1792">
      <c r="B1792" s="6" t="inlineStr">
        <is>
          <t>แม่สี Matrix  M-108</t>
        </is>
      </c>
      <c r="C1792" s="8" t="inlineStr">
        <is>
          <t>6กป.</t>
        </is>
      </c>
      <c r="D1792" s="9" t="n">
        <v>850</v>
      </c>
      <c r="F1792" s="8" t="n">
        <v>10</v>
      </c>
      <c r="H1792" s="9" t="n">
        <v>5100</v>
      </c>
      <c r="I1792" s="10" t="inlineStr">
        <is>
          <t>ทรัพย์สินไทย</t>
        </is>
      </c>
      <c r="J1792" s="161" t="n">
        <v>23704</v>
      </c>
      <c r="K1792" s="8" t="inlineStr">
        <is>
          <t>IV6411319</t>
        </is>
      </c>
      <c r="L1792" s="8" t="inlineStr">
        <is>
          <t>ราคาที่ระบุเป็นก่อนหักส่วนลด</t>
        </is>
      </c>
    </row>
    <row r="1793">
      <c r="B1793" s="6" t="inlineStr">
        <is>
          <t>แม่สี Matrix  M-108</t>
        </is>
      </c>
      <c r="C1793" s="8" t="inlineStr">
        <is>
          <t>6กป.</t>
        </is>
      </c>
      <c r="D1793" s="9" t="n">
        <v>850</v>
      </c>
      <c r="F1793" s="8" t="n">
        <v>10</v>
      </c>
      <c r="H1793" s="9" t="n">
        <v>5100</v>
      </c>
      <c r="I1793" s="10" t="inlineStr">
        <is>
          <t>ทรัพย์สินไทย</t>
        </is>
      </c>
      <c r="J1793" s="161" t="n">
        <v>23763</v>
      </c>
      <c r="K1793" s="8" t="inlineStr">
        <is>
          <t>IV6501224</t>
        </is>
      </c>
      <c r="L1793" s="8" t="inlineStr">
        <is>
          <t>ราคาที่ระบุเป็นก่อนหักส่วนลด</t>
        </is>
      </c>
    </row>
    <row r="1794">
      <c r="B1794" s="6" t="inlineStr">
        <is>
          <t>แม่สี Matrix  M-108</t>
        </is>
      </c>
      <c r="C1794" s="8" t="inlineStr">
        <is>
          <t>6กป.</t>
        </is>
      </c>
      <c r="D1794" s="9" t="n">
        <v>850</v>
      </c>
      <c r="F1794" s="8" t="n">
        <v>10</v>
      </c>
      <c r="H1794" s="9" t="n">
        <v>5100</v>
      </c>
      <c r="I1794" s="10" t="inlineStr">
        <is>
          <t>ทรัพย์สินไทย</t>
        </is>
      </c>
      <c r="J1794" s="161" t="n">
        <v>23795</v>
      </c>
      <c r="K1794" s="8" t="inlineStr">
        <is>
          <t>IV6502258</t>
        </is>
      </c>
      <c r="L1794" s="8" t="inlineStr">
        <is>
          <t>ราคาที่ระบุเป็นก่อนหักส่วนลด</t>
        </is>
      </c>
    </row>
    <row r="1795">
      <c r="B1795" s="6" t="inlineStr">
        <is>
          <t>แม่สี Matrix  M-108</t>
        </is>
      </c>
      <c r="C1795" s="8" t="inlineStr">
        <is>
          <t>3กป.</t>
        </is>
      </c>
      <c r="D1795" s="9" t="n">
        <v>850</v>
      </c>
      <c r="F1795" s="8" t="n">
        <v>10</v>
      </c>
      <c r="H1795" s="9" t="n">
        <v>2550</v>
      </c>
      <c r="I1795" s="10" t="inlineStr">
        <is>
          <t>ทรัพย์สินไทย</t>
        </is>
      </c>
      <c r="J1795" s="161" t="n">
        <v>23829</v>
      </c>
      <c r="K1795" s="8" t="inlineStr">
        <is>
          <t>IV6503340</t>
        </is>
      </c>
      <c r="L1795" s="8" t="inlineStr">
        <is>
          <t>ราคาที่ระบุเป็นก่อนหักส่วนลด</t>
        </is>
      </c>
    </row>
    <row r="1796">
      <c r="B1796" s="6" t="inlineStr">
        <is>
          <t>แม่สี Matrix  M-108</t>
        </is>
      </c>
      <c r="C1796" s="8" t="inlineStr">
        <is>
          <t>6กป.</t>
        </is>
      </c>
      <c r="D1796" s="9" t="n">
        <v>850</v>
      </c>
      <c r="F1796" s="8" t="n">
        <v>10</v>
      </c>
      <c r="H1796" s="9" t="n">
        <v>5100</v>
      </c>
      <c r="I1796" s="10" t="inlineStr">
        <is>
          <t>ทรัพย์สินไทย</t>
        </is>
      </c>
      <c r="J1796" s="161" t="n">
        <v>23887</v>
      </c>
      <c r="K1796" s="8" t="inlineStr">
        <is>
          <t>IV6505290</t>
        </is>
      </c>
      <c r="L1796" s="8" t="inlineStr">
        <is>
          <t>ราคาที่ระบุเป็นก่อนหักส่วนลด</t>
        </is>
      </c>
    </row>
    <row r="1797">
      <c r="B1797" s="6" t="inlineStr">
        <is>
          <t>แม่สี Matrix  M-108</t>
        </is>
      </c>
      <c r="C1797" s="8" t="inlineStr">
        <is>
          <t>6กป.</t>
        </is>
      </c>
      <c r="D1797" s="9" t="n">
        <v>850</v>
      </c>
      <c r="F1797" s="8" t="n">
        <v>10</v>
      </c>
      <c r="H1797" s="9" t="n">
        <v>5100</v>
      </c>
      <c r="I1797" s="10" t="inlineStr">
        <is>
          <t>ทรัพย์สินไทย</t>
        </is>
      </c>
      <c r="J1797" s="161" t="n">
        <v>23920</v>
      </c>
      <c r="K1797" s="8" t="inlineStr">
        <is>
          <t>IV6506336</t>
        </is>
      </c>
      <c r="L1797" s="8" t="inlineStr">
        <is>
          <t>ราคาที่ระบุเป็นก่อนหักส่วนลด</t>
        </is>
      </c>
    </row>
    <row r="1798">
      <c r="B1798" s="6" t="inlineStr">
        <is>
          <t>แม่สี ปรับหน้าบรอนซ์ SC-108</t>
        </is>
      </c>
      <c r="C1798" s="8" t="inlineStr">
        <is>
          <t>6กป.</t>
        </is>
      </c>
      <c r="D1798" s="9" t="n">
        <v>750</v>
      </c>
      <c r="H1798" s="9" t="n">
        <v>4500</v>
      </c>
      <c r="I1798" s="10" t="inlineStr">
        <is>
          <t>บจก. วีที คัลเลอร์ โปร</t>
        </is>
      </c>
      <c r="J1798" s="161" t="n">
        <v>23978</v>
      </c>
      <c r="K1798" s="8" t="inlineStr">
        <is>
          <t>IV147-65</t>
        </is>
      </c>
      <c r="L1798" s="8" t="inlineStr">
        <is>
          <t>ราคาที่ระบุ ยังไม่รวมภาษี</t>
        </is>
      </c>
    </row>
    <row r="1799">
      <c r="B1799" s="6" t="inlineStr">
        <is>
          <t>แม่สี ปรับหน้าบรอนซ์ SC-108</t>
        </is>
      </c>
      <c r="C1799" s="8" t="inlineStr">
        <is>
          <t>2กป.</t>
        </is>
      </c>
      <c r="D1799" s="9" t="n">
        <v>750</v>
      </c>
      <c r="H1799" s="9" t="n">
        <v>1500</v>
      </c>
      <c r="I1799" s="10" t="inlineStr">
        <is>
          <t>บจก. วีที คัลเลอร์ โปร</t>
        </is>
      </c>
      <c r="J1799" s="161" t="n">
        <v>24030</v>
      </c>
      <c r="K1799" s="8" t="inlineStr">
        <is>
          <t>IV214-65</t>
        </is>
      </c>
      <c r="L1799" s="8" t="inlineStr">
        <is>
          <t>ราคาที่ระบุ ยังไม่รวมภาษี</t>
        </is>
      </c>
    </row>
    <row r="1800">
      <c r="B1800" s="6" t="inlineStr">
        <is>
          <t>แม่สี ปรับหน้าบรอนซ์ SC-108</t>
        </is>
      </c>
      <c r="C1800" s="8" t="inlineStr">
        <is>
          <t>6กป.</t>
        </is>
      </c>
      <c r="D1800" s="9" t="n">
        <v>750</v>
      </c>
      <c r="H1800" s="9" t="n">
        <v>4500</v>
      </c>
      <c r="I1800" s="10" t="inlineStr">
        <is>
          <t>บจก. วีที คัลเลอร์ โปร</t>
        </is>
      </c>
      <c r="J1800" s="161" t="n">
        <v>24040</v>
      </c>
      <c r="K1800" s="8" t="inlineStr">
        <is>
          <t>IV228-65</t>
        </is>
      </c>
      <c r="L1800" s="8" t="inlineStr">
        <is>
          <t>ราคาที่ระบุ ยังไม่รวมภาษี</t>
        </is>
      </c>
    </row>
    <row r="1801">
      <c r="B1801" s="6" t="inlineStr">
        <is>
          <t>แม่สี ปรับหน้าบรอนซ์ SC-108</t>
        </is>
      </c>
      <c r="C1801" s="8" t="inlineStr">
        <is>
          <t>2กป.</t>
        </is>
      </c>
      <c r="D1801" s="9" t="n">
        <v>750</v>
      </c>
      <c r="H1801" s="9" t="n">
        <v>1500</v>
      </c>
      <c r="I1801" s="10" t="inlineStr">
        <is>
          <t>บจก. วีที คัลเลอร์ โปร</t>
        </is>
      </c>
      <c r="J1801" s="161" t="n">
        <v>24089</v>
      </c>
      <c r="K1801" s="8" t="inlineStr">
        <is>
          <t>IV308-65</t>
        </is>
      </c>
      <c r="L1801" s="8" t="inlineStr">
        <is>
          <t>ราคาที่ระบุ ยังไม่รวมภาษี</t>
        </is>
      </c>
    </row>
    <row r="1802">
      <c r="B1802" s="6" t="inlineStr">
        <is>
          <t>แม่สี ปรับหน้าบรอนซ์ SC-108</t>
        </is>
      </c>
      <c r="C1802" s="8" t="inlineStr">
        <is>
          <t>3กป.</t>
        </is>
      </c>
      <c r="D1802" s="9" t="n">
        <v>750</v>
      </c>
      <c r="H1802" s="9" t="n">
        <v>2250</v>
      </c>
      <c r="I1802" s="10" t="inlineStr">
        <is>
          <t>บจก. วีที คัลเลอร์ โปร</t>
        </is>
      </c>
      <c r="J1802" s="161" t="n">
        <v>24095</v>
      </c>
      <c r="K1802" s="8" t="inlineStr">
        <is>
          <t>IV318-65</t>
        </is>
      </c>
      <c r="L1802" s="8" t="inlineStr">
        <is>
          <t>ราคาที่ระบุ ยังไม่รวมภาษี</t>
        </is>
      </c>
    </row>
    <row r="1803">
      <c r="B1803" s="6" t="inlineStr">
        <is>
          <t>แม่สี ปรับหน้าบรอนซ์ SC-108</t>
        </is>
      </c>
      <c r="C1803" s="8" t="inlineStr">
        <is>
          <t>6กป.</t>
        </is>
      </c>
      <c r="D1803" s="9" t="n">
        <v>750</v>
      </c>
      <c r="H1803" s="9" t="n">
        <v>4500</v>
      </c>
      <c r="I1803" s="10" t="inlineStr">
        <is>
          <t>บจก. วีที คัลเลอร์ โปร</t>
        </is>
      </c>
      <c r="J1803" s="161" t="n">
        <v>24160</v>
      </c>
      <c r="K1803" s="8" t="inlineStr">
        <is>
          <t>IV113-66</t>
        </is>
      </c>
      <c r="L1803" s="8" t="inlineStr">
        <is>
          <t>ราคาที่ระบุ ยังไม่รวมภาษี</t>
        </is>
      </c>
    </row>
    <row r="1804">
      <c r="B1804" s="6" t="inlineStr">
        <is>
          <t>แม่สี ปรับหน้าบรอนซ์ SC-108</t>
        </is>
      </c>
      <c r="C1804" s="8" t="inlineStr">
        <is>
          <t>3กป.</t>
        </is>
      </c>
      <c r="D1804" s="9" t="n">
        <v>750</v>
      </c>
      <c r="H1804" s="9" t="n">
        <v>2250</v>
      </c>
      <c r="I1804" s="10" t="inlineStr">
        <is>
          <t>บจก. วีที คัลเลอร์ โปร</t>
        </is>
      </c>
      <c r="J1804" s="161" t="n">
        <v>24189</v>
      </c>
      <c r="K1804" s="8" t="inlineStr">
        <is>
          <t>IV178-66</t>
        </is>
      </c>
      <c r="L1804" s="8" t="inlineStr">
        <is>
          <t>ราคาที่ระบุ ยังไม่รวมภาษี</t>
        </is>
      </c>
    </row>
    <row r="1805">
      <c r="B1805" s="6" t="inlineStr">
        <is>
          <t>แม่สี ปรับหน้าบรอนซ์ SC-108</t>
        </is>
      </c>
      <c r="C1805" s="8" t="inlineStr">
        <is>
          <t>3กป.</t>
        </is>
      </c>
      <c r="D1805" s="9" t="n">
        <v>750</v>
      </c>
      <c r="H1805" s="9" t="n">
        <v>2250</v>
      </c>
      <c r="I1805" s="10" t="inlineStr">
        <is>
          <t>บจก. วีที คัลเลอร์ โปร</t>
        </is>
      </c>
      <c r="J1805" s="161" t="n">
        <v>24221</v>
      </c>
      <c r="K1805" s="8" t="inlineStr">
        <is>
          <t>IV226-66</t>
        </is>
      </c>
      <c r="L1805" s="8" t="inlineStr">
        <is>
          <t>ราคาที่ระบุ ยังไม่รวมภาษี</t>
        </is>
      </c>
    </row>
    <row r="1806">
      <c r="B1806" s="6" t="inlineStr">
        <is>
          <t>แม่สี ปรับหน้าบรอนซ์ SC-108</t>
        </is>
      </c>
      <c r="C1806" s="8" t="inlineStr">
        <is>
          <t>6กป.</t>
        </is>
      </c>
      <c r="D1806" s="9" t="n">
        <v>750</v>
      </c>
      <c r="H1806" s="9" t="n">
        <v>4500</v>
      </c>
      <c r="I1806" s="10" t="inlineStr">
        <is>
          <t>บจก. วีที คัลเลอร์ โปร</t>
        </is>
      </c>
      <c r="J1806" s="161" t="n">
        <v>24282</v>
      </c>
      <c r="K1806" s="8" t="inlineStr">
        <is>
          <t>IV352-66</t>
        </is>
      </c>
      <c r="L1806" s="8" t="inlineStr">
        <is>
          <t>ราคาที่ระบุ ยังไม่รวมภาษี</t>
        </is>
      </c>
    </row>
    <row r="1807">
      <c r="B1807" s="6" t="inlineStr">
        <is>
          <t>แม่สี ปรับหน้าบรอนซ์ Hybrid S108</t>
        </is>
      </c>
      <c r="C1807" s="8" t="inlineStr">
        <is>
          <t>3กป.</t>
        </is>
      </c>
      <c r="D1807" s="9" t="n">
        <v>750</v>
      </c>
      <c r="H1807" s="9" t="n">
        <v>2250</v>
      </c>
      <c r="I1807" s="10" t="inlineStr">
        <is>
          <t>บจก. วีที คัลเลอร์ โปร</t>
        </is>
      </c>
      <c r="J1807" s="161" t="n">
        <v>24298</v>
      </c>
      <c r="K1807" s="8" t="inlineStr">
        <is>
          <t>IV387-66</t>
        </is>
      </c>
      <c r="L1807" s="8" t="inlineStr">
        <is>
          <t>ราคาที่ระบุ ยังไม่รวมภาษี</t>
        </is>
      </c>
    </row>
    <row r="1808">
      <c r="B1808" s="6" t="inlineStr">
        <is>
          <t>แม่สี ปรับหน้าบรอนซ์ Hybrid S108</t>
        </is>
      </c>
      <c r="C1808" s="8" t="inlineStr">
        <is>
          <t>6กป.</t>
        </is>
      </c>
      <c r="D1808" s="9" t="n">
        <v>750</v>
      </c>
      <c r="H1808" s="9" t="n">
        <v>4500</v>
      </c>
      <c r="I1808" s="10" t="inlineStr">
        <is>
          <t>บจก. วีที คัลเลอร์ โปร</t>
        </is>
      </c>
      <c r="J1808" s="161" t="n">
        <v>24315</v>
      </c>
      <c r="K1808" s="8" t="inlineStr">
        <is>
          <t>IV423-66</t>
        </is>
      </c>
      <c r="L1808" s="8" t="inlineStr">
        <is>
          <t>ราคาที่ระบุ ยังไม่รวมภาษี</t>
        </is>
      </c>
    </row>
    <row r="1809">
      <c r="B1809" s="6" t="inlineStr">
        <is>
          <t>แม่สี ปรับหน้าบรอนซ์ Hybrid S108</t>
        </is>
      </c>
      <c r="C1809" s="8" t="n">
        <v>4</v>
      </c>
      <c r="D1809" s="9" t="n">
        <v>750</v>
      </c>
      <c r="H1809" s="9">
        <f>SUM(D1809*C1809)</f>
        <v/>
      </c>
      <c r="I1809" s="10" t="inlineStr">
        <is>
          <t>บจก. วีที คัลเลอร์ โปร</t>
        </is>
      </c>
      <c r="J1809" s="161" t="n">
        <v>24372</v>
      </c>
      <c r="K1809" s="8" t="inlineStr">
        <is>
          <t>IV541-66</t>
        </is>
      </c>
      <c r="L1809" s="8" t="inlineStr">
        <is>
          <t>ราคาที่ระบุ ยังไม่รวมภาษี</t>
        </is>
      </c>
    </row>
    <row r="1810">
      <c r="B1810" s="6" t="inlineStr">
        <is>
          <t>แม่สี ปรับหน้าบรอนซ์ Hybrid S108</t>
        </is>
      </c>
      <c r="C1810" s="8" t="n">
        <v>4</v>
      </c>
      <c r="D1810" s="9" t="n">
        <v>750</v>
      </c>
      <c r="H1810" s="9">
        <f>SUM(D1810*C1810)</f>
        <v/>
      </c>
      <c r="I1810" s="10" t="inlineStr">
        <is>
          <t>บจก. วีที คัลเลอร์ โปร</t>
        </is>
      </c>
      <c r="J1810" s="161" t="n">
        <v>24766</v>
      </c>
      <c r="K1810" s="8" t="inlineStr">
        <is>
          <t>IV684-66</t>
        </is>
      </c>
      <c r="L1810" s="8" t="inlineStr">
        <is>
          <t>ราคาที่ระบุ ยังไม่รวมภาษี</t>
        </is>
      </c>
    </row>
    <row r="1811">
      <c r="B1811" s="6" t="inlineStr">
        <is>
          <t>แม่สี ปรับหน้าบรอนซ์ Hybrid S108</t>
        </is>
      </c>
      <c r="C1811" s="8" t="n">
        <v>4</v>
      </c>
      <c r="D1811" s="9" t="n">
        <v>750</v>
      </c>
      <c r="H1811" s="9">
        <f>SUM(D1811*C1811)</f>
        <v/>
      </c>
      <c r="I1811" s="10" t="inlineStr">
        <is>
          <t>บจก. วีที คัลเลอร์ โปร</t>
        </is>
      </c>
      <c r="J1811" s="161" t="n">
        <v>24404</v>
      </c>
      <c r="K1811" s="8" t="inlineStr">
        <is>
          <t>IV619-66</t>
        </is>
      </c>
      <c r="L1811" s="8" t="inlineStr">
        <is>
          <t>ราคาที่ระบุ ยังไม่รวมภาษี</t>
        </is>
      </c>
    </row>
    <row r="1812">
      <c r="B1812" s="6" t="inlineStr">
        <is>
          <t>แม่สี ปรับหน้าบรอนซ์ Hybrid S108</t>
        </is>
      </c>
      <c r="C1812" s="8" t="n">
        <v>4</v>
      </c>
      <c r="D1812" s="9" t="n">
        <v>750</v>
      </c>
      <c r="H1812" s="9">
        <f>SUM(D1812*C1812)</f>
        <v/>
      </c>
      <c r="I1812" s="10" t="inlineStr">
        <is>
          <t>บจก. วีที คัลเลอร์ โปร</t>
        </is>
      </c>
      <c r="J1812" s="161" t="n">
        <v>24462</v>
      </c>
      <c r="K1812" s="8" t="inlineStr">
        <is>
          <t>IV765-66</t>
        </is>
      </c>
      <c r="L1812" s="8" t="inlineStr">
        <is>
          <t>ราคาที่ระบุ ยังไม่รวมภาษี</t>
        </is>
      </c>
    </row>
    <row r="1813">
      <c r="B1813" s="6" t="inlineStr">
        <is>
          <t>แม่สี ปรับหน้าบรอนซ์ Hybrid S108</t>
        </is>
      </c>
      <c r="C1813" s="8" t="n">
        <v>3</v>
      </c>
      <c r="D1813" s="9" t="n">
        <v>750</v>
      </c>
      <c r="H1813" s="9">
        <f>SUM(D1813*C1813)</f>
        <v/>
      </c>
      <c r="I1813" s="10" t="inlineStr">
        <is>
          <t>บจก. วีที คัลเลอร์ โปร</t>
        </is>
      </c>
      <c r="J1813" s="161" t="n">
        <v>24496</v>
      </c>
      <c r="K1813" s="8" t="inlineStr">
        <is>
          <t>IV6701079</t>
        </is>
      </c>
      <c r="L1813" s="8" t="inlineStr">
        <is>
          <t>ราคาที่ระบุ ยังไม่รวมภาษี</t>
        </is>
      </c>
    </row>
    <row r="1814">
      <c r="B1814" s="6" t="inlineStr">
        <is>
          <t>แม่สี ปรับหน้าบรอนซ์ Hybrid S108</t>
        </is>
      </c>
      <c r="C1814" s="8" t="n">
        <v>4</v>
      </c>
      <c r="D1814" s="9" t="n">
        <v>750</v>
      </c>
      <c r="H1814" s="9">
        <f>SUM(D1814*C1814)</f>
        <v/>
      </c>
      <c r="I1814" s="10" t="inlineStr">
        <is>
          <t>บจก. วีที คัลเลอร์ โปร</t>
        </is>
      </c>
      <c r="J1814" s="161" t="n">
        <v>24584</v>
      </c>
      <c r="K1814" s="8" t="inlineStr">
        <is>
          <t>IV6704071</t>
        </is>
      </c>
      <c r="L1814" s="8" t="inlineStr">
        <is>
          <t>ราคาที่ระบุ ยังไม่รวมภาษี</t>
        </is>
      </c>
    </row>
    <row r="1815">
      <c r="B1815" s="6" t="inlineStr">
        <is>
          <t>แม่สี ปรับหน้าบรอนซ์ Hybrid S108</t>
        </is>
      </c>
      <c r="C1815" s="8" t="n">
        <v>4</v>
      </c>
      <c r="D1815" s="9" t="n">
        <v>750</v>
      </c>
      <c r="H1815" s="9">
        <f>SUM(D1815*C1815)</f>
        <v/>
      </c>
      <c r="I1815" s="10" t="inlineStr">
        <is>
          <t>บจก. วีที คัลเลอร์ โปร</t>
        </is>
      </c>
      <c r="J1815" s="161" t="n">
        <v>24613</v>
      </c>
      <c r="K1815" s="8" t="inlineStr">
        <is>
          <t>IV6705104</t>
        </is>
      </c>
      <c r="L1815" s="8" t="inlineStr">
        <is>
          <t>ราคาที่ระบุ ยังไม่รวมภาษี</t>
        </is>
      </c>
    </row>
    <row r="1816">
      <c r="B1816" s="6" t="inlineStr">
        <is>
          <t>แม่สี ปรับหน้าบรอนซ์ Hybrid S108</t>
        </is>
      </c>
      <c r="C1816" s="8" t="n">
        <v>3</v>
      </c>
      <c r="D1816" s="9" t="n">
        <v>750</v>
      </c>
      <c r="H1816" s="9">
        <f>SUM(D1816*C1816)</f>
        <v/>
      </c>
      <c r="I1816" s="10" t="inlineStr">
        <is>
          <t>บจก. วีที คัลเลอร์ โปร</t>
        </is>
      </c>
      <c r="J1816" s="161" t="n">
        <v>24529</v>
      </c>
      <c r="K1816" s="8" t="inlineStr">
        <is>
          <t>IV6702103</t>
        </is>
      </c>
      <c r="L1816" s="8" t="inlineStr">
        <is>
          <t>ราคาที่ระบุ ยังไม่รวมภาษี</t>
        </is>
      </c>
    </row>
    <row r="1817">
      <c r="B1817" s="6" t="inlineStr">
        <is>
          <t>แม่สี ปรับหน้าบรอนซ์ Hybrid S108</t>
        </is>
      </c>
      <c r="C1817" s="8" t="n">
        <v>3</v>
      </c>
      <c r="D1817" s="9" t="n">
        <v>750</v>
      </c>
      <c r="H1817" s="9">
        <f>SUM(D1817*C1817)</f>
        <v/>
      </c>
      <c r="I1817" s="10" t="inlineStr">
        <is>
          <t>บจก. วีที คัลเลอร์ โปร</t>
        </is>
      </c>
      <c r="J1817" s="161" t="n">
        <v>24550</v>
      </c>
      <c r="K1817" s="8" t="inlineStr">
        <is>
          <t>IV6703088</t>
        </is>
      </c>
      <c r="L1817" s="8" t="inlineStr">
        <is>
          <t>ราคาที่ระบุ ยังไม่รวมภาษี</t>
        </is>
      </c>
    </row>
    <row r="1818">
      <c r="B1818" s="6" t="inlineStr">
        <is>
          <t>แม่สี ปรับหน้าบรอนซ์ Hybrid S108</t>
        </is>
      </c>
      <c r="C1818" s="8" t="n">
        <v>5</v>
      </c>
      <c r="D1818" s="9" t="n">
        <v>750</v>
      </c>
      <c r="H1818" s="9">
        <f>SUM(D1818*C1818)</f>
        <v/>
      </c>
      <c r="I1818" s="10" t="inlineStr">
        <is>
          <t>บจก. วีที คัลเลอร์ โปร</t>
        </is>
      </c>
      <c r="J1818" s="161" t="n">
        <v>24644</v>
      </c>
      <c r="K1818" s="8" t="inlineStr">
        <is>
          <t>IV6706124</t>
        </is>
      </c>
      <c r="L1818" s="8" t="inlineStr">
        <is>
          <t>ราคาที่ระบุ ยังไม่รวมภาษี</t>
        </is>
      </c>
    </row>
    <row r="1819">
      <c r="B1819" s="6" t="inlineStr">
        <is>
          <t>แม่สี ปรับหน้าบรอนซ์ Hybrid S108</t>
        </is>
      </c>
      <c r="C1819" s="8" t="n">
        <v>4</v>
      </c>
      <c r="D1819" s="9" t="n">
        <v>750</v>
      </c>
      <c r="H1819" s="9">
        <f>SUM(D1819*C1819)</f>
        <v/>
      </c>
      <c r="I1819" s="10" t="inlineStr">
        <is>
          <t>บจก. วีที คัลเลอร์ โปร</t>
        </is>
      </c>
      <c r="J1819" s="161" t="n">
        <v>24676</v>
      </c>
      <c r="K1819" s="8" t="inlineStr">
        <is>
          <t>IV6707130</t>
        </is>
      </c>
      <c r="L1819" s="8" t="inlineStr">
        <is>
          <t>ราคาที่ระบุ ยังไม่รวมภาษี</t>
        </is>
      </c>
    </row>
    <row r="1820">
      <c r="B1820" s="6" t="inlineStr">
        <is>
          <t>แม่สี ปรับหน้าบรอนซ์ Hybrid S108</t>
        </is>
      </c>
      <c r="C1820" s="8" t="n">
        <v>4</v>
      </c>
      <c r="D1820" s="9" t="n">
        <v>750</v>
      </c>
      <c r="H1820" s="9">
        <f>SUM(D1820*C1820)</f>
        <v/>
      </c>
      <c r="I1820" s="10" t="inlineStr">
        <is>
          <t>บจก. วีที คัลเลอร์ โปร</t>
        </is>
      </c>
      <c r="J1820" s="161" t="n">
        <v>24707</v>
      </c>
      <c r="K1820" s="8" t="inlineStr">
        <is>
          <t>IV6708116</t>
        </is>
      </c>
      <c r="L1820" s="8" t="inlineStr">
        <is>
          <t>ราคาที่ระบุ ยังไม่รวมภาษี</t>
        </is>
      </c>
    </row>
    <row r="1821">
      <c r="B1821" s="6" t="inlineStr">
        <is>
          <t>แม่สี ปรับหน้าบรอนซ์ Hybrid S108</t>
        </is>
      </c>
      <c r="C1821" s="8" t="n">
        <v>4</v>
      </c>
      <c r="D1821" s="9" t="n">
        <v>750</v>
      </c>
      <c r="H1821" s="9">
        <f>SUM(D1821*C1821)</f>
        <v/>
      </c>
      <c r="I1821" s="10" t="inlineStr">
        <is>
          <t>บจก. วีที คัลเลอร์ โปร</t>
        </is>
      </c>
      <c r="J1821" s="161" t="n">
        <v>24739</v>
      </c>
      <c r="K1821" s="8" t="inlineStr">
        <is>
          <t>IV6709122</t>
        </is>
      </c>
      <c r="L1821" s="8" t="inlineStr">
        <is>
          <t>ราคาที่ระบุ ยังไม่รวมภาษี</t>
        </is>
      </c>
    </row>
    <row r="1822">
      <c r="B1822" s="6" t="inlineStr">
        <is>
          <t>แม่สี ปรับหน้าบรอนซ์ Hybrid S108</t>
        </is>
      </c>
      <c r="C1822" s="8" t="n">
        <v>3</v>
      </c>
      <c r="D1822" s="9" t="n">
        <v>750</v>
      </c>
      <c r="H1822" s="9">
        <f>SUM(D1822*C1822)</f>
        <v/>
      </c>
      <c r="I1822" s="10" t="inlineStr">
        <is>
          <t>บจก. วีที คัลเลอร์ โปร</t>
        </is>
      </c>
      <c r="J1822" s="161" t="n">
        <v>24766</v>
      </c>
      <c r="K1822" s="8" t="inlineStr">
        <is>
          <t>IV6710109</t>
        </is>
      </c>
      <c r="L1822" s="8" t="inlineStr">
        <is>
          <t>ราคาที่ระบุ ยังไม่รวมภาษี</t>
        </is>
      </c>
    </row>
    <row r="1823">
      <c r="B1823" s="6" t="inlineStr">
        <is>
          <t>แม่สี ปรับหน้าบรอนซ์ Hybrid S108</t>
        </is>
      </c>
      <c r="C1823" s="8" t="n">
        <v>4</v>
      </c>
      <c r="D1823" s="9" t="n">
        <v>750</v>
      </c>
      <c r="H1823" s="9">
        <f>SUM(D1823*C1823)</f>
        <v/>
      </c>
      <c r="I1823" s="10" t="inlineStr">
        <is>
          <t>บจก. วีที คัลเลอร์ โปร</t>
        </is>
      </c>
      <c r="J1823" s="161" t="n">
        <v>24795</v>
      </c>
      <c r="K1823" s="8" t="inlineStr">
        <is>
          <t>IV6711103</t>
        </is>
      </c>
      <c r="L1823" s="8" t="inlineStr">
        <is>
          <t>ราคาที่ระบุ ยังไม่รวมภาษี</t>
        </is>
      </c>
    </row>
    <row r="1824">
      <c r="B1824" s="6" t="inlineStr">
        <is>
          <t>แม่สี ปรับหน้าบรอนซ์ Hybrid S108</t>
        </is>
      </c>
      <c r="C1824" s="8" t="n">
        <v>4</v>
      </c>
      <c r="D1824" s="9" t="n">
        <v>750</v>
      </c>
      <c r="H1824" s="9">
        <f>SUM(D1824*C1824)</f>
        <v/>
      </c>
      <c r="I1824" s="10" t="inlineStr">
        <is>
          <t>บจก. วีที คัลเลอร์ โปร</t>
        </is>
      </c>
      <c r="J1824" s="161" t="n">
        <v>24824</v>
      </c>
      <c r="K1824" s="8" t="inlineStr">
        <is>
          <t>IV6712085</t>
        </is>
      </c>
      <c r="L1824" s="8" t="inlineStr">
        <is>
          <t>ราคาที่ระบุ ยังไม่รวมภาษี</t>
        </is>
      </c>
    </row>
    <row r="1825">
      <c r="B1825" s="6" t="inlineStr">
        <is>
          <t>แม่สี ปรับหน้าบรอนซ์ Hybrid S108</t>
        </is>
      </c>
      <c r="C1825" s="8" t="n">
        <v>4</v>
      </c>
      <c r="D1825" s="9" t="n">
        <v>802.5</v>
      </c>
      <c r="H1825" s="9">
        <f>SUM(D1825*C1825)</f>
        <v/>
      </c>
      <c r="I1825" s="10" t="inlineStr">
        <is>
          <t>บจก. วีที คัลเลอร์ โปร</t>
        </is>
      </c>
      <c r="J1825" s="161" t="n">
        <v>24858</v>
      </c>
      <c r="K1825" s="8" t="inlineStr">
        <is>
          <t>IV6801106</t>
        </is>
      </c>
      <c r="L1825" s="8" t="inlineStr">
        <is>
          <t>ราคารวม VAT แล้ว</t>
        </is>
      </c>
    </row>
    <row r="1826">
      <c r="B1826" s="6" t="inlineStr">
        <is>
          <t>แม่สี ปรับหน้าบรอนซ์ Hybrid S108</t>
        </is>
      </c>
      <c r="C1826" s="8" t="n">
        <v>3</v>
      </c>
      <c r="D1826" s="9" t="n">
        <v>802.5</v>
      </c>
      <c r="H1826" s="9">
        <f>SUM(D1826*C1826)</f>
        <v/>
      </c>
      <c r="I1826" s="10" t="inlineStr">
        <is>
          <t>บจก. วีที คัลเลอร์ โปร</t>
        </is>
      </c>
      <c r="J1826" s="161" t="n">
        <v>24886</v>
      </c>
      <c r="K1826" s="8" t="inlineStr">
        <is>
          <t>IV6802112</t>
        </is>
      </c>
      <c r="L1826" s="8" t="inlineStr">
        <is>
          <t>ราคารวม VAT แล้ว</t>
        </is>
      </c>
    </row>
    <row r="1827">
      <c r="B1827" s="6" t="inlineStr">
        <is>
          <t>แม่สี ปรับหน้าบรอนซ์ Hybrid S108</t>
        </is>
      </c>
      <c r="C1827" s="8" t="n">
        <v>2</v>
      </c>
      <c r="D1827" s="9" t="n">
        <v>802.5</v>
      </c>
      <c r="H1827" s="9">
        <f>SUM(D1827*C1827)</f>
        <v/>
      </c>
      <c r="I1827" s="10" t="inlineStr">
        <is>
          <t>บจก. วีที คัลเลอร์ โปร</t>
        </is>
      </c>
      <c r="J1827" s="161" t="n">
        <v>24892</v>
      </c>
      <c r="K1827" s="8" t="inlineStr">
        <is>
          <t>IV6802144</t>
        </is>
      </c>
      <c r="L1827" s="8" t="inlineStr">
        <is>
          <t>ราคารวม VAT แล้ว</t>
        </is>
      </c>
    </row>
    <row r="1828">
      <c r="B1828" s="6" t="inlineStr">
        <is>
          <t>แม่สี ปรับหน้าบรอนซ์ Hybrid S108</t>
        </is>
      </c>
      <c r="C1828" s="8" t="n">
        <v>6</v>
      </c>
      <c r="D1828" s="9" t="n">
        <v>802.5</v>
      </c>
      <c r="H1828" s="9">
        <f>SUM(D1828*C1828)</f>
        <v/>
      </c>
      <c r="I1828" s="10" t="inlineStr">
        <is>
          <t>บจก. วีที คัลเลอร์ โปร</t>
        </is>
      </c>
      <c r="J1828" s="161" t="n">
        <v>24923</v>
      </c>
      <c r="K1828" s="8" t="inlineStr">
        <is>
          <t>IV6803171</t>
        </is>
      </c>
      <c r="L1828" s="8" t="inlineStr">
        <is>
          <t>ราคารวม VAT แล้ว</t>
        </is>
      </c>
    </row>
    <row r="1829">
      <c r="B1829" s="6" t="inlineStr">
        <is>
          <t>แม่สี ปรับหน้าบรอนซ์ Hybrid S108</t>
        </is>
      </c>
      <c r="C1829" s="8" t="n">
        <v>2</v>
      </c>
      <c r="D1829" s="9" t="n">
        <v>750</v>
      </c>
      <c r="E1829" s="9">
        <f>SUM(D1829*C1829)</f>
        <v/>
      </c>
      <c r="F1829" s="8" t="n">
        <v>0.07000000000000001</v>
      </c>
      <c r="G1829" s="10" t="inlineStr">
        <is>
          <t>รวม VAT =</t>
        </is>
      </c>
      <c r="H1829" s="9">
        <f>SUM(E1829+N1829)</f>
        <v/>
      </c>
      <c r="I1829" s="10" t="inlineStr">
        <is>
          <t>บจก. วีที คัลเลอร์ โปร</t>
        </is>
      </c>
      <c r="J1829" s="161" t="n">
        <v>25015</v>
      </c>
      <c r="K1829" s="8" t="inlineStr">
        <is>
          <t>IV6806175</t>
        </is>
      </c>
      <c r="N1829" s="6">
        <f>SUM(E1829*F1829)</f>
        <v/>
      </c>
    </row>
    <row r="1830">
      <c r="B1830" s="6" t="inlineStr">
        <is>
          <t>แม่สี ปรับหน้าบรอนซ์ Hybrid S108</t>
        </is>
      </c>
      <c r="C1830" s="8" t="n">
        <v>2</v>
      </c>
      <c r="D1830" s="9" t="n">
        <v>750</v>
      </c>
      <c r="E1830" s="9">
        <f>SUM(D1830*C1830)</f>
        <v/>
      </c>
      <c r="F1830" s="8" t="n">
        <v>0.07000000000000001</v>
      </c>
      <c r="G1830" s="10" t="inlineStr">
        <is>
          <t>รวม VAT =</t>
        </is>
      </c>
      <c r="H1830" s="9">
        <f>SUM(E1830+N1830)</f>
        <v/>
      </c>
      <c r="I1830" s="10" t="inlineStr">
        <is>
          <t>บจก. วีที คัลเลอร์ โปร</t>
        </is>
      </c>
      <c r="J1830" s="161" t="n">
        <v>25063</v>
      </c>
      <c r="K1830" s="8" t="inlineStr">
        <is>
          <t>IV6808072</t>
        </is>
      </c>
      <c r="N1830" s="6">
        <f>SUM(E1830*F1830)</f>
        <v/>
      </c>
    </row>
    <row r="1831">
      <c r="B1831" s="6" t="inlineStr">
        <is>
          <t>แม่สี ปรับหน้าบรอนซ์ Hybrid S108</t>
        </is>
      </c>
      <c r="C1831" s="8" t="n">
        <v>2</v>
      </c>
      <c r="D1831" s="9" t="n">
        <v>750</v>
      </c>
      <c r="E1831" s="9">
        <f>SUM(D1831*C1831)</f>
        <v/>
      </c>
      <c r="F1831" s="8" t="n">
        <v>0.07000000000000001</v>
      </c>
      <c r="G1831" s="10" t="inlineStr">
        <is>
          <t>รวม VAT =</t>
        </is>
      </c>
      <c r="H1831" s="9">
        <f>SUM(E1831+N1831)</f>
        <v/>
      </c>
      <c r="I1831" s="10" t="inlineStr">
        <is>
          <t>บจก. วีที คัลเลอร์ โปร</t>
        </is>
      </c>
      <c r="J1831" s="161" t="n">
        <v>25040</v>
      </c>
      <c r="K1831" s="8" t="inlineStr">
        <is>
          <t>IV6807158</t>
        </is>
      </c>
      <c r="N1831" s="6">
        <f>SUM(E1831*F1831)</f>
        <v/>
      </c>
    </row>
    <row r="1832">
      <c r="B1832" s="6" t="inlineStr">
        <is>
          <t>แม่สี ปรับหน้าบรอนซ์ Hybrid S108</t>
        </is>
      </c>
      <c r="C1832" s="8" t="n">
        <v>4</v>
      </c>
      <c r="D1832" s="9" t="n">
        <v>750</v>
      </c>
      <c r="E1832" s="9">
        <f>SUM(D1832*C1832)</f>
        <v/>
      </c>
      <c r="F1832" s="8" t="n">
        <v>0.07000000000000001</v>
      </c>
      <c r="G1832" s="10" t="inlineStr">
        <is>
          <t>รวม VAT =</t>
        </is>
      </c>
      <c r="H1832" s="9">
        <f>SUM(E1832+N1832)</f>
        <v/>
      </c>
      <c r="I1832" s="10" t="inlineStr">
        <is>
          <t>บจก. วีที คัลเลอร์ โปร</t>
        </is>
      </c>
      <c r="J1832" s="161" t="n">
        <v>25043</v>
      </c>
      <c r="K1832" s="8" t="inlineStr">
        <is>
          <t>IV6807194</t>
        </is>
      </c>
      <c r="N1832" s="6">
        <f>SUM(E1832*F1832)</f>
        <v/>
      </c>
    </row>
    <row r="1833">
      <c r="B1833" s="6" t="inlineStr">
        <is>
          <t>แม่สี ปรับหน้าบรอนซ์ Hybrid S108</t>
        </is>
      </c>
      <c r="C1833" s="8" t="n">
        <v>4</v>
      </c>
      <c r="D1833" s="9" t="n">
        <v>750</v>
      </c>
      <c r="E1833" s="9">
        <f>SUM(D1833*C1833)</f>
        <v/>
      </c>
      <c r="F1833" s="8" t="n">
        <v>0.07000000000000001</v>
      </c>
      <c r="G1833" s="10" t="inlineStr">
        <is>
          <t>รวม VAT =</t>
        </is>
      </c>
      <c r="H1833" s="9">
        <f>SUM(E1833+N1833)</f>
        <v/>
      </c>
      <c r="I1833" s="10" t="inlineStr">
        <is>
          <t>บจก. วีที คัลเลอร์ โปร</t>
        </is>
      </c>
      <c r="J1833" s="161" t="n">
        <v>25073</v>
      </c>
      <c r="K1833" s="8" t="inlineStr">
        <is>
          <t>IV6808151</t>
        </is>
      </c>
      <c r="N1833" s="6">
        <f>SUM(E1833*F1833)</f>
        <v/>
      </c>
    </row>
    <row r="1834">
      <c r="B1834" s="6" t="inlineStr">
        <is>
          <t>แม่สี ปรับหน้าบรอนซ์ Hybrid S108</t>
        </is>
      </c>
      <c r="C1834" s="8" t="n">
        <v>3</v>
      </c>
      <c r="D1834" s="9" t="n">
        <v>750</v>
      </c>
      <c r="E1834" s="9">
        <f>SUM(D1834*C1834)</f>
        <v/>
      </c>
      <c r="F1834" s="8" t="n">
        <v>0.07000000000000001</v>
      </c>
      <c r="G1834" s="10" t="inlineStr">
        <is>
          <t>รวม VAT =</t>
        </is>
      </c>
      <c r="H1834" s="9">
        <f>SUM(E1834+N1834)</f>
        <v/>
      </c>
      <c r="I1834" s="10" t="inlineStr">
        <is>
          <t>บจก. วีที คัลเลอร์ โปร</t>
        </is>
      </c>
      <c r="J1834" s="161" t="n">
        <v>25112</v>
      </c>
      <c r="K1834" s="8" t="inlineStr">
        <is>
          <t>IV6810015</t>
        </is>
      </c>
      <c r="N1834" s="6">
        <f>SUM(E1834*F1834)</f>
        <v/>
      </c>
    </row>
    <row r="1835">
      <c r="A1835" s="70" t="n"/>
      <c r="B1835" s="6" t="inlineStr">
        <is>
          <t>แม่สี ปรับหน้าบรอนซ์ Hybrid S108</t>
        </is>
      </c>
      <c r="C1835" s="8" t="n">
        <v>2</v>
      </c>
      <c r="D1835" s="9" t="n">
        <v>750</v>
      </c>
      <c r="E1835" s="9">
        <f>SUM(C1835*D1835)</f>
        <v/>
      </c>
      <c r="H1835" s="9">
        <f>SUM(E1835*107/100)</f>
        <v/>
      </c>
      <c r="I1835" s="10" t="inlineStr">
        <is>
          <t>บจก. วีที คัลเลอร์ โปร</t>
        </is>
      </c>
      <c r="J1835" s="161" t="n">
        <v>25127</v>
      </c>
      <c r="K1835" s="8" t="inlineStr">
        <is>
          <t>IV6810110</t>
        </is>
      </c>
      <c r="L1835" s="8" t="inlineStr">
        <is>
          <t>ราคาที่ลง ยังไม่รวมภาษี</t>
        </is>
      </c>
    </row>
    <row r="1836">
      <c r="B1836" s="6" t="inlineStr">
        <is>
          <t>แม่สี ปรับหน้าบรอนซ์ Hybrid S108</t>
        </is>
      </c>
      <c r="C1836" s="8" t="n">
        <v>4</v>
      </c>
      <c r="D1836" s="9" t="n">
        <v>750</v>
      </c>
      <c r="E1836" s="9">
        <f>SUM(D1836*C1836)</f>
        <v/>
      </c>
      <c r="F1836" s="8" t="n">
        <v>0.07000000000000001</v>
      </c>
      <c r="G1836" s="10" t="inlineStr">
        <is>
          <t>รวม VAT =</t>
        </is>
      </c>
      <c r="H1836" s="9">
        <f>SUM(E1836+N1836)</f>
        <v/>
      </c>
      <c r="I1836" s="10" t="inlineStr">
        <is>
          <t>บจก. วีที คัลเลอร์ โปร</t>
        </is>
      </c>
      <c r="J1836" s="161" t="n">
        <v>25145</v>
      </c>
      <c r="K1836" s="8" t="inlineStr">
        <is>
          <t>IV6811023</t>
        </is>
      </c>
      <c r="L1836" s="8" t="inlineStr">
        <is>
          <t>ราคาที่ระบุ ยังไม่รวม VAT7%</t>
        </is>
      </c>
      <c r="N1836" s="6">
        <f>SUM(E1836*F1836)</f>
        <v/>
      </c>
    </row>
    <row r="1837">
      <c r="B1837" s="6" t="inlineStr">
        <is>
          <t>แม่สี ปรับหน้าบรอนซ์ Hybrid S108</t>
        </is>
      </c>
      <c r="C1837" s="8" t="n">
        <v>2</v>
      </c>
      <c r="D1837" s="9" t="n">
        <v>750</v>
      </c>
      <c r="E1837" s="9">
        <f>SUM(D1837*C1837)</f>
        <v/>
      </c>
      <c r="F1837" s="8" t="n">
        <v>0.07000000000000001</v>
      </c>
      <c r="G1837" s="10" t="inlineStr">
        <is>
          <t>รวม VAT =</t>
        </is>
      </c>
      <c r="H1837" s="9">
        <f>SUM(E1837+N1837)</f>
        <v/>
      </c>
      <c r="I1837" s="10" t="inlineStr">
        <is>
          <t>บจก. วีที คัลเลอร์ โปร</t>
        </is>
      </c>
      <c r="J1837" s="161" t="n">
        <v>25168</v>
      </c>
      <c r="K1837" s="8" t="inlineStr">
        <is>
          <t>IV6811188</t>
        </is>
      </c>
      <c r="N1837" s="6">
        <f>SUM(E1837*F1837)</f>
        <v/>
      </c>
    </row>
    <row r="1839">
      <c r="B1839" s="6" t="inlineStr">
        <is>
          <t>แม่สี Matrix  M-161</t>
        </is>
      </c>
      <c r="C1839" s="8" t="inlineStr">
        <is>
          <t>2กป.</t>
        </is>
      </c>
      <c r="D1839" s="9" t="n">
        <v>850</v>
      </c>
      <c r="F1839" s="8" t="n">
        <v>10</v>
      </c>
      <c r="H1839" s="9" t="n">
        <v>1700</v>
      </c>
      <c r="I1839" s="10" t="inlineStr">
        <is>
          <t>ทรัพย์สินไทย</t>
        </is>
      </c>
      <c r="J1839" s="161" t="n">
        <v>23107</v>
      </c>
      <c r="L1839" s="8" t="inlineStr">
        <is>
          <t>ราคาที่ระบุเป็นก่อนหักส่วนลด</t>
        </is>
      </c>
    </row>
    <row r="1840">
      <c r="B1840" s="6" t="inlineStr">
        <is>
          <t>แม่สี Matrix  M-161</t>
        </is>
      </c>
      <c r="C1840" s="8" t="inlineStr">
        <is>
          <t>2กป.</t>
        </is>
      </c>
      <c r="D1840" s="9" t="n">
        <v>850</v>
      </c>
      <c r="F1840" s="8" t="n">
        <v>10</v>
      </c>
      <c r="H1840" s="9" t="n">
        <v>1700</v>
      </c>
      <c r="I1840" s="10" t="inlineStr">
        <is>
          <t>ทรัพย์สินไทย</t>
        </is>
      </c>
      <c r="J1840" s="161" t="n">
        <v>23277</v>
      </c>
      <c r="L1840" s="8" t="inlineStr">
        <is>
          <t>ราคาที่ระบุเป็นก่อนหักส่วนลด</t>
        </is>
      </c>
    </row>
    <row r="1841">
      <c r="B1841" s="6" t="inlineStr">
        <is>
          <t>แม่สี Matrix  M-161</t>
        </is>
      </c>
      <c r="C1841" s="8" t="inlineStr">
        <is>
          <t>1กป.</t>
        </is>
      </c>
      <c r="D1841" s="9" t="n">
        <v>850</v>
      </c>
      <c r="F1841" s="8" t="n">
        <v>10</v>
      </c>
      <c r="H1841" s="9" t="n">
        <v>850</v>
      </c>
      <c r="I1841" s="10" t="inlineStr">
        <is>
          <t>ทรัพย์สินไทย</t>
        </is>
      </c>
      <c r="J1841" s="161" t="n">
        <v>23460</v>
      </c>
      <c r="L1841" s="8" t="inlineStr">
        <is>
          <t>ราคาที่ระบุเป็นก่อนหักส่วนลด</t>
        </is>
      </c>
    </row>
    <row r="1842">
      <c r="B1842" s="6" t="inlineStr">
        <is>
          <t>แม่สี Matrix  M-161</t>
        </is>
      </c>
      <c r="C1842" s="8" t="inlineStr">
        <is>
          <t>1กป.</t>
        </is>
      </c>
      <c r="D1842" s="9" t="n">
        <v>850</v>
      </c>
      <c r="F1842" s="8" t="n">
        <v>10</v>
      </c>
      <c r="H1842" s="9" t="n">
        <v>850</v>
      </c>
      <c r="I1842" s="10" t="inlineStr">
        <is>
          <t>ทรัพย์สินไทย</t>
        </is>
      </c>
      <c r="J1842" s="161" t="n">
        <v>23763</v>
      </c>
      <c r="K1842" s="8" t="inlineStr">
        <is>
          <t>IV6501224</t>
        </is>
      </c>
      <c r="L1842" s="8" t="inlineStr">
        <is>
          <t>ราคาที่ระบุเป็นก่อนหักส่วนลด</t>
        </is>
      </c>
    </row>
    <row r="1844">
      <c r="B1844" s="6" t="inlineStr">
        <is>
          <t>แม่สี แดงสด SC-161</t>
        </is>
      </c>
      <c r="C1844" s="8" t="inlineStr">
        <is>
          <t>2กป.</t>
        </is>
      </c>
      <c r="D1844" s="9" t="n">
        <v>750</v>
      </c>
      <c r="H1844" s="9" t="n">
        <v>1500</v>
      </c>
      <c r="I1844" s="10" t="inlineStr">
        <is>
          <t>บจก. วีที คัลเลอร์ โปร</t>
        </is>
      </c>
      <c r="J1844" s="161" t="n">
        <v>24160</v>
      </c>
      <c r="K1844" s="8" t="inlineStr">
        <is>
          <t>IV113-66</t>
        </is>
      </c>
      <c r="L1844" s="8" t="inlineStr">
        <is>
          <t>ราคาที่ระบุ ยังไม่รวม VAT7%</t>
        </is>
      </c>
    </row>
    <row r="1845">
      <c r="B1845" s="6" t="inlineStr">
        <is>
          <t>แม่สี แดงสด SC-161</t>
        </is>
      </c>
      <c r="C1845" s="8" t="inlineStr">
        <is>
          <t>2กป.</t>
        </is>
      </c>
      <c r="D1845" s="9" t="n">
        <v>750</v>
      </c>
      <c r="H1845" s="9" t="n">
        <v>1500</v>
      </c>
      <c r="I1845" s="10" t="inlineStr">
        <is>
          <t>บจก. วีที คัลเลอร์ โปร</t>
        </is>
      </c>
      <c r="J1845" s="161" t="n">
        <v>24282</v>
      </c>
      <c r="K1845" s="8" t="inlineStr">
        <is>
          <t>IV352-66</t>
        </is>
      </c>
      <c r="L1845" s="8" t="inlineStr">
        <is>
          <t>ราคาที่ระบุ ยังไม่รวม VAT7%</t>
        </is>
      </c>
    </row>
    <row r="1846">
      <c r="B1846" s="6" t="inlineStr">
        <is>
          <t>แม่สี แดงสด Hybrid S161</t>
        </is>
      </c>
      <c r="C1846" s="8" t="n">
        <v>2</v>
      </c>
      <c r="D1846" s="9" t="n">
        <v>750</v>
      </c>
      <c r="H1846" s="9">
        <f>SUM(D1846*C1846)</f>
        <v/>
      </c>
      <c r="I1846" s="10" t="inlineStr">
        <is>
          <t>บจก. วีที คัลเลอร์ โปร</t>
        </is>
      </c>
      <c r="J1846" s="161" t="n">
        <v>24496</v>
      </c>
      <c r="K1846" s="8" t="inlineStr">
        <is>
          <t>IV6701079</t>
        </is>
      </c>
      <c r="L1846" s="8" t="inlineStr">
        <is>
          <t>ราคายังไม่รวม VAT</t>
        </is>
      </c>
    </row>
    <row r="1847">
      <c r="B1847" s="6" t="inlineStr">
        <is>
          <t>แม่สี แดงสด Hybrid S161</t>
        </is>
      </c>
      <c r="C1847" s="8" t="n">
        <v>1</v>
      </c>
      <c r="D1847" s="9" t="n">
        <v>750</v>
      </c>
      <c r="H1847" s="9">
        <f>SUM(D1847*C1847)</f>
        <v/>
      </c>
      <c r="I1847" s="10" t="inlineStr">
        <is>
          <t>บจก. วีที คัลเลอร์ โปร</t>
        </is>
      </c>
      <c r="J1847" s="161" t="n">
        <v>24613</v>
      </c>
      <c r="K1847" s="8" t="inlineStr">
        <is>
          <t>IV6705104</t>
        </is>
      </c>
      <c r="L1847" s="8" t="inlineStr">
        <is>
          <t>ราคายังไม่รวม VAT</t>
        </is>
      </c>
    </row>
    <row r="1848">
      <c r="B1848" s="6" t="inlineStr">
        <is>
          <t>แม่สี แดงสด Hybrid S161</t>
        </is>
      </c>
      <c r="C1848" s="8" t="n">
        <v>1</v>
      </c>
      <c r="D1848" s="9" t="n">
        <v>750</v>
      </c>
      <c r="H1848" s="9">
        <f>SUM(D1848*C1848)</f>
        <v/>
      </c>
      <c r="I1848" s="10" t="inlineStr">
        <is>
          <t>บจก. วีที คัลเลอร์ โปร</t>
        </is>
      </c>
      <c r="J1848" s="161" t="n">
        <v>24647</v>
      </c>
      <c r="K1848" s="8" t="inlineStr">
        <is>
          <t>IV6706130</t>
        </is>
      </c>
      <c r="L1848" s="8" t="inlineStr">
        <is>
          <t>ราคายังไม่รวม VAT</t>
        </is>
      </c>
    </row>
    <row r="1849">
      <c r="B1849" s="6" t="inlineStr">
        <is>
          <t>แม่สี แดงสด Hybrid S161</t>
        </is>
      </c>
      <c r="C1849" s="8" t="n">
        <v>1</v>
      </c>
      <c r="D1849" s="9" t="n">
        <v>750</v>
      </c>
      <c r="E1849" s="9">
        <f>SUM(D1849*C1849)</f>
        <v/>
      </c>
      <c r="F1849" s="8" t="n">
        <v>0.07000000000000001</v>
      </c>
      <c r="G1849" s="10" t="inlineStr">
        <is>
          <t>รวม VAT =</t>
        </is>
      </c>
      <c r="H1849" s="9">
        <f>SUM(E1849+N1849)</f>
        <v/>
      </c>
      <c r="I1849" s="10" t="inlineStr">
        <is>
          <t>บจก. วีที คัลเลอร์ โปร</t>
        </is>
      </c>
      <c r="J1849" s="161" t="n">
        <v>25015</v>
      </c>
      <c r="K1849" s="8" t="inlineStr">
        <is>
          <t>IV6806175</t>
        </is>
      </c>
      <c r="L1849" s="8" t="inlineStr">
        <is>
          <t>ราคาที่ระบุ ยังไม่รวม VAT7%</t>
        </is>
      </c>
      <c r="N1849" s="6">
        <f>SUM(E1849*F1849)</f>
        <v/>
      </c>
    </row>
    <row r="1850">
      <c r="B1850" s="6" t="inlineStr">
        <is>
          <t>แม่สี แดงสด Hybrid S161</t>
        </is>
      </c>
      <c r="C1850" s="8" t="n">
        <v>2</v>
      </c>
      <c r="D1850" s="9" t="n">
        <v>750</v>
      </c>
      <c r="H1850" s="9">
        <f>SUM(D1850*C1850)</f>
        <v/>
      </c>
      <c r="I1850" s="10" t="inlineStr">
        <is>
          <t>บจก. วีที คัลเลอร์ โปร</t>
        </is>
      </c>
      <c r="J1850" s="161" t="n">
        <v>24698</v>
      </c>
      <c r="K1850" s="8" t="inlineStr">
        <is>
          <t>IV6708064</t>
        </is>
      </c>
      <c r="L1850" s="8" t="inlineStr">
        <is>
          <t>ราคายังไม่รวม VAT</t>
        </is>
      </c>
    </row>
    <row r="1852">
      <c r="B1852" s="6" t="inlineStr">
        <is>
          <t>แม่สี แดงสด SC-186</t>
        </is>
      </c>
      <c r="C1852" s="8" t="inlineStr">
        <is>
          <t>2กป.</t>
        </is>
      </c>
      <c r="D1852" s="9" t="n">
        <v>750</v>
      </c>
      <c r="H1852" s="9" t="n">
        <v>1500</v>
      </c>
      <c r="I1852" s="10" t="inlineStr">
        <is>
          <t>บจก. วีที คัลเลอร์ โปร</t>
        </is>
      </c>
      <c r="J1852" s="161" t="n">
        <v>24271</v>
      </c>
      <c r="K1852" s="8" t="inlineStr">
        <is>
          <t>IV329-66</t>
        </is>
      </c>
      <c r="L1852" s="8" t="inlineStr">
        <is>
          <t>ราคาที่ระบุ ยังไม่รวม VAT7%</t>
        </is>
      </c>
    </row>
    <row r="1854">
      <c r="B1854" s="6" t="inlineStr">
        <is>
          <t>แม่สี Matrix  M-162</t>
        </is>
      </c>
      <c r="C1854" s="8" t="inlineStr">
        <is>
          <t>2กป.</t>
        </is>
      </c>
      <c r="D1854" s="9" t="n">
        <v>850</v>
      </c>
      <c r="F1854" s="8" t="n">
        <v>10</v>
      </c>
      <c r="H1854" s="9" t="n">
        <v>1700</v>
      </c>
      <c r="I1854" s="10" t="inlineStr">
        <is>
          <t>ทรัพย์สินไทย</t>
        </is>
      </c>
      <c r="J1854" s="161" t="n">
        <v>23216</v>
      </c>
      <c r="L1854" s="8" t="inlineStr">
        <is>
          <t>ราคาที่ระบุเป็นก่อนหักส่วนลด</t>
        </is>
      </c>
    </row>
    <row r="1855">
      <c r="B1855" s="6" t="inlineStr">
        <is>
          <t>แม่สี Matrix  M-162</t>
        </is>
      </c>
      <c r="C1855" s="8" t="inlineStr">
        <is>
          <t>2กป.</t>
        </is>
      </c>
      <c r="D1855" s="9" t="n">
        <v>850</v>
      </c>
      <c r="F1855" s="8" t="n">
        <v>10</v>
      </c>
      <c r="H1855" s="9" t="n">
        <v>1700</v>
      </c>
      <c r="I1855" s="10" t="inlineStr">
        <is>
          <t>ทรัพย์สินไทย</t>
        </is>
      </c>
      <c r="J1855" s="161" t="n">
        <v>23398</v>
      </c>
      <c r="L1855" s="8" t="inlineStr">
        <is>
          <t>ราคาที่ระบุเป็นก่อนหักส่วนลด</t>
        </is>
      </c>
    </row>
    <row r="1856">
      <c r="B1856" s="6" t="inlineStr">
        <is>
          <t>แม่สี Matrix  M-162</t>
        </is>
      </c>
      <c r="C1856" s="8" t="inlineStr">
        <is>
          <t>2กป.</t>
        </is>
      </c>
      <c r="D1856" s="9" t="n">
        <v>850</v>
      </c>
      <c r="F1856" s="8" t="n">
        <v>10</v>
      </c>
      <c r="H1856" s="9" t="n">
        <v>1700</v>
      </c>
      <c r="I1856" s="10" t="inlineStr">
        <is>
          <t>ทรัพย์สินไทย</t>
        </is>
      </c>
      <c r="J1856" s="161" t="n">
        <v>23570</v>
      </c>
      <c r="L1856" s="8" t="inlineStr">
        <is>
          <t>ราคาที่ระบุเป็นก่อนหักส่วนลด</t>
        </is>
      </c>
    </row>
    <row r="1857">
      <c r="B1857" s="6" t="inlineStr">
        <is>
          <t>แม่สี Matrix  M-162</t>
        </is>
      </c>
      <c r="C1857" s="8" t="inlineStr">
        <is>
          <t>2กป.</t>
        </is>
      </c>
      <c r="D1857" s="9" t="n">
        <v>850</v>
      </c>
      <c r="F1857" s="8" t="n">
        <v>10</v>
      </c>
      <c r="H1857" s="9" t="n">
        <v>1700</v>
      </c>
      <c r="I1857" s="10" t="inlineStr">
        <is>
          <t>ทรัพย์สินไทย</t>
        </is>
      </c>
      <c r="J1857" s="161" t="n">
        <v>23704</v>
      </c>
      <c r="K1857" s="8" t="inlineStr">
        <is>
          <t>IV6411319</t>
        </is>
      </c>
      <c r="L1857" s="8" t="inlineStr">
        <is>
          <t>ราคาที่ระบุเป็นก่อนหักส่วนลด</t>
        </is>
      </c>
    </row>
    <row r="1858">
      <c r="B1858" s="6" t="inlineStr">
        <is>
          <t>แม่สี น้ำเงินสด SC-162</t>
        </is>
      </c>
      <c r="C1858" s="8" t="inlineStr">
        <is>
          <t>1กป.</t>
        </is>
      </c>
      <c r="D1858" s="9" t="n">
        <v>750</v>
      </c>
      <c r="H1858" s="9" t="n">
        <v>750</v>
      </c>
      <c r="I1858" s="10" t="inlineStr">
        <is>
          <t>บจก. วีที คัลเลอร์ โปร</t>
        </is>
      </c>
      <c r="J1858" s="161" t="n">
        <v>23978</v>
      </c>
      <c r="K1858" s="8" t="inlineStr">
        <is>
          <t>IV148-65</t>
        </is>
      </c>
      <c r="L1858" s="8" t="inlineStr">
        <is>
          <t>ราคาที่ระบุ ยังไม่รวม VAT7%</t>
        </is>
      </c>
    </row>
    <row r="1859">
      <c r="B1859" s="6" t="inlineStr">
        <is>
          <t>แม่สี น้ำเงินสด SC-162</t>
        </is>
      </c>
      <c r="C1859" s="8" t="inlineStr">
        <is>
          <t>2กป.</t>
        </is>
      </c>
      <c r="D1859" s="9" t="n">
        <v>750</v>
      </c>
      <c r="H1859" s="9" t="n">
        <v>1500</v>
      </c>
      <c r="I1859" s="10" t="inlineStr">
        <is>
          <t>บจก. วีที คัลเลอร์ โปร</t>
        </is>
      </c>
      <c r="J1859" s="161" t="n">
        <v>24089</v>
      </c>
      <c r="K1859" s="8" t="inlineStr">
        <is>
          <t>IV308-65</t>
        </is>
      </c>
      <c r="L1859" s="8" t="inlineStr">
        <is>
          <t>ราคาที่ระบุ ยังไม่รวม VAT7%</t>
        </is>
      </c>
    </row>
    <row r="1860">
      <c r="B1860" s="6" t="inlineStr">
        <is>
          <t>แม่สี น้ำเงินสด SC-162</t>
        </is>
      </c>
      <c r="C1860" s="8" t="inlineStr">
        <is>
          <t>1กป.</t>
        </is>
      </c>
      <c r="D1860" s="9" t="n">
        <v>750</v>
      </c>
      <c r="H1860" s="9" t="n">
        <v>750</v>
      </c>
      <c r="I1860" s="10" t="inlineStr">
        <is>
          <t>บจก. วีที คัลเลอร์ โปร</t>
        </is>
      </c>
      <c r="J1860" s="161" t="n">
        <v>24282</v>
      </c>
      <c r="K1860" s="8" t="inlineStr">
        <is>
          <t>IV352-66</t>
        </is>
      </c>
      <c r="L1860" s="8" t="inlineStr">
        <is>
          <t>ราคาที่ระบุ ยังไม่รวม VAT7%</t>
        </is>
      </c>
    </row>
    <row r="1861">
      <c r="B1861" s="6" t="inlineStr">
        <is>
          <t>แม่สี น้ำเงินสด Hybrid S162</t>
        </is>
      </c>
      <c r="C1861" s="8" t="n">
        <v>2</v>
      </c>
      <c r="D1861" s="9" t="n">
        <v>750</v>
      </c>
      <c r="H1861" s="9">
        <f>SUM(D1861*C1861)</f>
        <v/>
      </c>
      <c r="I1861" s="10" t="inlineStr">
        <is>
          <t>บจก. วีที คัลเลอร์ โปร</t>
        </is>
      </c>
      <c r="J1861" s="161" t="n">
        <v>24401</v>
      </c>
      <c r="K1861" s="8" t="inlineStr">
        <is>
          <t>IV684-66</t>
        </is>
      </c>
      <c r="L1861" s="8" t="inlineStr">
        <is>
          <t>ราคาที่ระบุ ยังไม่รวม VAT7%</t>
        </is>
      </c>
    </row>
    <row r="1862">
      <c r="B1862" s="6" t="inlineStr">
        <is>
          <t>แม่สี น้ำเงินสด Hybrid S162</t>
        </is>
      </c>
      <c r="C1862" s="8" t="n">
        <v>1</v>
      </c>
      <c r="D1862" s="9" t="n">
        <v>750</v>
      </c>
      <c r="H1862" s="9">
        <f>SUM(D1862*C1862)</f>
        <v/>
      </c>
      <c r="I1862" s="10" t="inlineStr">
        <is>
          <t>บจก. วีที คัลเลอร์ โปร</t>
        </is>
      </c>
      <c r="J1862" s="161" t="n">
        <v>24644</v>
      </c>
      <c r="K1862" s="8" t="inlineStr">
        <is>
          <t>IV6706124</t>
        </is>
      </c>
      <c r="L1862" s="8" t="inlineStr">
        <is>
          <t>ราคาที่ระบุ ยังไม่รวม VAT7%</t>
        </is>
      </c>
    </row>
    <row r="1863">
      <c r="B1863" s="6" t="inlineStr">
        <is>
          <t>แม่สี น้ำเงินสด Hybrid S162</t>
        </is>
      </c>
      <c r="C1863" s="8" t="n">
        <v>1</v>
      </c>
      <c r="D1863" s="9" t="n">
        <v>750</v>
      </c>
      <c r="H1863" s="9">
        <f>SUM(D1863*C1863)</f>
        <v/>
      </c>
      <c r="I1863" s="10" t="inlineStr">
        <is>
          <t>บจก. วีที คัลเลอร์ โปร</t>
        </is>
      </c>
      <c r="J1863" s="161" t="n">
        <v>24698</v>
      </c>
      <c r="K1863" s="8" t="inlineStr">
        <is>
          <t>IV6708064</t>
        </is>
      </c>
      <c r="L1863" s="8" t="inlineStr">
        <is>
          <t>ราคาที่ระบุ ยังไม่รวม VAT7%</t>
        </is>
      </c>
    </row>
    <row r="1864">
      <c r="B1864" s="6" t="inlineStr">
        <is>
          <t>แม่สี น้ำเงินสด Hybrid S162</t>
        </is>
      </c>
      <c r="C1864" s="8" t="n">
        <v>1</v>
      </c>
      <c r="D1864" s="9" t="n">
        <v>750</v>
      </c>
      <c r="H1864" s="9">
        <f>SUM(D1864*C1864)</f>
        <v/>
      </c>
      <c r="I1864" s="10" t="inlineStr">
        <is>
          <t>บจก. วีที คัลเลอร์ โปร</t>
        </is>
      </c>
      <c r="J1864" s="161" t="n">
        <v>24795</v>
      </c>
      <c r="K1864" s="8" t="inlineStr">
        <is>
          <t>IV6711134</t>
        </is>
      </c>
      <c r="L1864" s="8" t="inlineStr">
        <is>
          <t>ราคาที่ระบุ ยังไม่รวม VAT7%</t>
        </is>
      </c>
    </row>
    <row r="1865">
      <c r="B1865" s="6" t="inlineStr">
        <is>
          <t>แม่สี น้ำเงินสด Hybrid S162</t>
        </is>
      </c>
      <c r="C1865" s="8" t="n">
        <v>1</v>
      </c>
      <c r="D1865" s="9" t="n">
        <v>750</v>
      </c>
      <c r="E1865" s="9">
        <f>SUM(C1865*D1865)</f>
        <v/>
      </c>
      <c r="H1865" s="9">
        <f>SUM(E1865*O1865/N1865)</f>
        <v/>
      </c>
      <c r="I1865" s="10" t="inlineStr">
        <is>
          <t>บจก. วีที คัลเลอร์ โปร</t>
        </is>
      </c>
      <c r="J1865" s="161" t="n">
        <v>24979</v>
      </c>
      <c r="K1865" s="8" t="inlineStr">
        <is>
          <t>IV6805147</t>
        </is>
      </c>
      <c r="N1865" s="6" t="n">
        <v>100</v>
      </c>
      <c r="O1865" s="6" t="n">
        <v>107</v>
      </c>
    </row>
    <row r="1866">
      <c r="B1866" s="6" t="inlineStr">
        <is>
          <t>แม่สี น้ำเงินสด Hybrid S162</t>
        </is>
      </c>
      <c r="C1866" s="8" t="n">
        <v>2</v>
      </c>
      <c r="D1866" s="9" t="n">
        <v>750</v>
      </c>
      <c r="E1866" s="9">
        <f>SUM(D1866*C1866)</f>
        <v/>
      </c>
      <c r="F1866" s="8" t="n">
        <v>0.07000000000000001</v>
      </c>
      <c r="G1866" s="10" t="inlineStr">
        <is>
          <t>รวม VAT =</t>
        </is>
      </c>
      <c r="H1866" s="9">
        <f>SUM(E1866+N1866)</f>
        <v/>
      </c>
      <c r="I1866" s="10" t="inlineStr">
        <is>
          <t>บจก. วีที คัลเลอร์ โปร</t>
        </is>
      </c>
      <c r="J1866" s="161" t="n">
        <v>25042</v>
      </c>
      <c r="K1866" s="8" t="inlineStr">
        <is>
          <t>IV6807180</t>
        </is>
      </c>
      <c r="L1866" s="8" t="inlineStr">
        <is>
          <t>ราคาที่ระบุ ยังไม่รวม VAT7%</t>
        </is>
      </c>
      <c r="N1866" s="6">
        <f>SUM(E1866*F1866)</f>
        <v/>
      </c>
    </row>
    <row r="1867">
      <c r="B1867" s="6" t="inlineStr">
        <is>
          <t>แม่สี น้ำเงินสด Hybrid S162</t>
        </is>
      </c>
      <c r="C1867" s="8" t="n">
        <v>2</v>
      </c>
      <c r="D1867" s="9" t="n">
        <v>750</v>
      </c>
      <c r="E1867" s="9">
        <f>SUM(D1867*C1867)</f>
        <v/>
      </c>
      <c r="F1867" s="8" t="n">
        <v>0.07000000000000001</v>
      </c>
      <c r="G1867" s="10" t="inlineStr">
        <is>
          <t>รวม VAT =</t>
        </is>
      </c>
      <c r="H1867" s="9">
        <f>SUM(E1867+N1867)</f>
        <v/>
      </c>
      <c r="I1867" s="10" t="inlineStr">
        <is>
          <t>บจก. วีที คัลเลอร์ โปร</t>
        </is>
      </c>
      <c r="J1867" s="161" t="n">
        <v>25146</v>
      </c>
      <c r="K1867" s="8" t="inlineStr">
        <is>
          <t>IV6811032</t>
        </is>
      </c>
      <c r="L1867" s="8" t="inlineStr">
        <is>
          <t>ราคาที่ระบุ ยังไม่รวม VAT7%</t>
        </is>
      </c>
      <c r="N1867" s="6">
        <f>SUM(E1867*F1867)</f>
        <v/>
      </c>
    </row>
    <row r="1869">
      <c r="B1869" s="6" t="inlineStr">
        <is>
          <t>แม่สี Matrix  M-163</t>
        </is>
      </c>
      <c r="C1869" s="8" t="inlineStr">
        <is>
          <t>1กป.</t>
        </is>
      </c>
      <c r="D1869" s="9" t="n">
        <v>850</v>
      </c>
      <c r="F1869" s="8" t="n">
        <v>10</v>
      </c>
      <c r="H1869" s="9" t="n">
        <v>850</v>
      </c>
      <c r="I1869" s="10" t="inlineStr">
        <is>
          <t>ทรัพย์สินไทย</t>
        </is>
      </c>
      <c r="J1869" s="161" t="n">
        <v>23216</v>
      </c>
      <c r="L1869" s="8" t="inlineStr">
        <is>
          <t>ราคาที่ระบุเป็นก่อนหักส่วนลด</t>
        </is>
      </c>
    </row>
    <row r="1870">
      <c r="B1870" s="6" t="inlineStr">
        <is>
          <t>แม่สี Matrix  M-163</t>
        </is>
      </c>
      <c r="C1870" s="8" t="inlineStr">
        <is>
          <t>1กป.</t>
        </is>
      </c>
      <c r="D1870" s="9" t="n">
        <v>850</v>
      </c>
      <c r="F1870" s="8" t="n">
        <v>10</v>
      </c>
      <c r="H1870" s="9" t="n">
        <v>850</v>
      </c>
      <c r="I1870" s="10" t="inlineStr">
        <is>
          <t>ทรัพย์สินไทย</t>
        </is>
      </c>
      <c r="J1870" s="161" t="n">
        <v>23763</v>
      </c>
      <c r="K1870" s="8" t="inlineStr">
        <is>
          <t>IV6501224</t>
        </is>
      </c>
      <c r="L1870" s="8" t="inlineStr">
        <is>
          <t>ราคาที่ระบุเป็นก่อนหักส่วนลด</t>
        </is>
      </c>
    </row>
    <row r="1871">
      <c r="B1871" s="6" t="inlineStr">
        <is>
          <t>แม่สี ดำเข้ม Hybrid S163</t>
        </is>
      </c>
      <c r="C1871" s="8" t="n">
        <v>1</v>
      </c>
      <c r="D1871" s="9" t="n">
        <v>750</v>
      </c>
      <c r="H1871" s="9">
        <f>SUM(D1871*C1871)</f>
        <v/>
      </c>
      <c r="I1871" s="10" t="inlineStr">
        <is>
          <t>บจก. วีที คัลเลอร์ โปร</t>
        </is>
      </c>
      <c r="J1871" s="161" t="n">
        <v>24340</v>
      </c>
      <c r="K1871" s="8" t="inlineStr">
        <is>
          <t>IV469-66</t>
        </is>
      </c>
      <c r="L1871" s="8" t="inlineStr">
        <is>
          <t>ราคาที่ระบุ ยังไม่รวม VAT7%</t>
        </is>
      </c>
    </row>
    <row r="1872">
      <c r="B1872" s="6" t="inlineStr">
        <is>
          <t>แม่สี ดำเข้ม Hybrid S163</t>
        </is>
      </c>
      <c r="C1872" s="8" t="n">
        <v>1</v>
      </c>
      <c r="D1872" s="9" t="n">
        <v>750</v>
      </c>
      <c r="H1872" s="9">
        <f>SUM(D1872*C1872)</f>
        <v/>
      </c>
      <c r="I1872" s="10" t="inlineStr">
        <is>
          <t>บจก. วีที คัลเลอร์ โปร</t>
        </is>
      </c>
      <c r="J1872" s="161" t="n">
        <v>24529</v>
      </c>
      <c r="K1872" s="8" t="inlineStr">
        <is>
          <t>IV6702103</t>
        </is>
      </c>
      <c r="L1872" s="8" t="inlineStr">
        <is>
          <t>ราคาที่ระบุ ยังไม่รวม VAT7%</t>
        </is>
      </c>
    </row>
    <row r="1873">
      <c r="B1873" s="6" t="inlineStr">
        <is>
          <t>แม่สี ดำเข้ม Hybrid S163</t>
        </is>
      </c>
      <c r="C1873" s="8" t="n">
        <v>1</v>
      </c>
      <c r="D1873" s="9" t="n">
        <v>750</v>
      </c>
      <c r="H1873" s="9">
        <f>SUM(D1873*C1873)</f>
        <v/>
      </c>
      <c r="I1873" s="10" t="inlineStr">
        <is>
          <t>บจก. วีที คัลเลอร์ โปร</t>
        </is>
      </c>
      <c r="J1873" s="161" t="n">
        <v>24644</v>
      </c>
      <c r="K1873" s="8" t="inlineStr">
        <is>
          <t>IV6706124</t>
        </is>
      </c>
      <c r="L1873" s="8" t="inlineStr">
        <is>
          <t>ราคาที่ระบุ ยังไม่รวม VAT7%</t>
        </is>
      </c>
    </row>
    <row r="1874">
      <c r="B1874" s="6" t="inlineStr">
        <is>
          <t>แม่สี ดำเข้ม Hybrid S163</t>
        </is>
      </c>
      <c r="C1874" s="8" t="n">
        <v>1</v>
      </c>
      <c r="D1874" s="9" t="n">
        <v>750</v>
      </c>
      <c r="H1874" s="9">
        <f>SUM(D1874*C1874)</f>
        <v/>
      </c>
      <c r="I1874" s="10" t="inlineStr">
        <is>
          <t>บจก. วีที คัลเลอร์ โปร</t>
        </is>
      </c>
      <c r="J1874" s="161" t="n">
        <v>24707</v>
      </c>
      <c r="K1874" s="8" t="inlineStr">
        <is>
          <t>IV6708116</t>
        </is>
      </c>
      <c r="L1874" s="8" t="inlineStr">
        <is>
          <t>ราคาที่ระบุ ยังไม่รวม VAT7%</t>
        </is>
      </c>
    </row>
    <row r="1875">
      <c r="B1875" s="6" t="inlineStr">
        <is>
          <t>แม่สี ดำเข้ม Hybrid S163</t>
        </is>
      </c>
      <c r="C1875" s="8" t="n">
        <v>1</v>
      </c>
      <c r="D1875" s="9" t="n">
        <v>750</v>
      </c>
      <c r="H1875" s="9">
        <f>SUM(D1875*C1875)</f>
        <v/>
      </c>
      <c r="I1875" s="10" t="inlineStr">
        <is>
          <t>บจก. วีที คัลเลอร์ โปร</t>
        </is>
      </c>
      <c r="J1875" s="161" t="n">
        <v>24795</v>
      </c>
      <c r="K1875" s="8" t="inlineStr">
        <is>
          <t>IV6711134</t>
        </is>
      </c>
      <c r="L1875" s="8" t="inlineStr">
        <is>
          <t>ราคาที่ระบุ ยังไม่รวม VAT7%</t>
        </is>
      </c>
    </row>
    <row r="1876">
      <c r="B1876" s="6" t="inlineStr">
        <is>
          <t>แม่สี ดำเข้ม Hybrid S163</t>
        </is>
      </c>
      <c r="C1876" s="8" t="n">
        <v>2</v>
      </c>
      <c r="D1876" s="9" t="n">
        <v>750</v>
      </c>
      <c r="E1876" s="9">
        <f>SUM(D1876*C1876)</f>
        <v/>
      </c>
      <c r="F1876" s="8" t="n">
        <v>0.07000000000000001</v>
      </c>
      <c r="G1876" s="10" t="inlineStr">
        <is>
          <t>รวม VAT =</t>
        </is>
      </c>
      <c r="H1876" s="9">
        <f>SUM(E1876+N1876)</f>
        <v/>
      </c>
      <c r="I1876" s="10" t="inlineStr">
        <is>
          <t>บจก. วีที คัลเลอร์ โปร</t>
        </is>
      </c>
      <c r="J1876" s="161" t="n">
        <v>25042</v>
      </c>
      <c r="K1876" s="8" t="inlineStr">
        <is>
          <t>IV6807180</t>
        </is>
      </c>
      <c r="L1876" s="8" t="inlineStr">
        <is>
          <t>ราคาที่ระบุ ยังไม่รวม VAT7%</t>
        </is>
      </c>
      <c r="N1876" s="6">
        <f>SUM(E1876*F1876)</f>
        <v/>
      </c>
    </row>
    <row r="1878">
      <c r="B1878" s="6" t="inlineStr">
        <is>
          <t>แม่สี Matrix  M-164</t>
        </is>
      </c>
      <c r="C1878" s="8" t="inlineStr">
        <is>
          <t>2กป.</t>
        </is>
      </c>
      <c r="D1878" s="9" t="n">
        <v>850</v>
      </c>
      <c r="F1878" s="8" t="n">
        <v>10</v>
      </c>
      <c r="H1878" s="9" t="n">
        <v>1700</v>
      </c>
      <c r="I1878" s="10" t="inlineStr">
        <is>
          <t>ทรัพย์สินไทย</t>
        </is>
      </c>
      <c r="J1878" s="161" t="n">
        <v>22429</v>
      </c>
      <c r="L1878" s="8" t="inlineStr">
        <is>
          <t>ราคาที่ระบุเป็นก่อนหักส่วนลด</t>
        </is>
      </c>
    </row>
    <row r="1879">
      <c r="B1879" s="6" t="inlineStr">
        <is>
          <t>แม่สี Matrix  M-164</t>
        </is>
      </c>
      <c r="C1879" s="8" t="inlineStr">
        <is>
          <t>2กป.</t>
        </is>
      </c>
      <c r="D1879" s="9" t="n">
        <v>850</v>
      </c>
      <c r="F1879" s="8" t="n">
        <v>10</v>
      </c>
      <c r="H1879" s="9" t="n">
        <v>1700</v>
      </c>
      <c r="I1879" s="10" t="inlineStr">
        <is>
          <t>ทรัพย์สินไทย</t>
        </is>
      </c>
      <c r="J1879" s="161" t="n">
        <v>22822</v>
      </c>
      <c r="L1879" s="8" t="inlineStr">
        <is>
          <t>ราคาที่ระบุเป็นก่อนหักส่วนลด</t>
        </is>
      </c>
    </row>
    <row r="1880">
      <c r="B1880" s="6" t="inlineStr">
        <is>
          <t>แม่สี Matrix  M-164</t>
        </is>
      </c>
      <c r="C1880" s="8" t="inlineStr">
        <is>
          <t>2กป.</t>
        </is>
      </c>
      <c r="D1880" s="9" t="n">
        <v>850</v>
      </c>
      <c r="F1880" s="8" t="n">
        <v>10</v>
      </c>
      <c r="H1880" s="9" t="n">
        <v>1700</v>
      </c>
      <c r="I1880" s="10" t="inlineStr">
        <is>
          <t>ทรัพย์สินไทย</t>
        </is>
      </c>
      <c r="J1880" s="161" t="n">
        <v>22884</v>
      </c>
      <c r="L1880" s="8" t="inlineStr">
        <is>
          <t>ราคาที่ระบุเป็นก่อนหักส่วนลด</t>
        </is>
      </c>
    </row>
    <row r="1881">
      <c r="B1881" s="6" t="inlineStr">
        <is>
          <t>แม่สี Matrix  M-164</t>
        </is>
      </c>
      <c r="C1881" s="8" t="inlineStr">
        <is>
          <t>3กป.</t>
        </is>
      </c>
      <c r="D1881" s="9" t="n">
        <v>850</v>
      </c>
      <c r="F1881" s="8" t="n">
        <v>10</v>
      </c>
      <c r="H1881" s="9" t="n">
        <v>2550</v>
      </c>
      <c r="I1881" s="10" t="inlineStr">
        <is>
          <t>ทรัพย์สินไทย</t>
        </is>
      </c>
      <c r="J1881" s="161" t="n">
        <v>22913</v>
      </c>
      <c r="L1881" s="8" t="inlineStr">
        <is>
          <t>ราคาที่ระบุเป็นก่อนหักส่วนลด</t>
        </is>
      </c>
    </row>
    <row r="1882">
      <c r="B1882" s="6" t="inlineStr">
        <is>
          <t>แม่สี Matrix  M-164</t>
        </is>
      </c>
      <c r="C1882" s="8" t="inlineStr">
        <is>
          <t>2กป.</t>
        </is>
      </c>
      <c r="D1882" s="9" t="n">
        <v>850</v>
      </c>
      <c r="F1882" s="8" t="n">
        <v>10</v>
      </c>
      <c r="H1882" s="9" t="n">
        <v>1700</v>
      </c>
      <c r="I1882" s="10" t="inlineStr">
        <is>
          <t>ทรัพย์สินไทย</t>
        </is>
      </c>
      <c r="J1882" s="161" t="n">
        <v>23062</v>
      </c>
      <c r="L1882" s="8" t="inlineStr">
        <is>
          <t>ราคาที่ระบุเป็นก่อนหักส่วนลด</t>
        </is>
      </c>
    </row>
    <row r="1883">
      <c r="B1883" s="6" t="inlineStr">
        <is>
          <t>แม่สี Matrix  M-164</t>
        </is>
      </c>
      <c r="C1883" s="8" t="inlineStr">
        <is>
          <t>2กป.</t>
        </is>
      </c>
      <c r="D1883" s="9" t="n">
        <v>850</v>
      </c>
      <c r="F1883" s="8" t="n">
        <v>10</v>
      </c>
      <c r="H1883" s="9" t="n">
        <v>1700</v>
      </c>
      <c r="I1883" s="10" t="inlineStr">
        <is>
          <t>ทรัพย์สินไทย</t>
        </is>
      </c>
      <c r="J1883" s="161" t="n">
        <v>23107</v>
      </c>
      <c r="L1883" s="8" t="inlineStr">
        <is>
          <t>ราคาที่ระบุเป็นก่อนหักส่วนลด</t>
        </is>
      </c>
    </row>
    <row r="1884">
      <c r="B1884" s="6" t="inlineStr">
        <is>
          <t>แม่สี Matrix  M-164</t>
        </is>
      </c>
      <c r="C1884" s="8" t="inlineStr">
        <is>
          <t>2กป.</t>
        </is>
      </c>
      <c r="D1884" s="9" t="n">
        <v>850</v>
      </c>
      <c r="F1884" s="8" t="n">
        <v>10</v>
      </c>
      <c r="H1884" s="9" t="n">
        <v>1700</v>
      </c>
      <c r="I1884" s="10" t="inlineStr">
        <is>
          <t>ทรัพย์สินไทย</t>
        </is>
      </c>
      <c r="J1884" s="161" t="n">
        <v>23216</v>
      </c>
      <c r="L1884" s="8" t="inlineStr">
        <is>
          <t>ราคาที่ระบุเป็นก่อนหักส่วนลด</t>
        </is>
      </c>
    </row>
    <row r="1885">
      <c r="B1885" s="6" t="inlineStr">
        <is>
          <t>แม่สี Matrix  M-164</t>
        </is>
      </c>
      <c r="C1885" s="8" t="inlineStr">
        <is>
          <t>2กป.</t>
        </is>
      </c>
      <c r="D1885" s="9" t="n">
        <v>850</v>
      </c>
      <c r="F1885" s="8" t="n">
        <v>10</v>
      </c>
      <c r="H1885" s="9" t="n">
        <v>1700</v>
      </c>
      <c r="I1885" s="10" t="inlineStr">
        <is>
          <t>ทรัพย์สินไทย</t>
        </is>
      </c>
      <c r="J1885" s="161" t="n">
        <v>23277</v>
      </c>
      <c r="L1885" s="8" t="inlineStr">
        <is>
          <t>ราคาที่ระบุเป็นก่อนหักส่วนลด</t>
        </is>
      </c>
    </row>
    <row r="1886">
      <c r="B1886" s="6" t="inlineStr">
        <is>
          <t>แม่สี Matrix  M-164</t>
        </is>
      </c>
      <c r="C1886" s="8" t="inlineStr">
        <is>
          <t>2กป.</t>
        </is>
      </c>
      <c r="D1886" s="9" t="n">
        <v>850</v>
      </c>
      <c r="F1886" s="8" t="n">
        <v>10</v>
      </c>
      <c r="H1886" s="9" t="n">
        <v>1700</v>
      </c>
      <c r="I1886" s="10" t="inlineStr">
        <is>
          <t>ทรัพย์สินไทย</t>
        </is>
      </c>
      <c r="J1886" s="161" t="n">
        <v>23305</v>
      </c>
      <c r="L1886" s="8" t="inlineStr">
        <is>
          <t>ราคาที่ระบุเป็นก่อนหักส่วนลด</t>
        </is>
      </c>
    </row>
    <row r="1887">
      <c r="B1887" s="6" t="inlineStr">
        <is>
          <t>แม่สี Matrix  M-164</t>
        </is>
      </c>
      <c r="C1887" s="8" t="inlineStr">
        <is>
          <t>2กป.</t>
        </is>
      </c>
      <c r="D1887" s="9" t="n">
        <v>850</v>
      </c>
      <c r="F1887" s="8" t="n">
        <v>10</v>
      </c>
      <c r="H1887" s="9" t="n">
        <v>1700</v>
      </c>
      <c r="I1887" s="10" t="inlineStr">
        <is>
          <t>ทรัพย์สินไทย</t>
        </is>
      </c>
      <c r="J1887" s="161" t="n">
        <v>23340</v>
      </c>
      <c r="L1887" s="8" t="inlineStr">
        <is>
          <t>ราคาที่ระบุเป็นก่อนหักส่วนลด</t>
        </is>
      </c>
    </row>
    <row r="1888">
      <c r="B1888" s="6" t="inlineStr">
        <is>
          <t>แม่สี Matrix  M-164</t>
        </is>
      </c>
      <c r="C1888" s="8" t="inlineStr">
        <is>
          <t>2กป.</t>
        </is>
      </c>
      <c r="D1888" s="9" t="n">
        <v>850</v>
      </c>
      <c r="F1888" s="8" t="n">
        <v>10</v>
      </c>
      <c r="H1888" s="9" t="n">
        <v>1700</v>
      </c>
      <c r="I1888" s="10" t="inlineStr">
        <is>
          <t>ทรัพย์สินไทย</t>
        </is>
      </c>
      <c r="J1888" s="161" t="n">
        <v>23430</v>
      </c>
      <c r="L1888" s="8" t="inlineStr">
        <is>
          <t>ราคาที่ระบุเป็นก่อนหักส่วนลด</t>
        </is>
      </c>
    </row>
    <row r="1889">
      <c r="B1889" s="6" t="inlineStr">
        <is>
          <t>แม่สี Matrix  M-164</t>
        </is>
      </c>
      <c r="C1889" s="8" t="inlineStr">
        <is>
          <t>2กป.</t>
        </is>
      </c>
      <c r="D1889" s="9" t="n">
        <v>850</v>
      </c>
      <c r="F1889" s="8" t="n">
        <v>10</v>
      </c>
      <c r="H1889" s="9" t="n">
        <v>1700</v>
      </c>
      <c r="I1889" s="10" t="inlineStr">
        <is>
          <t>ทรัพย์สินไทย</t>
        </is>
      </c>
      <c r="J1889" s="161" t="n">
        <v>23493</v>
      </c>
      <c r="L1889" s="8" t="inlineStr">
        <is>
          <t>ราคาที่ระบุเป็นก่อนหักส่วนลด</t>
        </is>
      </c>
    </row>
    <row r="1890">
      <c r="B1890" s="6" t="inlineStr">
        <is>
          <t>แม่สี Matrix  M-164</t>
        </is>
      </c>
      <c r="C1890" s="8" t="inlineStr">
        <is>
          <t>2กป.</t>
        </is>
      </c>
      <c r="D1890" s="9" t="n">
        <v>850</v>
      </c>
      <c r="F1890" s="8" t="n">
        <v>10</v>
      </c>
      <c r="H1890" s="9" t="n">
        <v>1700</v>
      </c>
      <c r="I1890" s="10" t="inlineStr">
        <is>
          <t>ทรัพย์สินไทย</t>
        </is>
      </c>
      <c r="J1890" s="161" t="n">
        <v>23546</v>
      </c>
      <c r="L1890" s="8" t="inlineStr">
        <is>
          <t>ราคาที่ระบุเป็นก่อนหักส่วนลด</t>
        </is>
      </c>
    </row>
    <row r="1891">
      <c r="B1891" s="6" t="inlineStr">
        <is>
          <t>แม่สี Matrix  M-164</t>
        </is>
      </c>
      <c r="C1891" s="8" t="inlineStr">
        <is>
          <t>2กป.</t>
        </is>
      </c>
      <c r="D1891" s="9" t="n">
        <v>850</v>
      </c>
      <c r="F1891" s="8" t="n">
        <v>10</v>
      </c>
      <c r="H1891" s="9" t="n">
        <v>1700</v>
      </c>
      <c r="I1891" s="10" t="inlineStr">
        <is>
          <t>ทรัพย์สินไทย</t>
        </is>
      </c>
      <c r="J1891" s="161" t="n">
        <v>23584</v>
      </c>
      <c r="L1891" s="8" t="inlineStr">
        <is>
          <t>ราคาที่ระบุเป็นก่อนหักส่วนลด</t>
        </is>
      </c>
    </row>
    <row r="1892">
      <c r="B1892" s="6" t="inlineStr">
        <is>
          <t>แม่สี Matrix  M-164</t>
        </is>
      </c>
      <c r="C1892" s="8" t="inlineStr">
        <is>
          <t>2กป.</t>
        </is>
      </c>
      <c r="D1892" s="9" t="n">
        <v>850</v>
      </c>
      <c r="F1892" s="8" t="n">
        <v>10</v>
      </c>
      <c r="H1892" s="9" t="n">
        <v>1700</v>
      </c>
      <c r="I1892" s="10" t="inlineStr">
        <is>
          <t>ทรัพย์สินไทย</t>
        </is>
      </c>
      <c r="J1892" s="161" t="n">
        <v>23704</v>
      </c>
      <c r="K1892" s="8" t="inlineStr">
        <is>
          <t>IV6411319</t>
        </is>
      </c>
      <c r="L1892" s="8" t="inlineStr">
        <is>
          <t>ราคาที่ระบุเป็นก่อนหักส่วนลด</t>
        </is>
      </c>
    </row>
    <row r="1893">
      <c r="B1893" s="6" t="inlineStr">
        <is>
          <t>แม่สี Matrix  M-164</t>
        </is>
      </c>
      <c r="C1893" s="8" t="inlineStr">
        <is>
          <t>2กป.</t>
        </is>
      </c>
      <c r="D1893" s="9" t="n">
        <v>850</v>
      </c>
      <c r="F1893" s="8" t="n">
        <v>10</v>
      </c>
      <c r="H1893" s="9" t="n">
        <v>1700</v>
      </c>
      <c r="I1893" s="10" t="inlineStr">
        <is>
          <t>ทรัพย์สินไทย</t>
        </is>
      </c>
      <c r="J1893" s="161" t="n">
        <v>23763</v>
      </c>
      <c r="K1893" s="8" t="inlineStr">
        <is>
          <t>IV6501224</t>
        </is>
      </c>
      <c r="L1893" s="8" t="inlineStr">
        <is>
          <t>ราคาที่ระบุเป็นก่อนหักส่วนลด</t>
        </is>
      </c>
    </row>
    <row r="1894">
      <c r="B1894" s="6" t="inlineStr">
        <is>
          <t>แม่สี Matrix  M-164</t>
        </is>
      </c>
      <c r="C1894" s="8" t="inlineStr">
        <is>
          <t>3กป.</t>
        </is>
      </c>
      <c r="D1894" s="9" t="n">
        <v>850</v>
      </c>
      <c r="F1894" s="8" t="n">
        <v>10</v>
      </c>
      <c r="H1894" s="9" t="n">
        <v>2550</v>
      </c>
      <c r="I1894" s="10" t="inlineStr">
        <is>
          <t>ทรัพย์สินไทย</t>
        </is>
      </c>
      <c r="J1894" s="161" t="n">
        <v>23824</v>
      </c>
      <c r="K1894" s="8" t="inlineStr">
        <is>
          <t>IV6503300</t>
        </is>
      </c>
      <c r="L1894" s="8" t="inlineStr">
        <is>
          <t>ราคาที่ระบุเป็นก่อนหักส่วนลด</t>
        </is>
      </c>
    </row>
    <row r="1895">
      <c r="B1895" s="6" t="inlineStr">
        <is>
          <t>แม่สี Matrix  M-164</t>
        </is>
      </c>
      <c r="C1895" s="8" t="inlineStr">
        <is>
          <t>2กป.</t>
        </is>
      </c>
      <c r="D1895" s="9" t="n">
        <v>850</v>
      </c>
      <c r="F1895" s="8" t="n">
        <v>10</v>
      </c>
      <c r="H1895" s="9" t="n">
        <v>1700</v>
      </c>
      <c r="I1895" s="10" t="inlineStr">
        <is>
          <t>ทรัพย์สินไทย</t>
        </is>
      </c>
      <c r="J1895" s="161" t="n">
        <v>23917</v>
      </c>
      <c r="K1895" s="8" t="inlineStr">
        <is>
          <t>IV6506328</t>
        </is>
      </c>
      <c r="L1895" s="8" t="inlineStr">
        <is>
          <t>ราคาที่ระบุเป็นก่อนหักส่วนลด</t>
        </is>
      </c>
    </row>
    <row r="1896">
      <c r="B1896" s="6" t="inlineStr">
        <is>
          <t>แม่สี Matrix  M-164</t>
        </is>
      </c>
      <c r="C1896" s="8" t="inlineStr">
        <is>
          <t>1กป.</t>
        </is>
      </c>
      <c r="D1896" s="9" t="n">
        <v>850</v>
      </c>
      <c r="F1896" s="8" t="n">
        <v>10</v>
      </c>
      <c r="H1896" s="9" t="n">
        <v>850</v>
      </c>
      <c r="I1896" s="10" t="inlineStr">
        <is>
          <t>ทรัพย์สินไทย</t>
        </is>
      </c>
      <c r="J1896" s="161" t="n">
        <v>23920</v>
      </c>
      <c r="K1896" s="8" t="inlineStr">
        <is>
          <t>IV6506336</t>
        </is>
      </c>
      <c r="L1896" s="8" t="inlineStr">
        <is>
          <t>ราคาที่ระบุเป็นก่อนหักส่วนลด</t>
        </is>
      </c>
    </row>
    <row r="1897">
      <c r="B1897" s="6" t="inlineStr">
        <is>
          <t>แม่สี ดำใส SC-164</t>
        </is>
      </c>
      <c r="C1897" s="8" t="inlineStr">
        <is>
          <t>2กป.</t>
        </is>
      </c>
      <c r="D1897" s="9" t="n">
        <v>750</v>
      </c>
      <c r="H1897" s="9" t="n">
        <v>1500</v>
      </c>
      <c r="I1897" s="10" t="inlineStr">
        <is>
          <t>บจก. วีที คัลเลอร์ โปร</t>
        </is>
      </c>
      <c r="J1897" s="161" t="n">
        <v>23978</v>
      </c>
      <c r="K1897" s="8" t="inlineStr">
        <is>
          <t>IV148-65</t>
        </is>
      </c>
      <c r="L1897" s="8" t="inlineStr">
        <is>
          <t>ราคาที่ระบุ ยังไม่รวม VAT7%</t>
        </is>
      </c>
    </row>
    <row r="1898">
      <c r="B1898" s="6" t="inlineStr">
        <is>
          <t>แม่สี ดำใส SC-164</t>
        </is>
      </c>
      <c r="C1898" s="8" t="inlineStr">
        <is>
          <t>1กป.</t>
        </is>
      </c>
      <c r="D1898" s="9" t="n">
        <v>750</v>
      </c>
      <c r="H1898" s="9" t="n">
        <v>750</v>
      </c>
      <c r="I1898" s="10" t="inlineStr">
        <is>
          <t>บจก. วีที คัลเลอร์ โปร</t>
        </is>
      </c>
      <c r="J1898" s="161" t="n">
        <v>24040</v>
      </c>
      <c r="K1898" s="8" t="inlineStr">
        <is>
          <t>IV228-65</t>
        </is>
      </c>
      <c r="L1898" s="8" t="inlineStr">
        <is>
          <t>ราคาที่ระบุ ยังไม่รวม VAT7%</t>
        </is>
      </c>
    </row>
    <row r="1899">
      <c r="B1899" s="6" t="inlineStr">
        <is>
          <t>แม่สี ดำใส SC-164</t>
        </is>
      </c>
      <c r="C1899" s="8" t="inlineStr">
        <is>
          <t>2กป.</t>
        </is>
      </c>
      <c r="D1899" s="9" t="n">
        <v>750</v>
      </c>
      <c r="H1899" s="9" t="n">
        <v>1500</v>
      </c>
      <c r="I1899" s="10" t="inlineStr">
        <is>
          <t>บจก. วีที คัลเลอร์ โปร</t>
        </is>
      </c>
      <c r="J1899" s="161" t="n">
        <v>24147</v>
      </c>
      <c r="K1899" s="8" t="inlineStr">
        <is>
          <t>IV088-66</t>
        </is>
      </c>
      <c r="L1899" s="8" t="inlineStr">
        <is>
          <t>ราคาที่ระบุ ยังไม่รวม VAT7%</t>
        </is>
      </c>
    </row>
    <row r="1900">
      <c r="B1900" s="6" t="inlineStr">
        <is>
          <t>แม่สี ดำใส Hybrid S164</t>
        </is>
      </c>
      <c r="C1900" s="8" t="inlineStr">
        <is>
          <t>1กป.</t>
        </is>
      </c>
      <c r="D1900" s="9" t="n">
        <v>750</v>
      </c>
      <c r="H1900" s="9" t="n">
        <v>750</v>
      </c>
      <c r="I1900" s="10" t="inlineStr">
        <is>
          <t>บจก. วีที คัลเลอร์ โปร</t>
        </is>
      </c>
      <c r="J1900" s="161" t="n">
        <v>24315</v>
      </c>
      <c r="K1900" s="8" t="inlineStr">
        <is>
          <t>IV423-66</t>
        </is>
      </c>
      <c r="L1900" s="8" t="inlineStr">
        <is>
          <t>ราคาที่ระบุ ยังไม่รวม VAT7%</t>
        </is>
      </c>
    </row>
    <row r="1901">
      <c r="B1901" s="6" t="inlineStr">
        <is>
          <t>แม่สี ดำใส Hybrid S164</t>
        </is>
      </c>
      <c r="C1901" s="8" t="inlineStr">
        <is>
          <t>1กป.</t>
        </is>
      </c>
      <c r="D1901" s="9" t="n">
        <v>750</v>
      </c>
      <c r="H1901" s="9" t="n">
        <v>750</v>
      </c>
      <c r="I1901" s="10" t="inlineStr">
        <is>
          <t>บจก. วีที คัลเลอร์ โปร</t>
        </is>
      </c>
      <c r="J1901" s="161" t="n">
        <v>24396</v>
      </c>
      <c r="K1901" s="8" t="inlineStr">
        <is>
          <t>IV591-66</t>
        </is>
      </c>
      <c r="L1901" s="8" t="inlineStr">
        <is>
          <t>ราคาที่ระบุ ยังไม่รวม VAT7%</t>
        </is>
      </c>
    </row>
    <row r="1902">
      <c r="B1902" s="6" t="inlineStr">
        <is>
          <t>แม่สี ดำใส Hybrid S164</t>
        </is>
      </c>
      <c r="C1902" s="8" t="n">
        <v>1</v>
      </c>
      <c r="D1902" s="9" t="n">
        <v>750</v>
      </c>
      <c r="H1902" s="9">
        <f>SUM(D1902*C1902)</f>
        <v/>
      </c>
      <c r="I1902" s="10" t="inlineStr">
        <is>
          <t>บจก. วีที คัลเลอร์ โปร</t>
        </is>
      </c>
      <c r="J1902" s="161" t="n">
        <v>24529</v>
      </c>
      <c r="K1902" s="8" t="inlineStr">
        <is>
          <t>IV6702103</t>
        </is>
      </c>
      <c r="L1902" s="8" t="inlineStr">
        <is>
          <t>ราคาที่ระบุ ยังไม่รวม VAT7%</t>
        </is>
      </c>
    </row>
    <row r="1903">
      <c r="B1903" s="6" t="inlineStr">
        <is>
          <t>แม่สี ดำใส Hybrid S164</t>
        </is>
      </c>
      <c r="C1903" s="8" t="n">
        <v>1</v>
      </c>
      <c r="D1903" s="9" t="n">
        <v>750</v>
      </c>
      <c r="H1903" s="9">
        <f>SUM(D1903*C1903)</f>
        <v/>
      </c>
      <c r="I1903" s="10" t="inlineStr">
        <is>
          <t>บจก. วีที คัลเลอร์ โปร</t>
        </is>
      </c>
      <c r="J1903" s="161" t="n">
        <v>24634</v>
      </c>
      <c r="K1903" s="8" t="inlineStr">
        <is>
          <t>IV6706078</t>
        </is>
      </c>
      <c r="L1903" s="8" t="inlineStr">
        <is>
          <t>ราคาที่ระบุ ยังไม่รวม VAT7%</t>
        </is>
      </c>
    </row>
    <row r="1904">
      <c r="B1904" s="6" t="inlineStr">
        <is>
          <t>แม่สี ดำใส Hybrid S164</t>
        </is>
      </c>
      <c r="C1904" s="8" t="n">
        <v>1</v>
      </c>
      <c r="D1904" s="9" t="n">
        <v>750</v>
      </c>
      <c r="H1904" s="9">
        <f>SUM(D1904*C1904)</f>
        <v/>
      </c>
      <c r="I1904" s="10" t="inlineStr">
        <is>
          <t>บจก. วีที คัลเลอร์ โปร</t>
        </is>
      </c>
      <c r="J1904" s="161" t="n">
        <v>24676</v>
      </c>
      <c r="K1904" s="8" t="inlineStr">
        <is>
          <t>IV6707130</t>
        </is>
      </c>
      <c r="L1904" s="8" t="inlineStr">
        <is>
          <t>ราคาที่ระบุ ยังไม่รวม VAT7%</t>
        </is>
      </c>
    </row>
    <row r="1905">
      <c r="B1905" s="6" t="inlineStr">
        <is>
          <t>แม่สี ดำใส Hybrid S164</t>
        </is>
      </c>
      <c r="C1905" s="8" t="n">
        <v>1</v>
      </c>
      <c r="D1905" s="9" t="n">
        <v>750</v>
      </c>
      <c r="H1905" s="9">
        <f>SUM(D1905*C1905)</f>
        <v/>
      </c>
      <c r="I1905" s="10" t="inlineStr">
        <is>
          <t>บจก. วีที คัลเลอร์ โปร</t>
        </is>
      </c>
      <c r="J1905" s="161" t="n">
        <v>24707</v>
      </c>
      <c r="K1905" s="8" t="inlineStr">
        <is>
          <t>IV6708116</t>
        </is>
      </c>
      <c r="L1905" s="8" t="inlineStr">
        <is>
          <t>ราคาที่ระบุ ยังไม่รวม VAT7%</t>
        </is>
      </c>
    </row>
    <row r="1906">
      <c r="B1906" s="6" t="inlineStr">
        <is>
          <t>แม่สี ดำใส Hybrid S164</t>
        </is>
      </c>
      <c r="C1906" s="8" t="n">
        <v>1</v>
      </c>
      <c r="D1906" s="9" t="n">
        <v>802.5</v>
      </c>
      <c r="H1906" s="9">
        <f>SUM(D1906*C1906)</f>
        <v/>
      </c>
      <c r="I1906" s="10" t="inlineStr">
        <is>
          <t>บจก. วีที คัลเลอร์ โปร</t>
        </is>
      </c>
      <c r="J1906" s="161" t="n">
        <v>24892</v>
      </c>
      <c r="K1906" s="8" t="inlineStr">
        <is>
          <t>IV6802144</t>
        </is>
      </c>
      <c r="L1906" s="8" t="inlineStr">
        <is>
          <t>ราคารวม VAT แล้ว</t>
        </is>
      </c>
    </row>
    <row r="1907">
      <c r="B1907" s="6" t="inlineStr">
        <is>
          <t>แม่สี ดำใส Hybrid S164</t>
        </is>
      </c>
      <c r="C1907" s="8" t="n">
        <v>2</v>
      </c>
      <c r="D1907" s="9" t="n">
        <v>750</v>
      </c>
      <c r="E1907" s="9">
        <f>SUM(C1907*D1907)</f>
        <v/>
      </c>
      <c r="H1907" s="9">
        <f>SUM(E1907*O1907/N1907)</f>
        <v/>
      </c>
      <c r="I1907" s="10" t="inlineStr">
        <is>
          <t>บจก. วีที คัลเลอร์ โปร</t>
        </is>
      </c>
      <c r="J1907" s="161" t="n">
        <v>24979</v>
      </c>
      <c r="K1907" s="8" t="inlineStr">
        <is>
          <t>IV6805147</t>
        </is>
      </c>
      <c r="N1907" s="6" t="n">
        <v>100</v>
      </c>
      <c r="O1907" s="6" t="n">
        <v>107</v>
      </c>
    </row>
    <row r="1908">
      <c r="B1908" s="6" t="inlineStr">
        <is>
          <t>แม่สี ดำใส Hybrid S164</t>
        </is>
      </c>
      <c r="C1908" s="8" t="n">
        <v>1</v>
      </c>
      <c r="D1908" s="9" t="n">
        <v>750</v>
      </c>
      <c r="E1908" s="9">
        <f>SUM(D1908*C1908)</f>
        <v/>
      </c>
      <c r="F1908" s="8" t="n">
        <v>0.07000000000000001</v>
      </c>
      <c r="G1908" s="10" t="inlineStr">
        <is>
          <t>รวม VAT =</t>
        </is>
      </c>
      <c r="H1908" s="9">
        <f>SUM(E1908+N1908)</f>
        <v/>
      </c>
      <c r="I1908" s="10" t="inlineStr">
        <is>
          <t>บจก. วีที คัลเลอร์ โปร</t>
        </is>
      </c>
      <c r="J1908" s="161" t="n">
        <v>25015</v>
      </c>
      <c r="K1908" s="8" t="inlineStr">
        <is>
          <t>IV6806175</t>
        </is>
      </c>
      <c r="N1908" s="6">
        <f>SUM(E1908*F1908)</f>
        <v/>
      </c>
    </row>
    <row r="1909">
      <c r="B1909" s="6" t="inlineStr">
        <is>
          <t>แม่สี ดำใส Hybrid S164</t>
        </is>
      </c>
      <c r="C1909" s="8" t="n">
        <v>2</v>
      </c>
      <c r="D1909" s="9" t="n">
        <v>750</v>
      </c>
      <c r="E1909" s="9">
        <f>SUM(D1909*C1909)</f>
        <v/>
      </c>
      <c r="F1909" s="8" t="n">
        <v>0.07000000000000001</v>
      </c>
      <c r="G1909" s="10" t="inlineStr">
        <is>
          <t>รวม VAT =</t>
        </is>
      </c>
      <c r="H1909" s="9">
        <f>SUM(E1909+N1909)</f>
        <v/>
      </c>
      <c r="I1909" s="10" t="inlineStr">
        <is>
          <t>บจก. วีที คัลเลอร์ โปร</t>
        </is>
      </c>
      <c r="J1909" s="161" t="n">
        <v>25073</v>
      </c>
      <c r="K1909" s="8" t="inlineStr">
        <is>
          <t>IV6808151</t>
        </is>
      </c>
      <c r="N1909" s="6">
        <f>SUM(E1909*F1909)</f>
        <v/>
      </c>
    </row>
    <row r="1910">
      <c r="B1910" s="6" t="inlineStr">
        <is>
          <t>แม่สี ดำใส Hybrid S164</t>
        </is>
      </c>
      <c r="C1910" s="8" t="n">
        <v>1</v>
      </c>
      <c r="D1910" s="9" t="n">
        <v>750</v>
      </c>
      <c r="E1910" s="9">
        <f>SUM(D1910*C1910)</f>
        <v/>
      </c>
      <c r="F1910" s="8" t="n">
        <v>0.07000000000000001</v>
      </c>
      <c r="G1910" s="10" t="inlineStr">
        <is>
          <t>รวม VAT =</t>
        </is>
      </c>
      <c r="H1910" s="9">
        <f>SUM(E1910+N1910)</f>
        <v/>
      </c>
      <c r="I1910" s="10" t="inlineStr">
        <is>
          <t>บจก. วีที คัลเลอร์ โปร</t>
        </is>
      </c>
      <c r="J1910" s="161" t="n">
        <v>25168</v>
      </c>
      <c r="K1910" s="8" t="inlineStr">
        <is>
          <t>IV6811188</t>
        </is>
      </c>
      <c r="N1910" s="6">
        <f>SUM(E1910*F1910)</f>
        <v/>
      </c>
    </row>
    <row r="1912">
      <c r="B1912" s="6" t="inlineStr">
        <is>
          <t>แม่สี ม่วงอมแดง SC-166</t>
        </is>
      </c>
      <c r="C1912" s="8" t="inlineStr">
        <is>
          <t>1กป.</t>
        </is>
      </c>
      <c r="D1912" s="9" t="n">
        <v>750</v>
      </c>
      <c r="H1912" s="9" t="n">
        <v>750</v>
      </c>
      <c r="I1912" s="10" t="inlineStr">
        <is>
          <t>บจก. วีที คัลเลอร์ โปร</t>
        </is>
      </c>
      <c r="J1912" s="161" t="n">
        <v>24069</v>
      </c>
      <c r="K1912" s="8" t="inlineStr">
        <is>
          <t>IV276-65</t>
        </is>
      </c>
      <c r="L1912" s="8" t="inlineStr">
        <is>
          <t>ราคาที่ระบุ ยังไม่รวม VAT7%</t>
        </is>
      </c>
    </row>
    <row r="1913">
      <c r="B1913" s="6" t="inlineStr">
        <is>
          <t>แม่สี ม่วงอมแดง Hybrid S166</t>
        </is>
      </c>
      <c r="C1913" s="8" t="n">
        <v>1</v>
      </c>
      <c r="D1913" s="9" t="n">
        <v>750</v>
      </c>
      <c r="H1913" s="9">
        <f>SUM(D1913*C1913)</f>
        <v/>
      </c>
      <c r="I1913" s="10" t="inlineStr">
        <is>
          <t>บจก. วีที คัลเลอร์ โปร</t>
        </is>
      </c>
      <c r="J1913" s="161" t="n">
        <v>24644</v>
      </c>
      <c r="K1913" s="8" t="inlineStr">
        <is>
          <t>IV6706124</t>
        </is>
      </c>
      <c r="L1913" s="8" t="inlineStr">
        <is>
          <t>ราคาที่ระบุ ยังไม่รวม VAT7%</t>
        </is>
      </c>
    </row>
    <row r="1914">
      <c r="B1914" s="6" t="inlineStr">
        <is>
          <t>แม่สี ม่วงอมแดง Hybrid S166</t>
        </is>
      </c>
      <c r="C1914" s="8" t="n">
        <v>1</v>
      </c>
      <c r="D1914" s="9" t="n">
        <v>750</v>
      </c>
      <c r="H1914" s="9">
        <f>SUM(D1914*C1914)</f>
        <v/>
      </c>
      <c r="I1914" s="10" t="inlineStr">
        <is>
          <t>บจก. วีที คัลเลอร์ โปร</t>
        </is>
      </c>
      <c r="J1914" s="161" t="n">
        <v>24795</v>
      </c>
      <c r="K1914" s="8" t="inlineStr">
        <is>
          <t>IV6711103</t>
        </is>
      </c>
      <c r="L1914" s="8" t="inlineStr">
        <is>
          <t>ราคาที่ระบุ ยังไม่รวม VAT7%</t>
        </is>
      </c>
    </row>
    <row r="1916">
      <c r="B1916" s="6" t="inlineStr">
        <is>
          <t>แม่สี Matrix  M-166</t>
        </is>
      </c>
      <c r="C1916" s="8" t="inlineStr">
        <is>
          <t>1กป.</t>
        </is>
      </c>
      <c r="D1916" s="9" t="n">
        <v>850</v>
      </c>
      <c r="F1916" s="8" t="n">
        <v>10</v>
      </c>
      <c r="H1916" s="9" t="n">
        <v>850</v>
      </c>
      <c r="I1916" s="10" t="inlineStr">
        <is>
          <t>ทรัพย์สินไทย</t>
        </is>
      </c>
      <c r="J1916" s="161" t="n">
        <v>23887</v>
      </c>
      <c r="K1916" s="8" t="inlineStr">
        <is>
          <t>IV6505291</t>
        </is>
      </c>
      <c r="L1916" s="8" t="inlineStr">
        <is>
          <t>ราคาที่ระบุเป็นก่อนหักส่วนลด</t>
        </is>
      </c>
    </row>
    <row r="1918">
      <c r="B1918" s="6" t="inlineStr">
        <is>
          <t>แม่สี Matrix  M-169</t>
        </is>
      </c>
      <c r="C1918" s="8" t="inlineStr">
        <is>
          <t>1กป.</t>
        </is>
      </c>
      <c r="D1918" s="9" t="n">
        <v>850</v>
      </c>
      <c r="F1918" s="8" t="n">
        <v>10</v>
      </c>
      <c r="H1918" s="9" t="n">
        <v>850</v>
      </c>
      <c r="I1918" s="10" t="inlineStr">
        <is>
          <t>ทรัพย์สินไทย</t>
        </is>
      </c>
      <c r="J1918" s="161" t="n">
        <v>23887</v>
      </c>
      <c r="K1918" s="8" t="inlineStr">
        <is>
          <t>IV6505291</t>
        </is>
      </c>
      <c r="L1918" s="8" t="inlineStr">
        <is>
          <t>ราคาที่ระบุเป็นก่อนหักส่วนลด</t>
        </is>
      </c>
    </row>
    <row r="1920">
      <c r="B1920" s="6" t="inlineStr">
        <is>
          <t>แม่สี Matrix  M-170</t>
        </is>
      </c>
      <c r="C1920" s="8" t="inlineStr">
        <is>
          <t>2กล.</t>
        </is>
      </c>
      <c r="D1920" s="9" t="n">
        <v>2950</v>
      </c>
      <c r="F1920" s="8" t="n">
        <v>10</v>
      </c>
      <c r="H1920" s="9" t="n">
        <v>5900</v>
      </c>
      <c r="I1920" s="10" t="inlineStr">
        <is>
          <t>ทรัพย์สินไทย</t>
        </is>
      </c>
      <c r="J1920" s="161" t="n">
        <v>22781</v>
      </c>
      <c r="L1920" s="8" t="inlineStr">
        <is>
          <t>ราคาที่ระบุเป็นก่อนหักส่วนลด</t>
        </is>
      </c>
    </row>
    <row r="1921">
      <c r="B1921" s="6" t="inlineStr">
        <is>
          <t>แม่สี Matrix  M-170</t>
        </is>
      </c>
      <c r="C1921" s="8" t="inlineStr">
        <is>
          <t>2กล.</t>
        </is>
      </c>
      <c r="D1921" s="9" t="n">
        <v>2950</v>
      </c>
      <c r="F1921" s="8" t="n">
        <v>10</v>
      </c>
      <c r="H1921" s="9" t="n">
        <v>5900</v>
      </c>
      <c r="I1921" s="10" t="inlineStr">
        <is>
          <t>ทรัพย์สินไทย</t>
        </is>
      </c>
      <c r="J1921" s="161" t="n">
        <v>22790</v>
      </c>
      <c r="L1921" s="8" t="inlineStr">
        <is>
          <t>ราคาที่ระบุเป็นก่อนหักส่วนลด</t>
        </is>
      </c>
    </row>
    <row r="1922">
      <c r="B1922" s="6" t="inlineStr">
        <is>
          <t>แม่สี Matrix  M-170</t>
        </is>
      </c>
      <c r="C1922" s="8" t="inlineStr">
        <is>
          <t>2กล.</t>
        </is>
      </c>
      <c r="D1922" s="9" t="n">
        <v>2950</v>
      </c>
      <c r="F1922" s="8" t="n">
        <v>10</v>
      </c>
      <c r="H1922" s="9" t="n">
        <v>5900</v>
      </c>
      <c r="I1922" s="10" t="inlineStr">
        <is>
          <t>ทรัพย์สินไทย</t>
        </is>
      </c>
      <c r="J1922" s="161" t="n">
        <v>22852</v>
      </c>
      <c r="L1922" s="8" t="inlineStr">
        <is>
          <t>ราคาที่ระบุเป็นก่อนหักส่วนลด</t>
        </is>
      </c>
    </row>
    <row r="1923">
      <c r="B1923" s="6" t="inlineStr">
        <is>
          <t>แม่สี Matrix  M-170</t>
        </is>
      </c>
      <c r="C1923" s="8" t="inlineStr">
        <is>
          <t>2กล.</t>
        </is>
      </c>
      <c r="D1923" s="9" t="n">
        <v>2950</v>
      </c>
      <c r="F1923" s="8" t="n">
        <v>10</v>
      </c>
      <c r="H1923" s="9" t="n">
        <v>5900</v>
      </c>
      <c r="I1923" s="10" t="inlineStr">
        <is>
          <t>ทรัพย์สินไทย</t>
        </is>
      </c>
      <c r="J1923" s="161" t="n">
        <v>22884</v>
      </c>
      <c r="L1923" s="8" t="inlineStr">
        <is>
          <t>ราคาที่ระบุเป็นก่อนหักส่วนลด</t>
        </is>
      </c>
    </row>
    <row r="1924">
      <c r="B1924" s="6" t="inlineStr">
        <is>
          <t>แม่สี Matrix  M-170</t>
        </is>
      </c>
      <c r="C1924" s="8" t="inlineStr">
        <is>
          <t>2กล.</t>
        </is>
      </c>
      <c r="D1924" s="9" t="n">
        <v>2950</v>
      </c>
      <c r="F1924" s="8" t="n">
        <v>10</v>
      </c>
      <c r="H1924" s="9" t="n">
        <v>5900</v>
      </c>
      <c r="I1924" s="10" t="inlineStr">
        <is>
          <t>ทรัพย์สินไทย</t>
        </is>
      </c>
      <c r="J1924" s="161" t="n">
        <v>22916</v>
      </c>
      <c r="L1924" s="8" t="inlineStr">
        <is>
          <t>ราคาที่ระบุเป็นก่อนหักส่วนลด</t>
        </is>
      </c>
    </row>
    <row r="1925">
      <c r="B1925" s="6" t="inlineStr">
        <is>
          <t>แม่สี Matrix  M-170</t>
        </is>
      </c>
      <c r="C1925" s="8" t="inlineStr">
        <is>
          <t>2กล.</t>
        </is>
      </c>
      <c r="D1925" s="9" t="n">
        <v>2950</v>
      </c>
      <c r="F1925" s="8" t="n">
        <v>10</v>
      </c>
      <c r="H1925" s="9" t="n">
        <v>5900</v>
      </c>
      <c r="I1925" s="10" t="inlineStr">
        <is>
          <t>ทรัพย์สินไทย</t>
        </is>
      </c>
      <c r="J1925" s="161" t="n">
        <v>23094</v>
      </c>
      <c r="L1925" s="8" t="inlineStr">
        <is>
          <t>ราคาที่ระบุเป็นก่อนหักส่วนลด</t>
        </is>
      </c>
    </row>
    <row r="1926">
      <c r="B1926" s="6" t="inlineStr">
        <is>
          <t>แม่สี Matrix  M-170</t>
        </is>
      </c>
      <c r="C1926" s="8" t="inlineStr">
        <is>
          <t>2กล.</t>
        </is>
      </c>
      <c r="D1926" s="9" t="n">
        <v>2950</v>
      </c>
      <c r="F1926" s="8" t="n">
        <v>10</v>
      </c>
      <c r="H1926" s="9" t="n">
        <v>5900</v>
      </c>
      <c r="I1926" s="10" t="inlineStr">
        <is>
          <t>ทรัพย์สินไทย</t>
        </is>
      </c>
      <c r="J1926" s="161" t="n">
        <v>23763</v>
      </c>
      <c r="K1926" s="8" t="inlineStr">
        <is>
          <t>IV6501224</t>
        </is>
      </c>
      <c r="L1926" s="8" t="inlineStr">
        <is>
          <t>ราคาที่ระบุเป็นก่อนหักส่วนลด</t>
        </is>
      </c>
    </row>
    <row r="1928">
      <c r="B1928" s="6" t="inlineStr">
        <is>
          <t>แม่สี ขาวใส SC-170</t>
        </is>
      </c>
      <c r="C1928" s="8" t="inlineStr">
        <is>
          <t>1กล.</t>
        </is>
      </c>
      <c r="D1928" s="9" t="n">
        <v>2450</v>
      </c>
      <c r="H1928" s="9" t="n">
        <v>2450</v>
      </c>
      <c r="I1928" s="10" t="inlineStr">
        <is>
          <t>บจก. วีที คัลเลอร์ โปร</t>
        </is>
      </c>
      <c r="J1928" s="161" t="n">
        <v>24186</v>
      </c>
      <c r="K1928" s="8" t="inlineStr">
        <is>
          <t>IV168-66</t>
        </is>
      </c>
      <c r="L1928" s="8" t="inlineStr">
        <is>
          <t>ราคาที่ระบุ ยังไม่รวม VAT7%</t>
        </is>
      </c>
    </row>
    <row r="1929">
      <c r="B1929" s="6" t="inlineStr">
        <is>
          <t>แม่สี ขาวใส SC-170</t>
        </is>
      </c>
      <c r="C1929" s="8" t="inlineStr">
        <is>
          <t>1กล.</t>
        </is>
      </c>
      <c r="D1929" s="9" t="n">
        <v>2450</v>
      </c>
      <c r="H1929" s="9" t="n">
        <v>2450</v>
      </c>
      <c r="I1929" s="10" t="inlineStr">
        <is>
          <t>บจก. วีที คัลเลอร์ โปร</t>
        </is>
      </c>
      <c r="J1929" s="161" t="n">
        <v>24282</v>
      </c>
      <c r="K1929" s="8" t="inlineStr">
        <is>
          <t>IV352-66</t>
        </is>
      </c>
      <c r="L1929" s="8" t="inlineStr">
        <is>
          <t>ราคาที่ระบุ ยังไม่รวม VAT7%</t>
        </is>
      </c>
    </row>
    <row r="1930">
      <c r="B1930" s="6" t="inlineStr">
        <is>
          <t>แม่สี ขาวใส Hybrid S170</t>
        </is>
      </c>
      <c r="C1930" s="8" t="inlineStr">
        <is>
          <t>1กล.</t>
        </is>
      </c>
      <c r="D1930" s="9" t="n">
        <v>2450</v>
      </c>
      <c r="H1930" s="9" t="n">
        <v>2450</v>
      </c>
      <c r="I1930" s="10" t="inlineStr">
        <is>
          <t>บจก. วีที คัลเลอร์ โปร</t>
        </is>
      </c>
      <c r="J1930" s="161" t="n">
        <v>24401</v>
      </c>
      <c r="K1930" s="8" t="inlineStr">
        <is>
          <t>IV684-66</t>
        </is>
      </c>
      <c r="L1930" s="8" t="inlineStr">
        <is>
          <t>ราคาที่ระบุ ยังไม่รวม VAT7%</t>
        </is>
      </c>
    </row>
    <row r="1931">
      <c r="B1931" s="6" t="inlineStr">
        <is>
          <t>แม่สี ขาวใส Hybrid S170</t>
        </is>
      </c>
      <c r="C1931" s="8" t="n">
        <v>1</v>
      </c>
      <c r="D1931" s="9" t="n">
        <v>2450</v>
      </c>
      <c r="H1931" s="9">
        <f>SUM(D1931*C1931)</f>
        <v/>
      </c>
      <c r="I1931" s="10" t="inlineStr">
        <is>
          <t>บจก. วีที คัลเลอร์ โปร</t>
        </is>
      </c>
      <c r="J1931" s="161" t="n">
        <v>24644</v>
      </c>
      <c r="K1931" s="8" t="inlineStr">
        <is>
          <t>IV6706124</t>
        </is>
      </c>
      <c r="L1931" s="8" t="inlineStr">
        <is>
          <t>ราคาที่ระบุ ยังไม่รวม VAT7%</t>
        </is>
      </c>
    </row>
    <row r="1932">
      <c r="B1932" s="6" t="inlineStr">
        <is>
          <t>แม่สี ขาวใส Hybrid S170</t>
        </is>
      </c>
      <c r="C1932" s="8" t="n">
        <v>1</v>
      </c>
      <c r="D1932" s="9" t="n">
        <v>2450</v>
      </c>
      <c r="H1932" s="9">
        <f>SUM(D1932*C1932)</f>
        <v/>
      </c>
      <c r="I1932" s="10" t="inlineStr">
        <is>
          <t>บจก. วีที คัลเลอร์ โปร</t>
        </is>
      </c>
      <c r="J1932" s="161" t="n">
        <v>24698</v>
      </c>
      <c r="K1932" s="8" t="inlineStr">
        <is>
          <t>IV6708064</t>
        </is>
      </c>
      <c r="L1932" s="8" t="inlineStr">
        <is>
          <t>ราคาที่ระบุ ยังไม่รวม VAT7%</t>
        </is>
      </c>
    </row>
    <row r="1933">
      <c r="B1933" s="6" t="inlineStr">
        <is>
          <t>แม่สี ขาวใส Hybrid S170</t>
        </is>
      </c>
      <c r="C1933" s="8" t="n">
        <v>2</v>
      </c>
      <c r="D1933" s="9" t="n">
        <v>2450</v>
      </c>
      <c r="E1933" s="9">
        <f>SUM(D1933*C1933)</f>
        <v/>
      </c>
      <c r="F1933" s="8" t="n">
        <v>0.07000000000000001</v>
      </c>
      <c r="G1933" s="10" t="inlineStr">
        <is>
          <t>รวม VAT =</t>
        </is>
      </c>
      <c r="H1933" s="9">
        <f>SUM(E1933+N1933)</f>
        <v/>
      </c>
      <c r="I1933" s="10" t="inlineStr">
        <is>
          <t>บจก. วีที คัลเลอร์ โปร</t>
        </is>
      </c>
      <c r="J1933" s="161" t="n">
        <v>25042</v>
      </c>
      <c r="K1933" s="8" t="inlineStr">
        <is>
          <t>IV6807180</t>
        </is>
      </c>
      <c r="N1933" s="6">
        <f>SUM(E1933*F1933)</f>
        <v/>
      </c>
    </row>
    <row r="1934">
      <c r="B1934" s="6" t="inlineStr">
        <is>
          <t>แม่สี ขาวใส Hybrid S170</t>
        </is>
      </c>
      <c r="C1934" s="8" t="n">
        <v>1</v>
      </c>
      <c r="D1934" s="9" t="n">
        <v>2450</v>
      </c>
      <c r="E1934" s="9">
        <f>SUM(D1934*C1934)</f>
        <v/>
      </c>
      <c r="F1934" s="8" t="n">
        <v>0.07000000000000001</v>
      </c>
      <c r="G1934" s="10" t="inlineStr">
        <is>
          <t>รวม VAT =</t>
        </is>
      </c>
      <c r="H1934" s="9">
        <f>SUM(E1934+N1934)</f>
        <v/>
      </c>
      <c r="I1934" s="10" t="inlineStr">
        <is>
          <t>บจก. วีที คัลเลอร์ โปร</t>
        </is>
      </c>
      <c r="J1934" s="161" t="n">
        <v>25168</v>
      </c>
      <c r="K1934" s="8" t="inlineStr">
        <is>
          <t>IV6811188</t>
        </is>
      </c>
      <c r="N1934" s="6">
        <f>SUM(E1934*F1934)</f>
        <v/>
      </c>
    </row>
    <row r="1936">
      <c r="B1936" s="6" t="inlineStr">
        <is>
          <t>แม่สี Matrix  M-171</t>
        </is>
      </c>
      <c r="C1936" s="8" t="inlineStr">
        <is>
          <t>3กล.</t>
        </is>
      </c>
      <c r="D1936" s="9" t="n">
        <v>2950</v>
      </c>
      <c r="F1936" s="8" t="n">
        <v>10</v>
      </c>
      <c r="H1936" s="9" t="n">
        <v>8850</v>
      </c>
      <c r="I1936" s="10" t="inlineStr">
        <is>
          <t>ทรัพย์สินไทย</t>
        </is>
      </c>
      <c r="J1936" s="161" t="n">
        <v>22429</v>
      </c>
      <c r="L1936" s="8" t="inlineStr">
        <is>
          <t>ราคาที่ระบุเป็นก่อนหักส่วนลด</t>
        </is>
      </c>
    </row>
    <row r="1937">
      <c r="B1937" s="6" t="inlineStr">
        <is>
          <t>แม่สี Matrix  M-171</t>
        </is>
      </c>
      <c r="C1937" s="8" t="inlineStr">
        <is>
          <t>5กล.</t>
        </is>
      </c>
      <c r="D1937" s="9" t="n">
        <v>2950</v>
      </c>
      <c r="F1937" s="8" t="n">
        <v>10</v>
      </c>
      <c r="H1937" s="9" t="n">
        <v>14750</v>
      </c>
      <c r="I1937" s="10" t="inlineStr">
        <is>
          <t>ทรัพย์สินไทย</t>
        </is>
      </c>
      <c r="J1937" s="161" t="n">
        <v>22790</v>
      </c>
      <c r="L1937" s="8" t="inlineStr">
        <is>
          <t>ราคาที่ระบุเป็นก่อนหักส่วนลด</t>
        </is>
      </c>
    </row>
    <row r="1938">
      <c r="B1938" s="6" t="inlineStr">
        <is>
          <t>แม่สี Matrix  M-171</t>
        </is>
      </c>
      <c r="C1938" s="8" t="inlineStr">
        <is>
          <t>5กล.</t>
        </is>
      </c>
      <c r="D1938" s="9" t="n">
        <v>2950</v>
      </c>
      <c r="F1938" s="8" t="n">
        <v>10</v>
      </c>
      <c r="H1938" s="9" t="n">
        <v>14750</v>
      </c>
      <c r="I1938" s="10" t="inlineStr">
        <is>
          <t>ทรัพย์สินไทย</t>
        </is>
      </c>
      <c r="J1938" s="161" t="n">
        <v>22821</v>
      </c>
      <c r="L1938" s="8" t="inlineStr">
        <is>
          <t>ราคาที่ระบุเป็นก่อนหักส่วนลด</t>
        </is>
      </c>
    </row>
    <row r="1939">
      <c r="B1939" s="6" t="inlineStr">
        <is>
          <t>แม่สี Matrix  M-171</t>
        </is>
      </c>
      <c r="C1939" s="8" t="inlineStr">
        <is>
          <t>3กล.</t>
        </is>
      </c>
      <c r="D1939" s="9" t="n">
        <v>2950</v>
      </c>
      <c r="F1939" s="8" t="n">
        <v>10</v>
      </c>
      <c r="H1939" s="9" t="n">
        <v>8850</v>
      </c>
      <c r="I1939" s="10" t="inlineStr">
        <is>
          <t>ทรัพย์สินไทย</t>
        </is>
      </c>
      <c r="J1939" s="161" t="n">
        <v>22884</v>
      </c>
      <c r="L1939" s="8" t="inlineStr">
        <is>
          <t>ราคาที่ระบุเป็นก่อนหักส่วนลด</t>
        </is>
      </c>
    </row>
    <row r="1940">
      <c r="B1940" s="6" t="inlineStr">
        <is>
          <t>แม่สี Matrix  M-171</t>
        </is>
      </c>
      <c r="C1940" s="8" t="inlineStr">
        <is>
          <t>3กล.</t>
        </is>
      </c>
      <c r="D1940" s="9" t="n">
        <v>2950</v>
      </c>
      <c r="F1940" s="8" t="n">
        <v>10</v>
      </c>
      <c r="H1940" s="9" t="n">
        <v>8850</v>
      </c>
      <c r="I1940" s="10" t="inlineStr">
        <is>
          <t>ทรัพย์สินไทย</t>
        </is>
      </c>
      <c r="J1940" s="161" t="n">
        <v>22913</v>
      </c>
      <c r="L1940" s="8" t="inlineStr">
        <is>
          <t>ราคาที่ระบุเป็นก่อนหักส่วนลด</t>
        </is>
      </c>
    </row>
    <row r="1941">
      <c r="B1941" s="6" t="inlineStr">
        <is>
          <t>แม่สี Matrix  M-171</t>
        </is>
      </c>
      <c r="C1941" s="8" t="inlineStr">
        <is>
          <t>3กล.</t>
        </is>
      </c>
      <c r="D1941" s="9" t="n">
        <v>2950</v>
      </c>
      <c r="F1941" s="8" t="n">
        <v>10</v>
      </c>
      <c r="H1941" s="9" t="n">
        <v>8850</v>
      </c>
      <c r="I1941" s="10" t="inlineStr">
        <is>
          <t>ทรัพย์สินไทย</t>
        </is>
      </c>
      <c r="J1941" s="161" t="n">
        <v>23038</v>
      </c>
      <c r="L1941" s="8" t="inlineStr">
        <is>
          <t>ราคาที่ระบุเป็นก่อนหักส่วนลด</t>
        </is>
      </c>
    </row>
    <row r="1942">
      <c r="B1942" s="6" t="inlineStr">
        <is>
          <t>แม่สี Matrix  M-171</t>
        </is>
      </c>
      <c r="C1942" s="8" t="inlineStr">
        <is>
          <t>5กล.</t>
        </is>
      </c>
      <c r="D1942" s="9" t="n">
        <v>2950</v>
      </c>
      <c r="F1942" s="8" t="n">
        <v>10</v>
      </c>
      <c r="H1942" s="9" t="n">
        <v>14750</v>
      </c>
      <c r="I1942" s="10" t="inlineStr">
        <is>
          <t>ทรัพย์สินไทย</t>
        </is>
      </c>
      <c r="J1942" s="161" t="n">
        <v>23062</v>
      </c>
      <c r="L1942" s="8" t="inlineStr">
        <is>
          <t>ราคาที่ระบุเป็นก่อนหักส่วนลด</t>
        </is>
      </c>
    </row>
    <row r="1943">
      <c r="B1943" s="6" t="inlineStr">
        <is>
          <t>แม่สี Matrix  M-171</t>
        </is>
      </c>
      <c r="C1943" s="8" t="inlineStr">
        <is>
          <t>3กล.</t>
        </is>
      </c>
      <c r="D1943" s="9" t="n">
        <v>2950</v>
      </c>
      <c r="F1943" s="8" t="n">
        <v>10</v>
      </c>
      <c r="H1943" s="9" t="n">
        <v>8850</v>
      </c>
      <c r="I1943" s="10" t="inlineStr">
        <is>
          <t>ทรัพย์สินไทย</t>
        </is>
      </c>
      <c r="J1943" s="161" t="n">
        <v>23094</v>
      </c>
      <c r="L1943" s="8" t="inlineStr">
        <is>
          <t>ราคาที่ระบุเป็นก่อนหักส่วนลด</t>
        </is>
      </c>
    </row>
    <row r="1944">
      <c r="B1944" s="6" t="inlineStr">
        <is>
          <t>แม่สี Matrix  M-171</t>
        </is>
      </c>
      <c r="C1944" s="8" t="inlineStr">
        <is>
          <t>3กล.</t>
        </is>
      </c>
      <c r="D1944" s="9" t="n">
        <v>2950</v>
      </c>
      <c r="F1944" s="8" t="n">
        <v>10</v>
      </c>
      <c r="H1944" s="9" t="n">
        <v>8850</v>
      </c>
      <c r="I1944" s="10" t="inlineStr">
        <is>
          <t>ทรัพย์สินไทย</t>
        </is>
      </c>
      <c r="J1944" s="161" t="n">
        <v>23221</v>
      </c>
      <c r="L1944" s="8" t="inlineStr">
        <is>
          <t>ราคาที่ระบุเป็นก่อนหักส่วนลด</t>
        </is>
      </c>
    </row>
    <row r="1945">
      <c r="B1945" s="6" t="inlineStr">
        <is>
          <t>แม่สี Matrix  M-171</t>
        </is>
      </c>
      <c r="C1945" s="8" t="inlineStr">
        <is>
          <t>3กล.</t>
        </is>
      </c>
      <c r="D1945" s="9" t="n">
        <v>2950</v>
      </c>
      <c r="F1945" s="8" t="n">
        <v>10</v>
      </c>
      <c r="H1945" s="9" t="n">
        <v>8850</v>
      </c>
      <c r="I1945" s="10" t="inlineStr">
        <is>
          <t>ทรัพย์สินไทย</t>
        </is>
      </c>
      <c r="J1945" s="161" t="n">
        <v>23247</v>
      </c>
      <c r="L1945" s="8" t="inlineStr">
        <is>
          <t>ราคาที่ระบุเป็นก่อนหักส่วนลด</t>
        </is>
      </c>
    </row>
    <row r="1946">
      <c r="B1946" s="6" t="inlineStr">
        <is>
          <t>แม่สี Matrix  M-171</t>
        </is>
      </c>
      <c r="C1946" s="8" t="inlineStr">
        <is>
          <t>3กล.</t>
        </is>
      </c>
      <c r="D1946" s="9" t="n">
        <v>2950</v>
      </c>
      <c r="F1946" s="8" t="n">
        <v>10</v>
      </c>
      <c r="H1946" s="9" t="n">
        <v>8850</v>
      </c>
      <c r="I1946" s="10" t="inlineStr">
        <is>
          <t>ทรัพย์สินไทย</t>
        </is>
      </c>
      <c r="J1946" s="161" t="n">
        <v>23277</v>
      </c>
      <c r="L1946" s="8" t="inlineStr">
        <is>
          <t>ราคาที่ระบุเป็นก่อนหักส่วนลด</t>
        </is>
      </c>
    </row>
    <row r="1947">
      <c r="B1947" s="6" t="inlineStr">
        <is>
          <t>แม่สี Matrix  M-171</t>
        </is>
      </c>
      <c r="C1947" s="8" t="inlineStr">
        <is>
          <t>3กล.</t>
        </is>
      </c>
      <c r="D1947" s="9" t="n">
        <v>2950</v>
      </c>
      <c r="F1947" s="8" t="n">
        <v>10</v>
      </c>
      <c r="H1947" s="9" t="n">
        <v>8850</v>
      </c>
      <c r="I1947" s="10" t="inlineStr">
        <is>
          <t>ทรัพย์สินไทย</t>
        </is>
      </c>
      <c r="J1947" s="161" t="n">
        <v>23305</v>
      </c>
      <c r="L1947" s="8" t="inlineStr">
        <is>
          <t>ราคาที่ระบุเป็นก่อนหักส่วนลด</t>
        </is>
      </c>
    </row>
    <row r="1948">
      <c r="B1948" s="6" t="inlineStr">
        <is>
          <t>แม่สี Matrix  M-171</t>
        </is>
      </c>
      <c r="C1948" s="8" t="inlineStr">
        <is>
          <t>3กล.</t>
        </is>
      </c>
      <c r="D1948" s="9" t="n">
        <v>2950</v>
      </c>
      <c r="F1948" s="8" t="n">
        <v>10</v>
      </c>
      <c r="H1948" s="9" t="n">
        <v>8850</v>
      </c>
      <c r="I1948" s="10" t="inlineStr">
        <is>
          <t>ทรัพย์สินไทย</t>
        </is>
      </c>
      <c r="J1948" s="161" t="n">
        <v>23340</v>
      </c>
      <c r="L1948" s="8" t="inlineStr">
        <is>
          <t>ราคาที่ระบุเป็นก่อนหักส่วนลด</t>
        </is>
      </c>
    </row>
    <row r="1949">
      <c r="B1949" s="6" t="inlineStr">
        <is>
          <t>แม่สี Matrix  M-171</t>
        </is>
      </c>
      <c r="C1949" s="8" t="inlineStr">
        <is>
          <t>3กล.</t>
        </is>
      </c>
      <c r="D1949" s="9" t="n">
        <v>2950</v>
      </c>
      <c r="F1949" s="8" t="n">
        <v>10</v>
      </c>
      <c r="H1949" s="9" t="n">
        <v>8850</v>
      </c>
      <c r="I1949" s="10" t="inlineStr">
        <is>
          <t>ทรัพย์สินไทย</t>
        </is>
      </c>
      <c r="J1949" s="161" t="n">
        <v>23398</v>
      </c>
      <c r="L1949" s="8" t="inlineStr">
        <is>
          <t>ราคาที่ระบุเป็นก่อนหักส่วนลด</t>
        </is>
      </c>
    </row>
    <row r="1950">
      <c r="B1950" s="6" t="inlineStr">
        <is>
          <t>แม่สี Matrix  M-171</t>
        </is>
      </c>
      <c r="C1950" s="8" t="inlineStr">
        <is>
          <t>4กล.</t>
        </is>
      </c>
      <c r="D1950" s="9" t="n">
        <v>2950</v>
      </c>
      <c r="F1950" s="8" t="n">
        <v>10</v>
      </c>
      <c r="H1950" s="9" t="n">
        <v>11800</v>
      </c>
      <c r="I1950" s="10" t="inlineStr">
        <is>
          <t>ทรัพย์สินไทย</t>
        </is>
      </c>
      <c r="J1950" s="161" t="n">
        <v>23460</v>
      </c>
      <c r="L1950" s="8" t="inlineStr">
        <is>
          <t>ราคาที่ระบุเป็นก่อนหักส่วนลด</t>
        </is>
      </c>
    </row>
    <row r="1951">
      <c r="B1951" s="6" t="inlineStr">
        <is>
          <t>แม่สี Matrix  M-171</t>
        </is>
      </c>
      <c r="C1951" s="8" t="inlineStr">
        <is>
          <t>3กล.</t>
        </is>
      </c>
      <c r="D1951" s="9" t="n">
        <v>2950</v>
      </c>
      <c r="F1951" s="8" t="n">
        <v>10</v>
      </c>
      <c r="H1951" s="9" t="n">
        <v>8850</v>
      </c>
      <c r="I1951" s="10" t="inlineStr">
        <is>
          <t>ทรัพย์สินไทย</t>
        </is>
      </c>
      <c r="J1951" s="161" t="n">
        <v>23493</v>
      </c>
      <c r="L1951" s="8" t="inlineStr">
        <is>
          <t>ราคาที่ระบุเป็นก่อนหักส่วนลด</t>
        </is>
      </c>
    </row>
    <row r="1952">
      <c r="B1952" s="6" t="inlineStr">
        <is>
          <t>แม่สี Matrix  M-171</t>
        </is>
      </c>
      <c r="C1952" s="8" t="inlineStr">
        <is>
          <t>3กล.</t>
        </is>
      </c>
      <c r="D1952" s="9" t="n">
        <v>2950</v>
      </c>
      <c r="F1952" s="8" t="n">
        <v>10</v>
      </c>
      <c r="H1952" s="9" t="n">
        <v>8850</v>
      </c>
      <c r="I1952" s="10" t="inlineStr">
        <is>
          <t>ทรัพย์สินไทย</t>
        </is>
      </c>
      <c r="J1952" s="161" t="n">
        <v>23546</v>
      </c>
      <c r="L1952" s="8" t="inlineStr">
        <is>
          <t>ราคาที่ระบุเป็นก่อนหักส่วนลด</t>
        </is>
      </c>
    </row>
    <row r="1953">
      <c r="B1953" s="6" t="inlineStr">
        <is>
          <t>แม่สี Matrix  M-171</t>
        </is>
      </c>
      <c r="C1953" s="8" t="inlineStr">
        <is>
          <t>3กล.</t>
        </is>
      </c>
      <c r="D1953" s="9" t="n">
        <v>2950</v>
      </c>
      <c r="F1953" s="8" t="n">
        <v>10</v>
      </c>
      <c r="H1953" s="9" t="n">
        <v>8850</v>
      </c>
      <c r="I1953" s="10" t="inlineStr">
        <is>
          <t>ทรัพย์สินไทย</t>
        </is>
      </c>
      <c r="J1953" s="161" t="n">
        <v>23584</v>
      </c>
      <c r="L1953" s="8" t="inlineStr">
        <is>
          <t>ราคาที่ระบุเป็นก่อนหักส่วนลด</t>
        </is>
      </c>
    </row>
    <row r="1954">
      <c r="B1954" s="6" t="inlineStr">
        <is>
          <t>แม่สี Matrix  M-171</t>
        </is>
      </c>
      <c r="C1954" s="8" t="inlineStr">
        <is>
          <t>2กล.</t>
        </is>
      </c>
      <c r="D1954" s="9" t="n">
        <v>2950</v>
      </c>
      <c r="F1954" s="8" t="n">
        <v>10</v>
      </c>
      <c r="H1954" s="9" t="n">
        <v>5900</v>
      </c>
      <c r="I1954" s="10" t="inlineStr">
        <is>
          <t>ทรัพย์สินไทย</t>
        </is>
      </c>
      <c r="J1954" s="161" t="n">
        <v>23676</v>
      </c>
      <c r="K1954" s="8" t="inlineStr">
        <is>
          <t>IV6410364</t>
        </is>
      </c>
      <c r="L1954" s="8" t="inlineStr">
        <is>
          <t>ราคาที่ระบุเป็นก่อนหักส่วนลด</t>
        </is>
      </c>
    </row>
    <row r="1955">
      <c r="B1955" s="6" t="inlineStr">
        <is>
          <t>แม่สี Matrix  M-171</t>
        </is>
      </c>
      <c r="C1955" s="8" t="inlineStr">
        <is>
          <t>3กล.</t>
        </is>
      </c>
      <c r="D1955" s="9" t="n">
        <v>2950</v>
      </c>
      <c r="F1955" s="8" t="n">
        <v>10</v>
      </c>
      <c r="H1955" s="9" t="n">
        <v>8850</v>
      </c>
      <c r="I1955" s="10" t="inlineStr">
        <is>
          <t>ทรัพย์สินไทย</t>
        </is>
      </c>
      <c r="J1955" s="161" t="n">
        <v>23704</v>
      </c>
      <c r="K1955" s="8" t="inlineStr">
        <is>
          <t>IV6411319</t>
        </is>
      </c>
      <c r="L1955" s="8" t="inlineStr">
        <is>
          <t>ราคาที่ระบุเป็นก่อนหักส่วนลด</t>
        </is>
      </c>
    </row>
    <row r="1956">
      <c r="B1956" s="6" t="inlineStr">
        <is>
          <t>แม่สี Matrix  M-171</t>
        </is>
      </c>
      <c r="C1956" s="8" t="inlineStr">
        <is>
          <t>3กล.</t>
        </is>
      </c>
      <c r="D1956" s="9" t="n">
        <v>2950</v>
      </c>
      <c r="F1956" s="8" t="n">
        <v>10</v>
      </c>
      <c r="H1956" s="9" t="n">
        <v>8850</v>
      </c>
      <c r="I1956" s="10" t="inlineStr">
        <is>
          <t>ทรัพย์สินไทย</t>
        </is>
      </c>
      <c r="J1956" s="161" t="n">
        <v>23763</v>
      </c>
      <c r="K1956" s="8" t="inlineStr">
        <is>
          <t>IV6501224</t>
        </is>
      </c>
      <c r="L1956" s="8" t="inlineStr">
        <is>
          <t>ราคาที่ระบุเป็นก่อนหักส่วนลด</t>
        </is>
      </c>
    </row>
    <row r="1957">
      <c r="B1957" s="6" t="inlineStr">
        <is>
          <t>แม่สี Matrix  M-171</t>
        </is>
      </c>
      <c r="C1957" s="8" t="inlineStr">
        <is>
          <t>3กล.</t>
        </is>
      </c>
      <c r="D1957" s="9" t="n">
        <v>2950</v>
      </c>
      <c r="F1957" s="8" t="n">
        <v>10</v>
      </c>
      <c r="H1957" s="9" t="n">
        <v>8850</v>
      </c>
      <c r="I1957" s="10" t="inlineStr">
        <is>
          <t>ทรัพย์สินไทย</t>
        </is>
      </c>
      <c r="J1957" s="161" t="n">
        <v>23795</v>
      </c>
      <c r="K1957" s="8" t="inlineStr">
        <is>
          <t>IV6502258</t>
        </is>
      </c>
      <c r="L1957" s="8" t="inlineStr">
        <is>
          <t>ราคาที่ระบุเป็นก่อนหักส่วนลด</t>
        </is>
      </c>
    </row>
    <row r="1958">
      <c r="B1958" s="6" t="inlineStr">
        <is>
          <t>แม่สี Matrix  M-171</t>
        </is>
      </c>
      <c r="C1958" s="8" t="inlineStr">
        <is>
          <t>3กล.</t>
        </is>
      </c>
      <c r="D1958" s="9" t="n">
        <v>2950</v>
      </c>
      <c r="F1958" s="8" t="n">
        <v>10</v>
      </c>
      <c r="H1958" s="9" t="n">
        <v>8850</v>
      </c>
      <c r="I1958" s="10" t="inlineStr">
        <is>
          <t>ทรัพย์สินไทย</t>
        </is>
      </c>
      <c r="J1958" s="161" t="n">
        <v>23824</v>
      </c>
      <c r="K1958" s="8" t="inlineStr">
        <is>
          <t>IV6503300</t>
        </is>
      </c>
      <c r="L1958" s="8" t="inlineStr">
        <is>
          <t>ราคาที่ระบุเป็นก่อนหักส่วนลด</t>
        </is>
      </c>
    </row>
    <row r="1959">
      <c r="B1959" s="6" t="inlineStr">
        <is>
          <t>แม่สี Matrix  M-171</t>
        </is>
      </c>
      <c r="C1959" s="8" t="inlineStr">
        <is>
          <t>3กล.</t>
        </is>
      </c>
      <c r="D1959" s="9" t="n">
        <v>2950</v>
      </c>
      <c r="F1959" s="8" t="n">
        <v>10</v>
      </c>
      <c r="H1959" s="9" t="n">
        <v>8850</v>
      </c>
      <c r="I1959" s="10" t="inlineStr">
        <is>
          <t>ทรัพย์สินไทย</t>
        </is>
      </c>
      <c r="J1959" s="161" t="n">
        <v>23887</v>
      </c>
      <c r="K1959" s="8" t="inlineStr">
        <is>
          <t>IV6505290</t>
        </is>
      </c>
      <c r="L1959" s="8" t="inlineStr">
        <is>
          <t>ราคาที่ระบุเป็นก่อนหักส่วนลด</t>
        </is>
      </c>
    </row>
    <row r="1960">
      <c r="B1960" s="6" t="inlineStr">
        <is>
          <t>แม่สี Matrix  M-171</t>
        </is>
      </c>
      <c r="C1960" s="8" t="inlineStr">
        <is>
          <t>2กล.</t>
        </is>
      </c>
      <c r="D1960" s="9" t="n">
        <v>2950</v>
      </c>
      <c r="F1960" s="8" t="n">
        <v>10</v>
      </c>
      <c r="H1960" s="9" t="n">
        <v>5900</v>
      </c>
      <c r="I1960" s="10" t="inlineStr">
        <is>
          <t>ทรัพย์สินไทย</t>
        </is>
      </c>
      <c r="J1960" s="161" t="n">
        <v>23917</v>
      </c>
      <c r="K1960" s="8" t="inlineStr">
        <is>
          <t>IV6506328</t>
        </is>
      </c>
      <c r="L1960" s="8" t="inlineStr">
        <is>
          <t>ราคาที่ระบุเป็นก่อนหักส่วนลด</t>
        </is>
      </c>
    </row>
    <row r="1961">
      <c r="B1961" s="6" t="inlineStr">
        <is>
          <t>แม่สี Matrix  M-171</t>
        </is>
      </c>
      <c r="C1961" s="8" t="inlineStr">
        <is>
          <t>1กล.</t>
        </is>
      </c>
      <c r="D1961" s="9" t="n">
        <v>2950</v>
      </c>
      <c r="F1961" s="8" t="n">
        <v>10</v>
      </c>
      <c r="H1961" s="9" t="n">
        <v>2950</v>
      </c>
      <c r="I1961" s="10" t="inlineStr">
        <is>
          <t>ทรัพย์สินไทย</t>
        </is>
      </c>
      <c r="J1961" s="161" t="n">
        <v>23920</v>
      </c>
      <c r="K1961" s="8" t="inlineStr">
        <is>
          <t>IV6506336</t>
        </is>
      </c>
      <c r="L1961" s="8" t="inlineStr">
        <is>
          <t>ราคาที่ระบุเป็นก่อนหักส่วนลด</t>
        </is>
      </c>
    </row>
    <row r="1962">
      <c r="B1962" s="6" t="inlineStr">
        <is>
          <t>แม่สี ดำเข้มอมน้ำตาล SC-171</t>
        </is>
      </c>
      <c r="C1962" s="8" t="inlineStr">
        <is>
          <t>2กล.</t>
        </is>
      </c>
      <c r="D1962" s="9" t="n">
        <v>2450</v>
      </c>
      <c r="H1962" s="9" t="n">
        <v>4900</v>
      </c>
      <c r="I1962" s="10" t="inlineStr">
        <is>
          <t>บจก. วีที คัลเลอร์ โปร</t>
        </is>
      </c>
      <c r="J1962" s="161" t="n">
        <v>23944</v>
      </c>
      <c r="K1962" s="8" t="inlineStr">
        <is>
          <t>IV101-65</t>
        </is>
      </c>
      <c r="L1962" s="8" t="inlineStr">
        <is>
          <t>ราคาที่ระบุ ยังไม่รวม VAT7%</t>
        </is>
      </c>
    </row>
    <row r="1963">
      <c r="B1963" s="6" t="inlineStr">
        <is>
          <t>แม่สี ดำเข้มอมน้ำตาล SC-171</t>
        </is>
      </c>
      <c r="C1963" s="8" t="inlineStr">
        <is>
          <t>1กล.</t>
        </is>
      </c>
      <c r="D1963" s="9" t="n">
        <v>2450</v>
      </c>
      <c r="H1963" s="9" t="n">
        <v>2450</v>
      </c>
      <c r="I1963" s="10" t="inlineStr">
        <is>
          <t>บจก. วีที คัลเลอร์ โปร</t>
        </is>
      </c>
      <c r="J1963" s="161" t="n">
        <v>23978</v>
      </c>
      <c r="K1963" s="8" t="inlineStr">
        <is>
          <t>IV148-65</t>
        </is>
      </c>
      <c r="L1963" s="8" t="inlineStr">
        <is>
          <t>ราคาที่ระบุ ยังไม่รวม VAT7%</t>
        </is>
      </c>
    </row>
    <row r="1964">
      <c r="B1964" s="6" t="inlineStr">
        <is>
          <t>แม่สี ดำเข้มอมน้ำตาล SC-171</t>
        </is>
      </c>
      <c r="C1964" s="8" t="inlineStr">
        <is>
          <t>5กล.</t>
        </is>
      </c>
      <c r="D1964" s="9" t="n">
        <v>2450</v>
      </c>
      <c r="H1964" s="9" t="n">
        <v>12250</v>
      </c>
      <c r="I1964" s="10" t="inlineStr">
        <is>
          <t>บจก. วีที คัลเลอร์ โปร</t>
        </is>
      </c>
      <c r="J1964" s="161" t="n">
        <v>24005</v>
      </c>
      <c r="K1964" s="8" t="inlineStr">
        <is>
          <t>IV184-65</t>
        </is>
      </c>
      <c r="L1964" s="8" t="inlineStr">
        <is>
          <t>ราคาที่ระบุ ยังไม่รวม VAT7%</t>
        </is>
      </c>
    </row>
    <row r="1965">
      <c r="B1965" s="6" t="inlineStr">
        <is>
          <t>แม่สี ดำเข้มอมน้ำตาล SC-171</t>
        </is>
      </c>
      <c r="C1965" s="8" t="inlineStr">
        <is>
          <t>2กล.</t>
        </is>
      </c>
      <c r="D1965" s="9" t="n">
        <v>2450</v>
      </c>
      <c r="H1965" s="9" t="n">
        <v>4900</v>
      </c>
      <c r="I1965" s="10" t="inlineStr">
        <is>
          <t>บจก. วีที คัลเลอร์ โปร</t>
        </is>
      </c>
      <c r="J1965" s="161" t="n">
        <v>24057</v>
      </c>
      <c r="K1965" s="8" t="inlineStr">
        <is>
          <t>IV259-65</t>
        </is>
      </c>
      <c r="L1965" s="8" t="inlineStr">
        <is>
          <t>ราคาที่ระบุ ยังไม่รวม VAT7%</t>
        </is>
      </c>
    </row>
    <row r="1966">
      <c r="B1966" s="6" t="inlineStr">
        <is>
          <t>แม่สี ดำเข้มอมน้ำตาล SC-171</t>
        </is>
      </c>
      <c r="C1966" s="8" t="inlineStr">
        <is>
          <t>3กล.</t>
        </is>
      </c>
      <c r="D1966" s="9" t="n">
        <v>2450</v>
      </c>
      <c r="H1966" s="9" t="n">
        <v>7350</v>
      </c>
      <c r="I1966" s="10" t="inlineStr">
        <is>
          <t>บจก. วีที คัลเลอร์ โปร</t>
        </is>
      </c>
      <c r="J1966" s="161" t="n">
        <v>24069</v>
      </c>
      <c r="K1966" s="8" t="inlineStr">
        <is>
          <t>IV276-65</t>
        </is>
      </c>
      <c r="L1966" s="8" t="inlineStr">
        <is>
          <t>ราคาที่ระบุ ยังไม่รวม VAT7%</t>
        </is>
      </c>
    </row>
    <row r="1967">
      <c r="B1967" s="6" t="inlineStr">
        <is>
          <t>แม่สี ดำเข้มอมน้ำตาล SC-171</t>
        </is>
      </c>
      <c r="C1967" s="8" t="inlineStr">
        <is>
          <t>3กล.</t>
        </is>
      </c>
      <c r="D1967" s="9" t="n">
        <v>2450</v>
      </c>
      <c r="H1967" s="9" t="n">
        <v>7350</v>
      </c>
      <c r="I1967" s="10" t="inlineStr">
        <is>
          <t>บจก. วีที คัลเลอร์ โปร</t>
        </is>
      </c>
      <c r="J1967" s="161" t="n">
        <v>24095</v>
      </c>
      <c r="K1967" s="8" t="inlineStr">
        <is>
          <t>IV318-65</t>
        </is>
      </c>
      <c r="L1967" s="8" t="inlineStr">
        <is>
          <t>ราคาที่ระบุ ยังไม่รวม VAT7%</t>
        </is>
      </c>
    </row>
    <row r="1968">
      <c r="B1968" s="6" t="inlineStr">
        <is>
          <t>แม่สี ดำเข้มอมน้ำตาล SC-171</t>
        </is>
      </c>
      <c r="C1968" s="8" t="inlineStr">
        <is>
          <t>2กล.</t>
        </is>
      </c>
      <c r="D1968" s="9" t="n">
        <v>2450</v>
      </c>
      <c r="H1968" s="9" t="n">
        <v>4900</v>
      </c>
      <c r="I1968" s="10" t="inlineStr">
        <is>
          <t>บจก. วีที คัลเลอร์ โปร</t>
        </is>
      </c>
      <c r="J1968" s="161" t="n">
        <v>24127</v>
      </c>
      <c r="K1968" s="8" t="inlineStr">
        <is>
          <t>IV041-66</t>
        </is>
      </c>
      <c r="L1968" s="8" t="inlineStr">
        <is>
          <t>ราคาที่ระบุ ยังไม่รวม VAT7%</t>
        </is>
      </c>
    </row>
    <row r="1969">
      <c r="B1969" s="6" t="inlineStr">
        <is>
          <t>แม่สี ดำเข้มอมน้ำตาล SC-171</t>
        </is>
      </c>
      <c r="C1969" s="8" t="inlineStr">
        <is>
          <t>3กล.</t>
        </is>
      </c>
      <c r="D1969" s="9" t="n">
        <v>2450</v>
      </c>
      <c r="H1969" s="9" t="n">
        <v>7350</v>
      </c>
      <c r="I1969" s="10" t="inlineStr">
        <is>
          <t>บจก. วีที คัลเลอร์ โปร</t>
        </is>
      </c>
      <c r="J1969" s="161" t="n">
        <v>24160</v>
      </c>
      <c r="K1969" s="8" t="inlineStr">
        <is>
          <t>IV113-66</t>
        </is>
      </c>
      <c r="L1969" s="8" t="inlineStr">
        <is>
          <t>ราคาที่ระบุ ยังไม่รวม VAT7%</t>
        </is>
      </c>
    </row>
    <row r="1970">
      <c r="B1970" s="6" t="inlineStr">
        <is>
          <t>แม่สี ดำเข้มอมน้ำตาล SC-171</t>
        </is>
      </c>
      <c r="C1970" s="8" t="inlineStr">
        <is>
          <t>1กล.</t>
        </is>
      </c>
      <c r="D1970" s="9" t="n">
        <v>2450</v>
      </c>
      <c r="H1970" s="9" t="n">
        <v>2450</v>
      </c>
      <c r="I1970" s="10" t="inlineStr">
        <is>
          <t>บจก. วีที คัลเลอร์ โปร</t>
        </is>
      </c>
      <c r="J1970" s="161" t="n">
        <v>24186</v>
      </c>
      <c r="K1970" s="8" t="inlineStr">
        <is>
          <t>IV168-66</t>
        </is>
      </c>
      <c r="L1970" s="8" t="inlineStr">
        <is>
          <t>ราคาที่ระบุ ยังไม่รวม VAT7%</t>
        </is>
      </c>
    </row>
    <row r="1971">
      <c r="B1971" s="6" t="inlineStr">
        <is>
          <t>แม่สี ดำเข้มอมน้ำตาล SC-171</t>
        </is>
      </c>
      <c r="C1971" s="8" t="inlineStr">
        <is>
          <t>2กล.</t>
        </is>
      </c>
      <c r="D1971" s="9" t="n">
        <v>2450</v>
      </c>
      <c r="H1971" s="9" t="n">
        <v>4900</v>
      </c>
      <c r="I1971" s="10" t="inlineStr">
        <is>
          <t>บจก. วีที คัลเลอร์ โปร</t>
        </is>
      </c>
      <c r="J1971" s="161" t="n">
        <v>24189</v>
      </c>
      <c r="K1971" s="8" t="inlineStr">
        <is>
          <t>IV178-66</t>
        </is>
      </c>
      <c r="L1971" s="8" t="inlineStr">
        <is>
          <t>ราคาที่ระบุ ยังไม่รวม VAT7%</t>
        </is>
      </c>
    </row>
    <row r="1972">
      <c r="B1972" s="6" t="inlineStr">
        <is>
          <t>แม่สี ดำเข้มอมน้ำตาล SC-171</t>
        </is>
      </c>
      <c r="C1972" s="8" t="inlineStr">
        <is>
          <t>1กล.</t>
        </is>
      </c>
      <c r="D1972" s="9" t="n">
        <v>2450</v>
      </c>
      <c r="H1972" s="9" t="n">
        <v>2450</v>
      </c>
      <c r="I1972" s="10" t="inlineStr">
        <is>
          <t>บจก. วีที คัลเลอร์ โปร</t>
        </is>
      </c>
      <c r="J1972" s="161" t="n">
        <v>24221</v>
      </c>
      <c r="K1972" s="8" t="inlineStr">
        <is>
          <t>IV226-66</t>
        </is>
      </c>
      <c r="L1972" s="8" t="inlineStr">
        <is>
          <t>ราคาที่ระบุ ยังไม่รวม VAT7%</t>
        </is>
      </c>
    </row>
    <row r="1973">
      <c r="B1973" s="6" t="inlineStr">
        <is>
          <t>แม่สี ดำเข้มอมน้ำตาล SC-171</t>
        </is>
      </c>
      <c r="C1973" s="8" t="inlineStr">
        <is>
          <t>3กล.</t>
        </is>
      </c>
      <c r="D1973" s="9" t="n">
        <v>2450</v>
      </c>
      <c r="H1973" s="9" t="n">
        <v>7350</v>
      </c>
      <c r="I1973" s="10" t="inlineStr">
        <is>
          <t>บจก. วีที คัลเลอร์ โปร</t>
        </is>
      </c>
      <c r="J1973" s="161" t="n">
        <v>24282</v>
      </c>
      <c r="K1973" s="8" t="inlineStr">
        <is>
          <t>IV352-66</t>
        </is>
      </c>
      <c r="L1973" s="8" t="inlineStr">
        <is>
          <t>ราคาที่ระบุ ยังไม่รวม VAT7%</t>
        </is>
      </c>
    </row>
    <row r="1974">
      <c r="B1974" s="6" t="inlineStr">
        <is>
          <t>แม่สี ดำเข้มอมน้ำตาล Hybrid S171</t>
        </is>
      </c>
      <c r="C1974" s="8" t="inlineStr">
        <is>
          <t>2กล.</t>
        </is>
      </c>
      <c r="D1974" s="9" t="n">
        <v>2450</v>
      </c>
      <c r="H1974" s="9" t="n">
        <v>4900</v>
      </c>
      <c r="I1974" s="10" t="inlineStr">
        <is>
          <t>บจก. วีที คัลเลอร์ โปร</t>
        </is>
      </c>
      <c r="J1974" s="161" t="n">
        <v>24309</v>
      </c>
      <c r="K1974" s="8" t="inlineStr">
        <is>
          <t>IV410-66</t>
        </is>
      </c>
      <c r="L1974" s="8" t="inlineStr">
        <is>
          <t>ราคาที่ระบุ ยังไม่รวม VAT7%</t>
        </is>
      </c>
    </row>
    <row r="1975">
      <c r="B1975" s="6" t="inlineStr">
        <is>
          <t>แม่สี ดำเข้มอมน้ำตาล Hybrid S171</t>
        </is>
      </c>
      <c r="C1975" s="8" t="inlineStr">
        <is>
          <t>2กล.</t>
        </is>
      </c>
      <c r="D1975" s="9" t="n">
        <v>2450</v>
      </c>
      <c r="H1975" s="9" t="n">
        <v>4900</v>
      </c>
      <c r="I1975" s="10" t="inlineStr">
        <is>
          <t>บจก. วีที คัลเลอร์ โปร</t>
        </is>
      </c>
      <c r="J1975" s="161" t="n">
        <v>24315</v>
      </c>
      <c r="K1975" s="8" t="inlineStr">
        <is>
          <t>IV424-66</t>
        </is>
      </c>
      <c r="L1975" s="8" t="inlineStr">
        <is>
          <t>ราคาที่ระบุ ยังไม่รวม VAT7%</t>
        </is>
      </c>
    </row>
    <row r="1976">
      <c r="B1976" s="6" t="inlineStr">
        <is>
          <t>แม่สี ดำเข้มอมน้ำตาล Hybrid S171</t>
        </is>
      </c>
      <c r="C1976" s="8" t="n">
        <v>1</v>
      </c>
      <c r="D1976" s="9" t="n">
        <v>2450</v>
      </c>
      <c r="H1976" s="9">
        <f>SUM(D1976*C1976)</f>
        <v/>
      </c>
      <c r="I1976" s="10" t="inlineStr">
        <is>
          <t>บจก. วีที คัลเลอร์ โปร</t>
        </is>
      </c>
      <c r="J1976" s="161" t="n">
        <v>24359</v>
      </c>
      <c r="K1976" s="8" t="inlineStr">
        <is>
          <t>IV517-66</t>
        </is>
      </c>
      <c r="L1976" s="8" t="inlineStr">
        <is>
          <t>ราคาที่ระบุ ยังไม่รวม VAT7%</t>
        </is>
      </c>
    </row>
    <row r="1977">
      <c r="B1977" s="6" t="inlineStr">
        <is>
          <t>แม่สี ดำเข้มอมน้ำตาล Hybrid S171</t>
        </is>
      </c>
      <c r="C1977" s="8" t="n">
        <v>3</v>
      </c>
      <c r="D1977" s="9" t="n">
        <v>2450</v>
      </c>
      <c r="H1977" s="9">
        <f>SUM(D1977*C1977)</f>
        <v/>
      </c>
      <c r="I1977" s="10" t="inlineStr">
        <is>
          <t>บจก. วีที คัลเลอร์ โปร</t>
        </is>
      </c>
      <c r="J1977" s="161" t="n">
        <v>24372</v>
      </c>
      <c r="K1977" s="8" t="inlineStr">
        <is>
          <t>IV541-66</t>
        </is>
      </c>
      <c r="L1977" s="8" t="inlineStr">
        <is>
          <t>ราคาที่ระบุ ยังไม่รวม VAT7%</t>
        </is>
      </c>
    </row>
    <row r="1978">
      <c r="B1978" s="6" t="inlineStr">
        <is>
          <t>แม่สี ดำเข้มอมน้ำตาล Hybrid S171</t>
        </is>
      </c>
      <c r="C1978" s="8" t="n">
        <v>3</v>
      </c>
      <c r="D1978" s="9" t="n">
        <v>2450</v>
      </c>
      <c r="H1978" s="9">
        <f>SUM(D1978*C1978)</f>
        <v/>
      </c>
      <c r="I1978" s="10" t="inlineStr">
        <is>
          <t>บจก. วีที คัลเลอร์ โปร</t>
        </is>
      </c>
      <c r="J1978" s="161" t="n">
        <v>24401</v>
      </c>
      <c r="K1978" s="8" t="inlineStr">
        <is>
          <t>IV684-66</t>
        </is>
      </c>
      <c r="L1978" s="8" t="inlineStr">
        <is>
          <t>ราคาที่ระบุ ยังไม่รวม VAT7%</t>
        </is>
      </c>
    </row>
    <row r="1979">
      <c r="B1979" s="6" t="inlineStr">
        <is>
          <t>แม่สี ดำเข้มอมน้ำตาล Hybrid S171</t>
        </is>
      </c>
      <c r="C1979" s="8" t="n">
        <v>2</v>
      </c>
      <c r="D1979" s="9" t="n">
        <v>2450</v>
      </c>
      <c r="H1979" s="9">
        <f>SUM(D1979*C1979)</f>
        <v/>
      </c>
      <c r="I1979" s="10" t="inlineStr">
        <is>
          <t>บจก. วีที คัลเลอร์ โปร</t>
        </is>
      </c>
      <c r="J1979" s="161" t="n">
        <v>24404</v>
      </c>
      <c r="K1979" s="8" t="inlineStr">
        <is>
          <t>IV619-66</t>
        </is>
      </c>
      <c r="L1979" s="8" t="inlineStr">
        <is>
          <t>ราคาที่ระบุ ยังไม่รวม VAT7%</t>
        </is>
      </c>
    </row>
    <row r="1980">
      <c r="B1980" s="6" t="inlineStr">
        <is>
          <t>แม่สี ดำเข้มอมน้ำตาล Hybrid S171</t>
        </is>
      </c>
      <c r="C1980" s="8" t="n">
        <v>3</v>
      </c>
      <c r="D1980" s="9" t="n">
        <v>2450</v>
      </c>
      <c r="H1980" s="9">
        <f>SUM(D1980*C1980)</f>
        <v/>
      </c>
      <c r="I1980" s="10" t="inlineStr">
        <is>
          <t>บจก. วีที คัลเลอร์ โปร</t>
        </is>
      </c>
      <c r="J1980" s="161" t="n">
        <v>24462</v>
      </c>
      <c r="K1980" s="8" t="inlineStr">
        <is>
          <t>IV765-66</t>
        </is>
      </c>
      <c r="L1980" s="8" t="inlineStr">
        <is>
          <t>ราคาที่ระบุ ยังไม่รวม VAT7%</t>
        </is>
      </c>
    </row>
    <row r="1981">
      <c r="B1981" s="6" t="inlineStr">
        <is>
          <t>แม่สี ดำเข้มอมน้ำตาล Hybrid S171</t>
        </is>
      </c>
      <c r="C1981" s="8" t="n">
        <v>2</v>
      </c>
      <c r="D1981" s="9" t="n">
        <v>2450</v>
      </c>
      <c r="H1981" s="9">
        <f>SUM(D1981*C1981)</f>
        <v/>
      </c>
      <c r="I1981" s="10" t="inlineStr">
        <is>
          <t>บจก. วีที คัลเลอร์ โปร</t>
        </is>
      </c>
      <c r="J1981" s="161" t="n">
        <v>24496</v>
      </c>
      <c r="K1981" s="8" t="inlineStr">
        <is>
          <t>IV6701079</t>
        </is>
      </c>
      <c r="L1981" s="8" t="inlineStr">
        <is>
          <t>ราคาที่ระบุ ยังไม่รวม VAT7%</t>
        </is>
      </c>
    </row>
    <row r="1982">
      <c r="B1982" s="6" t="inlineStr">
        <is>
          <t>แม่สี ดำเข้มอมน้ำตาล Hybrid S171</t>
        </is>
      </c>
      <c r="C1982" s="8" t="n">
        <v>2</v>
      </c>
      <c r="D1982" s="9" t="n">
        <v>2450</v>
      </c>
      <c r="H1982" s="9">
        <f>SUM(D1982*C1982)</f>
        <v/>
      </c>
      <c r="I1982" s="10" t="inlineStr">
        <is>
          <t>บจก. วีที คัลเลอร์ โปร</t>
        </is>
      </c>
      <c r="J1982" s="161" t="n">
        <v>24529</v>
      </c>
      <c r="K1982" s="8" t="inlineStr">
        <is>
          <t>IV6702103</t>
        </is>
      </c>
      <c r="L1982" s="8" t="inlineStr">
        <is>
          <t>ราคาที่ระบุ ยังไม่รวม VAT7%</t>
        </is>
      </c>
    </row>
    <row r="1983">
      <c r="B1983" s="6" t="inlineStr">
        <is>
          <t>แม่สี ดำเข้มอมน้ำตาล Hybrid S171</t>
        </is>
      </c>
      <c r="C1983" s="8" t="n">
        <v>3</v>
      </c>
      <c r="D1983" s="9" t="n">
        <v>2450</v>
      </c>
      <c r="H1983" s="9">
        <f>SUM(D1983*C1983)</f>
        <v/>
      </c>
      <c r="I1983" s="10" t="inlineStr">
        <is>
          <t>บจก. วีที คัลเลอร์ โปร</t>
        </is>
      </c>
      <c r="J1983" s="161" t="n">
        <v>24550</v>
      </c>
      <c r="K1983" s="8" t="inlineStr">
        <is>
          <t>IV6703088</t>
        </is>
      </c>
      <c r="L1983" s="8" t="inlineStr">
        <is>
          <t>ราคาที่ระบุ ยังไม่รวม VAT7%</t>
        </is>
      </c>
    </row>
    <row r="1984">
      <c r="B1984" s="6" t="inlineStr">
        <is>
          <t>แม่สี ดำเข้มอมน้ำตาล Hybrid S171</t>
        </is>
      </c>
      <c r="C1984" s="8" t="n">
        <v>2</v>
      </c>
      <c r="D1984" s="9" t="n">
        <v>2450</v>
      </c>
      <c r="H1984" s="9">
        <f>SUM(D1984*C1984)</f>
        <v/>
      </c>
      <c r="I1984" s="10" t="inlineStr">
        <is>
          <t>บจก. วีที คัลเลอร์ โปร</t>
        </is>
      </c>
      <c r="J1984" s="161" t="n">
        <v>24584</v>
      </c>
      <c r="K1984" s="8" t="inlineStr">
        <is>
          <t>IV6704071</t>
        </is>
      </c>
      <c r="L1984" s="8" t="inlineStr">
        <is>
          <t>ราคาที่ระบุ ยังไม่รวม VAT7%</t>
        </is>
      </c>
    </row>
    <row r="1985">
      <c r="B1985" s="6" t="inlineStr">
        <is>
          <t>แม่สี ดำเข้มอมน้ำตาล Hybrid S171</t>
        </is>
      </c>
      <c r="C1985" s="8" t="n">
        <v>2</v>
      </c>
      <c r="D1985" s="9" t="n">
        <v>2450</v>
      </c>
      <c r="H1985" s="9">
        <f>SUM(D1985*C1985)</f>
        <v/>
      </c>
      <c r="I1985" s="10" t="inlineStr">
        <is>
          <t>บจก. วีที คัลเลอร์ โปร</t>
        </is>
      </c>
      <c r="J1985" s="161" t="n">
        <v>24613</v>
      </c>
      <c r="K1985" s="8" t="inlineStr">
        <is>
          <t>IV6705104</t>
        </is>
      </c>
      <c r="L1985" s="8" t="inlineStr">
        <is>
          <t>ราคาที่ระบุ ยังไม่รวม VAT7%</t>
        </is>
      </c>
    </row>
    <row r="1986">
      <c r="B1986" s="6" t="inlineStr">
        <is>
          <t>แม่สี ดำเข้มอมน้ำตาล Hybrid S171</t>
        </is>
      </c>
      <c r="C1986" s="8" t="n">
        <v>2</v>
      </c>
      <c r="D1986" s="9" t="n">
        <v>2450</v>
      </c>
      <c r="H1986" s="9">
        <f>SUM(D1986*C1986)</f>
        <v/>
      </c>
      <c r="I1986" s="10" t="inlineStr">
        <is>
          <t>บจก. วีที คัลเลอร์ โปร</t>
        </is>
      </c>
      <c r="J1986" s="161" t="n">
        <v>24634</v>
      </c>
      <c r="K1986" s="8" t="inlineStr">
        <is>
          <t>IV6706078</t>
        </is>
      </c>
      <c r="L1986" s="8" t="inlineStr">
        <is>
          <t>ราคาที่ระบุ ยังไม่รวม VAT7%</t>
        </is>
      </c>
    </row>
    <row r="1987">
      <c r="B1987" s="6" t="inlineStr">
        <is>
          <t>แม่สี ดำเข้มอมน้ำตาล Hybrid S171</t>
        </is>
      </c>
      <c r="C1987" s="8" t="n">
        <v>2</v>
      </c>
      <c r="D1987" s="9" t="n">
        <v>2450</v>
      </c>
      <c r="H1987" s="9">
        <f>SUM(D1987*C1987)</f>
        <v/>
      </c>
      <c r="I1987" s="10" t="inlineStr">
        <is>
          <t>บจก. วีที คัลเลอร์ โปร</t>
        </is>
      </c>
      <c r="J1987" s="161" t="n">
        <v>24644</v>
      </c>
      <c r="K1987" s="8" t="inlineStr">
        <is>
          <t>IV6706124</t>
        </is>
      </c>
      <c r="L1987" s="8" t="inlineStr">
        <is>
          <t>ราคาที่ระบุ ยังไม่รวม VAT7%</t>
        </is>
      </c>
    </row>
    <row r="1988">
      <c r="B1988" s="6" t="inlineStr">
        <is>
          <t>แม่สี ดำเข้มอมน้ำตาล Hybrid S171</t>
        </is>
      </c>
      <c r="C1988" s="8" t="n">
        <v>2</v>
      </c>
      <c r="D1988" s="9" t="n">
        <v>2450</v>
      </c>
      <c r="H1988" s="9">
        <f>SUM(D1988*C1988)</f>
        <v/>
      </c>
      <c r="I1988" s="10" t="inlineStr">
        <is>
          <t>บจก. วีที คัลเลอร์ โปร</t>
        </is>
      </c>
      <c r="J1988" s="161" t="n">
        <v>24664</v>
      </c>
      <c r="K1988" s="8" t="inlineStr">
        <is>
          <t>IV6707082</t>
        </is>
      </c>
      <c r="L1988" s="8" t="inlineStr">
        <is>
          <t>ราคาที่ระบุ ยังไม่รวม VAT7%</t>
        </is>
      </c>
    </row>
    <row r="1989">
      <c r="B1989" s="6" t="inlineStr">
        <is>
          <t>แม่สี ดำเข้มอมน้ำตาล Hybrid S171</t>
        </is>
      </c>
      <c r="C1989" s="8" t="n">
        <v>2</v>
      </c>
      <c r="D1989" s="9" t="n">
        <v>2450</v>
      </c>
      <c r="H1989" s="9">
        <f>SUM(D1989*C1989)</f>
        <v/>
      </c>
      <c r="I1989" s="10" t="inlineStr">
        <is>
          <t>บจก. วีที คัลเลอร์ โปร</t>
        </is>
      </c>
      <c r="J1989" s="161" t="n">
        <v>24698</v>
      </c>
      <c r="K1989" s="8" t="inlineStr">
        <is>
          <t>IV6708064</t>
        </is>
      </c>
      <c r="L1989" s="8" t="inlineStr">
        <is>
          <t>ราคาที่ระบุ ยังไม่รวม VAT7%</t>
        </is>
      </c>
    </row>
    <row r="1990">
      <c r="B1990" s="6" t="inlineStr">
        <is>
          <t>แม่สี ดำเข้มอมน้ำตาล Hybrid S171</t>
        </is>
      </c>
      <c r="C1990" s="8" t="n">
        <v>3</v>
      </c>
      <c r="D1990" s="9" t="n">
        <v>2450</v>
      </c>
      <c r="H1990" s="9">
        <f>SUM(D1990*C1990)</f>
        <v/>
      </c>
      <c r="I1990" s="10" t="inlineStr">
        <is>
          <t>บจก. วีที คัลเลอร์ โปร</t>
        </is>
      </c>
      <c r="J1990" s="161" t="n">
        <v>24739</v>
      </c>
      <c r="K1990" s="8" t="inlineStr">
        <is>
          <t>IV6709122</t>
        </is>
      </c>
      <c r="L1990" s="8" t="inlineStr">
        <is>
          <t>ราคาที่ระบุ ยังไม่รวม VAT7%</t>
        </is>
      </c>
    </row>
    <row r="1991">
      <c r="B1991" s="6" t="inlineStr">
        <is>
          <t>แม่สี ดำเข้มอมน้ำตาล Hybrid S171</t>
        </is>
      </c>
      <c r="C1991" s="8" t="n">
        <v>2</v>
      </c>
      <c r="D1991" s="9" t="n">
        <v>2450</v>
      </c>
      <c r="H1991" s="9">
        <f>SUM(D1991*C1991)</f>
        <v/>
      </c>
      <c r="I1991" s="10" t="inlineStr">
        <is>
          <t>บจก. วีที คัลเลอร์ โปร</t>
        </is>
      </c>
      <c r="J1991" s="161" t="n">
        <v>24766</v>
      </c>
      <c r="K1991" s="8" t="inlineStr">
        <is>
          <t>IV6710109</t>
        </is>
      </c>
      <c r="L1991" s="8" t="inlineStr">
        <is>
          <t>ราคาที่ระบุ ยังไม่รวม VAT7%</t>
        </is>
      </c>
    </row>
    <row r="1992">
      <c r="B1992" s="6" t="inlineStr">
        <is>
          <t>แม่สี ดำเข้มอมน้ำตาล Hybrid S171</t>
        </is>
      </c>
      <c r="C1992" s="8" t="n">
        <v>3</v>
      </c>
      <c r="D1992" s="9" t="n">
        <v>2450</v>
      </c>
      <c r="H1992" s="9">
        <f>SUM(D1992*C1992)</f>
        <v/>
      </c>
      <c r="I1992" s="10" t="inlineStr">
        <is>
          <t>บจก. วีที คัลเลอร์ โปร</t>
        </is>
      </c>
      <c r="J1992" s="161" t="n">
        <v>24795</v>
      </c>
      <c r="K1992" s="8" t="inlineStr">
        <is>
          <t>IV6711103</t>
        </is>
      </c>
      <c r="L1992" s="8" t="inlineStr">
        <is>
          <t>ราคาที่ระบุ ยังไม่รวม VAT7%</t>
        </is>
      </c>
    </row>
    <row r="1993">
      <c r="B1993" s="6" t="inlineStr">
        <is>
          <t>แม่สี ดำเข้มอมน้ำตาล Hybrid S171</t>
        </is>
      </c>
      <c r="C1993" s="8" t="n">
        <v>3</v>
      </c>
      <c r="D1993" s="9" t="n">
        <v>2450</v>
      </c>
      <c r="H1993" s="9">
        <f>SUM(D1993*C1993)</f>
        <v/>
      </c>
      <c r="I1993" s="10" t="inlineStr">
        <is>
          <t>บจก. วีที คัลเลอร์ โปร</t>
        </is>
      </c>
      <c r="J1993" s="161" t="n">
        <v>24824</v>
      </c>
      <c r="K1993" s="8" t="inlineStr">
        <is>
          <t>IV6712085</t>
        </is>
      </c>
      <c r="L1993" s="8" t="inlineStr">
        <is>
          <t>ราคาที่ระบุ ยังไม่รวม VAT7%</t>
        </is>
      </c>
    </row>
    <row r="1994">
      <c r="B1994" s="6" t="inlineStr">
        <is>
          <t>แม่สี ดำเข้มอมน้ำตาล Hybrid S171</t>
        </is>
      </c>
      <c r="C1994" s="8" t="n">
        <v>4</v>
      </c>
      <c r="D1994" s="9" t="n">
        <v>2621.5</v>
      </c>
      <c r="H1994" s="9">
        <f>SUM(D1994*C1994)</f>
        <v/>
      </c>
      <c r="I1994" s="10" t="inlineStr">
        <is>
          <t>บจก. วีที คัลเลอร์ โปร</t>
        </is>
      </c>
      <c r="J1994" s="161" t="n">
        <v>24886</v>
      </c>
      <c r="K1994" s="8" t="inlineStr">
        <is>
          <t>IV6802112</t>
        </is>
      </c>
      <c r="L1994" s="8" t="inlineStr">
        <is>
          <t>ราคารวม VAT แล้ว</t>
        </is>
      </c>
    </row>
    <row r="1995">
      <c r="B1995" s="6" t="inlineStr">
        <is>
          <t>แม่สี ดำเข้มอมน้ำตาล Hybrid S171</t>
        </is>
      </c>
      <c r="C1995" s="8" t="n">
        <v>4</v>
      </c>
      <c r="D1995" s="9" t="n">
        <v>2621.5</v>
      </c>
      <c r="H1995" s="9">
        <f>SUM(D1995*C1995)</f>
        <v/>
      </c>
      <c r="I1995" s="10" t="inlineStr">
        <is>
          <t>บจก. วีที คัลเลอร์ โปร</t>
        </is>
      </c>
      <c r="J1995" s="161" t="n">
        <v>24923</v>
      </c>
      <c r="K1995" s="8" t="inlineStr">
        <is>
          <t>IV6803171</t>
        </is>
      </c>
      <c r="L1995" s="8" t="inlineStr">
        <is>
          <t>ราคารวม VAT แล้ว</t>
        </is>
      </c>
    </row>
    <row r="1996">
      <c r="B1996" s="6" t="inlineStr">
        <is>
          <t>แม่สี ดำเข้มอมน้ำตาล Hybrid S171</t>
        </is>
      </c>
      <c r="C1996" s="8" t="n">
        <v>4</v>
      </c>
      <c r="D1996" s="9" t="n">
        <v>2450</v>
      </c>
      <c r="E1996" s="9">
        <f>SUM(C1996*D1996)</f>
        <v/>
      </c>
      <c r="H1996" s="9">
        <f>SUM(E1996*O1996/N1996)</f>
        <v/>
      </c>
      <c r="I1996" s="10" t="inlineStr">
        <is>
          <t>บจก. วีที คัลเลอร์ โปร</t>
        </is>
      </c>
      <c r="J1996" s="161" t="n">
        <v>24979</v>
      </c>
      <c r="K1996" s="8" t="inlineStr">
        <is>
          <t>IV6805147</t>
        </is>
      </c>
      <c r="L1996" s="8" t="inlineStr">
        <is>
          <t>ราคารวม VAT แล้ว</t>
        </is>
      </c>
      <c r="N1996" s="6" t="n">
        <v>100</v>
      </c>
      <c r="O1996" s="6" t="n">
        <v>107</v>
      </c>
    </row>
    <row r="1997">
      <c r="B1997" s="6" t="inlineStr">
        <is>
          <t>แม่สี ดำเข้มอมน้ำตาล Hybrid S171</t>
        </is>
      </c>
      <c r="C1997" s="8" t="n">
        <v>2</v>
      </c>
      <c r="D1997" s="9" t="n">
        <v>2450</v>
      </c>
      <c r="E1997" s="9">
        <f>SUM(D1997*C1997)</f>
        <v/>
      </c>
      <c r="F1997" s="8" t="n">
        <v>0.07000000000000001</v>
      </c>
      <c r="G1997" s="10" t="inlineStr">
        <is>
          <t>รวม VAT =</t>
        </is>
      </c>
      <c r="H1997" s="9">
        <f>SUM(E1997+N1997)</f>
        <v/>
      </c>
      <c r="I1997" s="10" t="inlineStr">
        <is>
          <t>บจก. วีที คัลเลอร์ โปร</t>
        </is>
      </c>
      <c r="J1997" s="161" t="n">
        <v>25063</v>
      </c>
      <c r="K1997" s="8" t="inlineStr">
        <is>
          <t>IV6808072</t>
        </is>
      </c>
      <c r="N1997" s="6">
        <f>SUM(E1997*F1997)</f>
        <v/>
      </c>
    </row>
    <row r="1998">
      <c r="B1998" s="6" t="inlineStr">
        <is>
          <t>แม่สี ดำเข้มอมน้ำตาล Hybrid S171</t>
        </is>
      </c>
      <c r="C1998" s="8" t="n">
        <v>3</v>
      </c>
      <c r="D1998" s="9" t="n">
        <v>2450</v>
      </c>
      <c r="E1998" s="9">
        <f>SUM(D1998*C1998)</f>
        <v/>
      </c>
      <c r="F1998" s="8" t="n">
        <v>0.07000000000000001</v>
      </c>
      <c r="G1998" s="10" t="inlineStr">
        <is>
          <t>รวม VAT =</t>
        </is>
      </c>
      <c r="H1998" s="9">
        <f>SUM(E1998+N1998)</f>
        <v/>
      </c>
      <c r="I1998" s="10" t="inlineStr">
        <is>
          <t>บจก. วีที คัลเลอร์ โปร</t>
        </is>
      </c>
      <c r="J1998" s="161" t="n">
        <v>25015</v>
      </c>
      <c r="K1998" s="8" t="inlineStr">
        <is>
          <t>IV6806175</t>
        </is>
      </c>
      <c r="N1998" s="6">
        <f>SUM(E1998*F1998)</f>
        <v/>
      </c>
    </row>
    <row r="1999">
      <c r="B1999" s="6" t="inlineStr">
        <is>
          <t>แม่สี ดำเข้มอมน้ำตาล Hybrid S171</t>
        </is>
      </c>
      <c r="C1999" s="8" t="n">
        <v>4</v>
      </c>
      <c r="D1999" s="9" t="n">
        <v>2450</v>
      </c>
      <c r="E1999" s="9">
        <f>SUM(D1999*C1999)</f>
        <v/>
      </c>
      <c r="F1999" s="8" t="n">
        <v>0.07000000000000001</v>
      </c>
      <c r="G1999" s="10" t="inlineStr">
        <is>
          <t>รวม VAT =</t>
        </is>
      </c>
      <c r="H1999" s="9">
        <f>SUM(E1999+N1999)</f>
        <v/>
      </c>
      <c r="I1999" s="10" t="inlineStr">
        <is>
          <t>บจก. วีที คัลเลอร์ โปร</t>
        </is>
      </c>
      <c r="J1999" s="161" t="n">
        <v>25042</v>
      </c>
      <c r="K1999" s="8" t="inlineStr">
        <is>
          <t>IV6807180</t>
        </is>
      </c>
      <c r="N1999" s="6">
        <f>SUM(E1999*F1999)</f>
        <v/>
      </c>
    </row>
    <row r="2000">
      <c r="B2000" s="6" t="inlineStr">
        <is>
          <t>แม่สี ดำเข้มอมน้ำตาล Hybrid S171</t>
        </is>
      </c>
      <c r="C2000" s="8" t="n">
        <v>6</v>
      </c>
      <c r="D2000" s="9" t="n">
        <v>2450</v>
      </c>
      <c r="E2000" s="9">
        <f>SUM(D2000*C2000)</f>
        <v/>
      </c>
      <c r="F2000" s="8" t="n">
        <v>0.07000000000000001</v>
      </c>
      <c r="G2000" s="10" t="inlineStr">
        <is>
          <t>รวม VAT =</t>
        </is>
      </c>
      <c r="H2000" s="9">
        <f>SUM(E2000+N2000)</f>
        <v/>
      </c>
      <c r="I2000" s="10" t="inlineStr">
        <is>
          <t>บจก. วีที คัลเลอร์ โปร</t>
        </is>
      </c>
      <c r="J2000" s="161" t="n">
        <v>25073</v>
      </c>
      <c r="K2000" s="8" t="inlineStr">
        <is>
          <t>IV6808151</t>
        </is>
      </c>
      <c r="N2000" s="6">
        <f>SUM(E2000*F2000)</f>
        <v/>
      </c>
    </row>
    <row r="2001">
      <c r="A2001" s="70" t="n"/>
      <c r="B2001" s="6" t="inlineStr">
        <is>
          <t>แม่สี ดำเข้มอมน้ำตาล Hybrid S171</t>
        </is>
      </c>
      <c r="C2001" s="8" t="n">
        <v>4</v>
      </c>
      <c r="D2001" s="9" t="n">
        <v>2450</v>
      </c>
      <c r="E2001" s="9">
        <f>SUM(C2001*D2001)</f>
        <v/>
      </c>
      <c r="H2001" s="9">
        <f>SUM(E2001*107/100)</f>
        <v/>
      </c>
      <c r="I2001" s="10" t="inlineStr">
        <is>
          <t>บจก. วีที คัลเลอร์ โปร</t>
        </is>
      </c>
      <c r="J2001" s="161" t="n">
        <v>25127</v>
      </c>
      <c r="K2001" s="8" t="inlineStr">
        <is>
          <t>IV6810110</t>
        </is>
      </c>
      <c r="L2001" s="8" t="inlineStr">
        <is>
          <t>ราคาที่ลง ยังไม่รวมภาษี</t>
        </is>
      </c>
    </row>
    <row r="2002">
      <c r="B2002" s="6" t="inlineStr">
        <is>
          <t>แม่สี ดำเข้มอมน้ำตาล Hybrid S171</t>
        </is>
      </c>
      <c r="C2002" s="8" t="n">
        <v>3</v>
      </c>
      <c r="D2002" s="9" t="n">
        <v>2450</v>
      </c>
      <c r="E2002" s="9">
        <f>SUM(D2002*C2002)</f>
        <v/>
      </c>
      <c r="F2002" s="8" t="n">
        <v>0.07000000000000001</v>
      </c>
      <c r="G2002" s="10" t="inlineStr">
        <is>
          <t>รวม VAT =</t>
        </is>
      </c>
      <c r="H2002" s="9">
        <f>SUM(E2002+N2002)</f>
        <v/>
      </c>
      <c r="I2002" s="10" t="inlineStr">
        <is>
          <t>บจก. วีที คัลเลอร์ โปร</t>
        </is>
      </c>
      <c r="J2002" s="161" t="n">
        <v>25168</v>
      </c>
      <c r="K2002" s="8" t="inlineStr">
        <is>
          <t>IV6811188</t>
        </is>
      </c>
      <c r="N2002" s="6">
        <f>SUM(E2002*F2002)</f>
        <v/>
      </c>
    </row>
    <row r="2004">
      <c r="B2004" s="6" t="inlineStr">
        <is>
          <t>แม่สี เขียวอมเหลือง SC-173</t>
        </is>
      </c>
      <c r="C2004" s="8" t="inlineStr">
        <is>
          <t>1กป.</t>
        </is>
      </c>
      <c r="D2004" s="9" t="n">
        <v>750</v>
      </c>
      <c r="H2004" s="9" t="n">
        <v>750</v>
      </c>
      <c r="I2004" s="10" t="inlineStr">
        <is>
          <t>บจก. วีที คัลเลอร์ โปร</t>
        </is>
      </c>
      <c r="J2004" s="161" t="n">
        <v>24127</v>
      </c>
      <c r="K2004" s="8" t="inlineStr">
        <is>
          <t>IV041-66</t>
        </is>
      </c>
      <c r="L2004" s="8" t="inlineStr">
        <is>
          <t>ราคาที่ระบุ ยังไม่รวม VAT7%</t>
        </is>
      </c>
    </row>
    <row r="2005">
      <c r="B2005" s="6" t="inlineStr">
        <is>
          <t>แม่สี เขียวอมเหลือง SC-173</t>
        </is>
      </c>
      <c r="C2005" s="8" t="inlineStr">
        <is>
          <t>2กป.</t>
        </is>
      </c>
      <c r="D2005" s="9" t="n">
        <v>750</v>
      </c>
      <c r="H2005" s="9" t="n">
        <v>1500</v>
      </c>
      <c r="I2005" s="10" t="inlineStr">
        <is>
          <t>บจก. วีที คัลเลอร์ โปร</t>
        </is>
      </c>
      <c r="J2005" s="161" t="n">
        <v>24282</v>
      </c>
      <c r="K2005" s="8" t="inlineStr">
        <is>
          <t>IV352-66</t>
        </is>
      </c>
      <c r="L2005" s="8" t="inlineStr">
        <is>
          <t>ราคาที่ระบุ ยังไม่รวม VAT7%</t>
        </is>
      </c>
    </row>
    <row r="2006">
      <c r="B2006" s="6" t="inlineStr">
        <is>
          <t>แม่สี เขียวอมเหลือง S173</t>
        </is>
      </c>
      <c r="C2006" s="8" t="n">
        <v>2</v>
      </c>
      <c r="D2006" s="9" t="n">
        <v>750</v>
      </c>
      <c r="H2006" s="9">
        <f>SUM(D2006*C2006)</f>
        <v/>
      </c>
      <c r="I2006" s="10" t="inlineStr">
        <is>
          <t>บจก. วีที คัลเลอร์ โปร</t>
        </is>
      </c>
      <c r="J2006" s="161" t="n">
        <v>24396</v>
      </c>
      <c r="K2006" s="8" t="inlineStr">
        <is>
          <t>IV591-66</t>
        </is>
      </c>
      <c r="L2006" s="8" t="inlineStr">
        <is>
          <t>ราคาที่ระบุ ยังไม่รวม VAT7%</t>
        </is>
      </c>
    </row>
    <row r="2007">
      <c r="B2007" s="6" t="inlineStr">
        <is>
          <t>แม่สี เขียวอมเหลือง S173</t>
        </is>
      </c>
      <c r="C2007" s="8" t="n">
        <v>1</v>
      </c>
      <c r="D2007" s="9" t="n">
        <v>750</v>
      </c>
      <c r="H2007" s="9">
        <f>SUM(D2007*C2007)</f>
        <v/>
      </c>
      <c r="I2007" s="10" t="inlineStr">
        <is>
          <t>บจก. วีที คัลเลอร์ โปร</t>
        </is>
      </c>
      <c r="J2007" s="161" t="n">
        <v>24600</v>
      </c>
      <c r="K2007" s="8" t="inlineStr">
        <is>
          <t>IV6705049</t>
        </is>
      </c>
      <c r="L2007" s="8" t="inlineStr">
        <is>
          <t>ราคาที่ระบุ ยังไม่รวม VAT7%</t>
        </is>
      </c>
    </row>
    <row r="2008">
      <c r="B2008" s="6" t="inlineStr">
        <is>
          <t>แม่สี เขียวอมเหลือง Hybrid S173</t>
        </is>
      </c>
      <c r="C2008" s="8" t="n">
        <v>1</v>
      </c>
      <c r="D2008" s="9" t="n">
        <v>750</v>
      </c>
      <c r="H2008" s="9">
        <f>SUM(D2008*C2008)</f>
        <v/>
      </c>
      <c r="I2008" s="10" t="inlineStr">
        <is>
          <t>บจก. วีที คัลเลอร์ โปร</t>
        </is>
      </c>
      <c r="J2008" s="161" t="n">
        <v>24698</v>
      </c>
      <c r="K2008" s="8" t="inlineStr">
        <is>
          <t>IV6708064</t>
        </is>
      </c>
      <c r="L2008" s="8" t="inlineStr">
        <is>
          <t>ราคาที่ระบุ ยังไม่รวม VAT7%</t>
        </is>
      </c>
    </row>
    <row r="2009">
      <c r="B2009" s="6" t="inlineStr">
        <is>
          <t>แม่สี เขียวอมเหลือง Hybrid S173</t>
        </is>
      </c>
      <c r="C2009" s="8" t="n">
        <v>1</v>
      </c>
      <c r="D2009" s="9" t="n">
        <v>750</v>
      </c>
      <c r="H2009" s="9">
        <f>SUM(D2009*C2009)</f>
        <v/>
      </c>
      <c r="I2009" s="10" t="inlineStr">
        <is>
          <t>บจก. วีที คัลเลอร์ โปร</t>
        </is>
      </c>
      <c r="J2009" s="161" t="n">
        <v>24766</v>
      </c>
      <c r="K2009" s="8" t="inlineStr">
        <is>
          <t>IV6710109</t>
        </is>
      </c>
      <c r="L2009" s="8" t="inlineStr">
        <is>
          <t>ราคาที่ระบุ ยังไม่รวม VAT7%</t>
        </is>
      </c>
    </row>
    <row r="2010">
      <c r="B2010" s="6" t="inlineStr">
        <is>
          <t>แม่สี เขียวอมเหลือง Hybrid S173</t>
        </is>
      </c>
      <c r="C2010" s="8" t="n">
        <v>1</v>
      </c>
      <c r="D2010" s="9" t="n">
        <v>750</v>
      </c>
      <c r="E2010" s="9">
        <f>SUM(C2010*D2010)</f>
        <v/>
      </c>
      <c r="H2010" s="9">
        <f>SUM(E2010*O2010/N2010)</f>
        <v/>
      </c>
      <c r="I2010" s="10" t="inlineStr">
        <is>
          <t>บจก. วีที คัลเลอร์ โปร</t>
        </is>
      </c>
      <c r="J2010" s="161" t="n">
        <v>24979</v>
      </c>
      <c r="K2010" s="8" t="inlineStr">
        <is>
          <t>IV6805147</t>
        </is>
      </c>
      <c r="N2010" s="6" t="n">
        <v>100</v>
      </c>
      <c r="O2010" s="6" t="n">
        <v>107</v>
      </c>
    </row>
    <row r="2011">
      <c r="B2011" s="6" t="inlineStr">
        <is>
          <t>แม่สี เขียวอมเหลือง Hybrid S173</t>
        </is>
      </c>
      <c r="C2011" s="8" t="n">
        <v>1</v>
      </c>
      <c r="D2011" s="9" t="n">
        <v>750</v>
      </c>
      <c r="E2011" s="9">
        <f>SUM(D2011*C2011)</f>
        <v/>
      </c>
      <c r="F2011" s="8" t="n">
        <v>0.07000000000000001</v>
      </c>
      <c r="G2011" s="10" t="inlineStr">
        <is>
          <t>รวม VAT =</t>
        </is>
      </c>
      <c r="H2011" s="9">
        <f>SUM(E2011+N2011)</f>
        <v/>
      </c>
      <c r="I2011" s="10" t="inlineStr">
        <is>
          <t>บจก. วีที คัลเลอร์ โปร</t>
        </is>
      </c>
      <c r="J2011" s="161" t="n">
        <v>25063</v>
      </c>
      <c r="K2011" s="8" t="inlineStr">
        <is>
          <t>IV6808072</t>
        </is>
      </c>
      <c r="L2011" s="8" t="inlineStr">
        <is>
          <t>ราคาที่ระบุ ยังไม่รวม VAT7%</t>
        </is>
      </c>
      <c r="N2011" s="6">
        <f>SUM(E2011*F2011)</f>
        <v/>
      </c>
    </row>
    <row r="2012">
      <c r="A2012" s="70" t="n"/>
      <c r="B2012" s="6" t="inlineStr">
        <is>
          <t>แม่สี เขียวอมเหลือง Hybrid S173</t>
        </is>
      </c>
      <c r="C2012" s="8" t="n">
        <v>2</v>
      </c>
      <c r="D2012" s="9" t="n">
        <v>750</v>
      </c>
      <c r="E2012" s="9">
        <f>SUM(C2012*D2012)</f>
        <v/>
      </c>
      <c r="H2012" s="9">
        <f>SUM(E2012*107/100)</f>
        <v/>
      </c>
      <c r="I2012" s="10" t="inlineStr">
        <is>
          <t>บจก. วีที คัลเลอร์ โปร</t>
        </is>
      </c>
      <c r="J2012" s="161" t="n">
        <v>25127</v>
      </c>
      <c r="K2012" s="8" t="inlineStr">
        <is>
          <t>IV6810110</t>
        </is>
      </c>
      <c r="L2012" s="8" t="inlineStr">
        <is>
          <t>ราคาที่ลง ยังไม่รวมภาษี</t>
        </is>
      </c>
    </row>
    <row r="2014">
      <c r="B2014" s="6" t="inlineStr">
        <is>
          <t>แม่สี เหลืองมัสตาด SC-174</t>
        </is>
      </c>
      <c r="C2014" s="8" t="inlineStr">
        <is>
          <t>1กป.</t>
        </is>
      </c>
      <c r="D2014" s="9" t="n">
        <v>750</v>
      </c>
      <c r="H2014" s="9" t="n">
        <v>750</v>
      </c>
      <c r="I2014" s="10" t="inlineStr">
        <is>
          <t>บจก. วีที คัลเลอร์ โปร</t>
        </is>
      </c>
      <c r="J2014" s="161" t="n">
        <v>24127</v>
      </c>
      <c r="K2014" s="8" t="inlineStr">
        <is>
          <t>IV041-66</t>
        </is>
      </c>
      <c r="L2014" s="8" t="inlineStr">
        <is>
          <t>ราคาที่ระบุ ยังไม่รวม VAT7%</t>
        </is>
      </c>
    </row>
    <row r="2015">
      <c r="B2015" s="6" t="inlineStr">
        <is>
          <t>แม่สี เหลืองมัสตาด Hybrid S174</t>
        </is>
      </c>
      <c r="C2015" s="8" t="n">
        <v>1</v>
      </c>
      <c r="D2015" s="9" t="n">
        <v>750</v>
      </c>
      <c r="H2015" s="9">
        <f>SUM(D2015*C2015)</f>
        <v/>
      </c>
      <c r="I2015" s="10" t="inlineStr">
        <is>
          <t>บจก. วีที คัลเลอร์ โปร</t>
        </is>
      </c>
      <c r="J2015" s="161" t="n">
        <v>24404</v>
      </c>
      <c r="K2015" s="8" t="inlineStr">
        <is>
          <t>IV619-66</t>
        </is>
      </c>
      <c r="L2015" s="8" t="inlineStr">
        <is>
          <t>ราคาที่ระบุ ยังไม่รวม VAT7%</t>
        </is>
      </c>
    </row>
    <row r="2016">
      <c r="B2016" s="6" t="inlineStr">
        <is>
          <t>แม่สี เหลืองมัสตาด Hybrid S174</t>
        </is>
      </c>
      <c r="C2016" s="8" t="n">
        <v>1</v>
      </c>
      <c r="D2016" s="9" t="n">
        <v>750</v>
      </c>
      <c r="H2016" s="9">
        <f>SUM(D2016*C2016)</f>
        <v/>
      </c>
      <c r="I2016" s="10" t="inlineStr">
        <is>
          <t>บจก. วีที คัลเลอร์ โปร</t>
        </is>
      </c>
      <c r="J2016" s="161" t="n">
        <v>24550</v>
      </c>
      <c r="K2016" s="8" t="inlineStr">
        <is>
          <t>IV6703088</t>
        </is>
      </c>
      <c r="L2016" s="8" t="inlineStr">
        <is>
          <t>ราคาที่ระบุ ยังไม่รวม VAT7%</t>
        </is>
      </c>
    </row>
    <row r="2017">
      <c r="B2017" s="6" t="inlineStr">
        <is>
          <t>แม่สี เหลืองมัสตาด Hybrid S174</t>
        </is>
      </c>
      <c r="C2017" s="8" t="n">
        <v>1</v>
      </c>
      <c r="D2017" s="9" t="n">
        <v>750</v>
      </c>
      <c r="H2017" s="9">
        <f>SUM(D2017*C2017)</f>
        <v/>
      </c>
      <c r="I2017" s="10" t="inlineStr">
        <is>
          <t>บจก. วีที คัลเลอร์ โปร</t>
        </is>
      </c>
      <c r="J2017" s="161" t="n">
        <v>24731</v>
      </c>
      <c r="K2017" s="8" t="inlineStr">
        <is>
          <t>IV6709082</t>
        </is>
      </c>
      <c r="L2017" s="8" t="inlineStr">
        <is>
          <t>ราคาที่ระบุ ยังไม่รวม VAT7%</t>
        </is>
      </c>
    </row>
    <row r="2018">
      <c r="B2018" s="6" t="inlineStr">
        <is>
          <t>แม่สี เหลืองมัสตาด Hybrid S174</t>
        </is>
      </c>
      <c r="C2018" s="8" t="n">
        <v>1</v>
      </c>
      <c r="D2018" s="9" t="n">
        <v>750</v>
      </c>
      <c r="H2018" s="9">
        <f>SUM(D2018*C2018)</f>
        <v/>
      </c>
      <c r="I2018" s="10" t="inlineStr">
        <is>
          <t>บจก. วีที คัลเลอร์ โปร</t>
        </is>
      </c>
      <c r="J2018" s="161" t="n">
        <v>24766</v>
      </c>
      <c r="K2018" s="8" t="inlineStr">
        <is>
          <t>IV6710109</t>
        </is>
      </c>
      <c r="L2018" s="8" t="inlineStr">
        <is>
          <t>ราคาที่ระบุ ยังไม่รวม VAT7%</t>
        </is>
      </c>
    </row>
    <row r="2019">
      <c r="B2019" s="6" t="inlineStr">
        <is>
          <t>แม่สี เหลืองมัสตาด Hybrid S174</t>
        </is>
      </c>
      <c r="C2019" s="8" t="n">
        <v>1</v>
      </c>
      <c r="D2019" s="9" t="n">
        <v>750</v>
      </c>
      <c r="E2019" s="9">
        <f>SUM(C2019*D2019)</f>
        <v/>
      </c>
      <c r="H2019" s="9">
        <f>SUM(E2019*O2019/N2019)</f>
        <v/>
      </c>
      <c r="I2019" s="10" t="inlineStr">
        <is>
          <t>บจก. วีที คัลเลอร์ โปร</t>
        </is>
      </c>
      <c r="J2019" s="161" t="n">
        <v>24979</v>
      </c>
      <c r="K2019" s="8" t="inlineStr">
        <is>
          <t>IV6805147</t>
        </is>
      </c>
      <c r="N2019" s="6" t="n">
        <v>100</v>
      </c>
      <c r="O2019" s="6" t="n">
        <v>107</v>
      </c>
    </row>
    <row r="2020">
      <c r="B2020" s="6" t="inlineStr">
        <is>
          <t>แม่สี เหลืองมัสตาด Hybrid S174</t>
        </is>
      </c>
      <c r="C2020" s="8" t="n">
        <v>1</v>
      </c>
      <c r="D2020" s="9" t="n">
        <v>750</v>
      </c>
      <c r="E2020" s="9">
        <f>SUM(C2020*D2020)</f>
        <v/>
      </c>
      <c r="H2020" s="9">
        <f>SUM(E2020*O2020/N2020)</f>
        <v/>
      </c>
      <c r="I2020" s="10" t="inlineStr">
        <is>
          <t>บจก. วีที คัลเลอร์ โปร</t>
        </is>
      </c>
      <c r="J2020" s="161" t="n">
        <v>25112</v>
      </c>
      <c r="K2020" s="8" t="inlineStr">
        <is>
          <t>IV6810015</t>
        </is>
      </c>
      <c r="N2020" s="6" t="n">
        <v>100</v>
      </c>
      <c r="O2020" s="6" t="n">
        <v>107</v>
      </c>
    </row>
    <row r="2022">
      <c r="B2022" s="6" t="inlineStr">
        <is>
          <t>แม่สี เหลืองสด SC-175</t>
        </is>
      </c>
      <c r="C2022" s="8" t="inlineStr">
        <is>
          <t>1กป.</t>
        </is>
      </c>
      <c r="D2022" s="9" t="n">
        <v>750</v>
      </c>
      <c r="H2022" s="9" t="n">
        <v>750</v>
      </c>
      <c r="I2022" s="10" t="inlineStr">
        <is>
          <t>บจก. วีที คัลเลอร์ โปร</t>
        </is>
      </c>
      <c r="J2022" s="161" t="n">
        <v>24127</v>
      </c>
      <c r="K2022" s="8" t="inlineStr">
        <is>
          <t>IV041-66</t>
        </is>
      </c>
      <c r="L2022" s="8" t="inlineStr">
        <is>
          <t>ราคาที่ระบุ ยังไม่รวม VAT7%</t>
        </is>
      </c>
    </row>
    <row r="2023">
      <c r="B2023" s="6" t="inlineStr">
        <is>
          <t>แม่สี เหลืองสด SC-175</t>
        </is>
      </c>
      <c r="C2023" s="8" t="inlineStr">
        <is>
          <t>2กป.</t>
        </is>
      </c>
      <c r="D2023" s="9" t="n">
        <v>750</v>
      </c>
      <c r="H2023" s="9" t="n">
        <v>1500</v>
      </c>
      <c r="I2023" s="10" t="inlineStr">
        <is>
          <t>บจก. วีที คัลเลอร์ โปร</t>
        </is>
      </c>
      <c r="J2023" s="161" t="n">
        <v>24271</v>
      </c>
      <c r="K2023" s="8" t="inlineStr">
        <is>
          <t>IV329-66</t>
        </is>
      </c>
      <c r="L2023" s="8" t="inlineStr">
        <is>
          <t>ราคาที่ระบุ ยังไม่รวม VAT7%</t>
        </is>
      </c>
    </row>
    <row r="2024">
      <c r="B2024" s="6" t="inlineStr">
        <is>
          <t>แม่สี เหลืองสด HYBRID S175</t>
        </is>
      </c>
      <c r="C2024" s="8" t="n">
        <v>1</v>
      </c>
      <c r="D2024" s="9" t="n">
        <v>750</v>
      </c>
      <c r="H2024" s="9">
        <f>SUM(D2024*C2024)</f>
        <v/>
      </c>
      <c r="I2024" s="10" t="inlineStr">
        <is>
          <t>บจก. วีที คัลเลอร์ โปร</t>
        </is>
      </c>
      <c r="J2024" s="161" t="n">
        <v>24529</v>
      </c>
      <c r="K2024" s="8" t="inlineStr">
        <is>
          <t>IV6702103</t>
        </is>
      </c>
      <c r="L2024" s="8" t="inlineStr">
        <is>
          <t>ราคาที่ระบุ ยังไม่รวม VAT7%</t>
        </is>
      </c>
    </row>
    <row r="2025">
      <c r="B2025" s="6" t="inlineStr">
        <is>
          <t>แม่สี เหลืองสด HYBRID S175</t>
        </is>
      </c>
      <c r="C2025" s="8" t="n">
        <v>2</v>
      </c>
      <c r="D2025" s="9" t="n">
        <v>750</v>
      </c>
      <c r="H2025" s="9">
        <f>SUM(D2025*C2025)</f>
        <v/>
      </c>
      <c r="I2025" s="10" t="inlineStr">
        <is>
          <t>บจก. วีที คัลเลอร์ โปร</t>
        </is>
      </c>
      <c r="J2025" s="161" t="n">
        <v>24600</v>
      </c>
      <c r="K2025" s="8" t="inlineStr">
        <is>
          <t>IV6705049</t>
        </is>
      </c>
      <c r="L2025" s="8" t="inlineStr">
        <is>
          <t>ราคาที่ระบุ ยังไม่รวม VAT7%</t>
        </is>
      </c>
    </row>
    <row r="2026">
      <c r="B2026" s="6" t="inlineStr">
        <is>
          <t>แม่สี เหลืองสด HYBRID S175</t>
        </is>
      </c>
      <c r="C2026" s="8" t="n">
        <v>1</v>
      </c>
      <c r="D2026" s="9" t="n">
        <v>750</v>
      </c>
      <c r="E2026" s="9">
        <f>SUM(D2026*C2026)</f>
        <v/>
      </c>
      <c r="F2026" s="8" t="n">
        <v>0.07000000000000001</v>
      </c>
      <c r="G2026" s="10" t="inlineStr">
        <is>
          <t>รวม VAT =</t>
        </is>
      </c>
      <c r="H2026" s="9">
        <f>SUM(E2026+N2026)</f>
        <v/>
      </c>
      <c r="I2026" s="10" t="inlineStr">
        <is>
          <t>บจก. วีที คัลเลอร์ โปร</t>
        </is>
      </c>
      <c r="J2026" s="161" t="n">
        <v>25015</v>
      </c>
      <c r="K2026" s="8" t="inlineStr">
        <is>
          <t>IV6806175</t>
        </is>
      </c>
      <c r="L2026" s="8" t="inlineStr">
        <is>
          <t>ราคาที่ระบุ ยังไม่รวม VAT7%</t>
        </is>
      </c>
      <c r="N2026" s="6">
        <f>SUM(E2026*F2026)</f>
        <v/>
      </c>
    </row>
    <row r="2027">
      <c r="B2027" s="6" t="inlineStr">
        <is>
          <t>แม่สี เหลืองสด HYBRID S175</t>
        </is>
      </c>
      <c r="C2027" s="8" t="n">
        <v>2</v>
      </c>
      <c r="D2027" s="9" t="n">
        <v>750</v>
      </c>
      <c r="E2027" s="9">
        <f>SUM(D2027*C2027)</f>
        <v/>
      </c>
      <c r="F2027" s="8" t="n">
        <v>0.07000000000000001</v>
      </c>
      <c r="G2027" s="10" t="inlineStr">
        <is>
          <t>รวม VAT =</t>
        </is>
      </c>
      <c r="H2027" s="9">
        <f>SUM(E2027+N2027)</f>
        <v/>
      </c>
      <c r="I2027" s="10" t="inlineStr">
        <is>
          <t>บจก. วีที คัลเลอร์ โปร</t>
        </is>
      </c>
      <c r="J2027" s="161" t="n">
        <v>25042</v>
      </c>
      <c r="K2027" s="8" t="inlineStr">
        <is>
          <t>IV6807180</t>
        </is>
      </c>
      <c r="L2027" s="8" t="inlineStr">
        <is>
          <t>ราคาที่ระบุ ยังไม่รวม VAT7%</t>
        </is>
      </c>
      <c r="N2027" s="6">
        <f>SUM(E2027*F2027)</f>
        <v/>
      </c>
    </row>
    <row r="2028">
      <c r="B2028" s="6" t="inlineStr">
        <is>
          <t>แม่สี เหลืองสด HYBRID S175</t>
        </is>
      </c>
      <c r="C2028" s="8" t="n">
        <v>1</v>
      </c>
      <c r="D2028" s="9" t="n">
        <v>750</v>
      </c>
      <c r="E2028" s="9">
        <f>SUM(D2028*C2028)</f>
        <v/>
      </c>
      <c r="F2028" s="8" t="n">
        <v>0.07000000000000001</v>
      </c>
      <c r="G2028" s="10" t="inlineStr">
        <is>
          <t>รวม VAT =</t>
        </is>
      </c>
      <c r="H2028" s="9">
        <f>SUM(E2028+N2028)</f>
        <v/>
      </c>
      <c r="I2028" s="10" t="inlineStr">
        <is>
          <t>บจก. วีที คัลเลอร์ โปร</t>
        </is>
      </c>
      <c r="J2028" s="161" t="n">
        <v>25168</v>
      </c>
      <c r="K2028" s="8" t="inlineStr">
        <is>
          <t>IV6811188</t>
        </is>
      </c>
      <c r="N2028" s="6">
        <f>SUM(E2028*F2028)</f>
        <v/>
      </c>
    </row>
    <row r="2030">
      <c r="B2030" s="6" t="inlineStr">
        <is>
          <t>แม่สี แดงอมม่วง SC-176</t>
        </is>
      </c>
      <c r="C2030" s="8" t="inlineStr">
        <is>
          <t>1กป.</t>
        </is>
      </c>
      <c r="D2030" s="9" t="n">
        <v>750</v>
      </c>
      <c r="H2030" s="9" t="n">
        <v>750</v>
      </c>
      <c r="I2030" s="10" t="inlineStr">
        <is>
          <t>บจก. วีที คัลเลอร์ โปร</t>
        </is>
      </c>
      <c r="J2030" s="161" t="n">
        <v>24127</v>
      </c>
      <c r="K2030" s="8" t="inlineStr">
        <is>
          <t>IV041-66</t>
        </is>
      </c>
      <c r="L2030" s="8" t="inlineStr">
        <is>
          <t>ราคาที่ระบุ ยังไม่รวม VAT7%</t>
        </is>
      </c>
    </row>
    <row r="2031">
      <c r="B2031" s="6" t="inlineStr">
        <is>
          <t>แม่สี แดงอมม่วง SC-176</t>
        </is>
      </c>
      <c r="C2031" s="8" t="inlineStr">
        <is>
          <t>1กป.</t>
        </is>
      </c>
      <c r="D2031" s="9" t="n">
        <v>750</v>
      </c>
      <c r="H2031" s="9" t="n">
        <v>750</v>
      </c>
      <c r="I2031" s="10" t="inlineStr">
        <is>
          <t>บจก. วีที คัลเลอร์ โปร</t>
        </is>
      </c>
      <c r="J2031" s="161" t="n">
        <v>24282</v>
      </c>
      <c r="K2031" s="8" t="inlineStr">
        <is>
          <t>IV352-66</t>
        </is>
      </c>
      <c r="L2031" s="8" t="inlineStr">
        <is>
          <t>ราคาที่ระบุ ยังไม่รวม VAT7%</t>
        </is>
      </c>
    </row>
    <row r="2032">
      <c r="B2032" s="6" t="inlineStr">
        <is>
          <t>แม่สี แดงอมม่วง HYBRID S176</t>
        </is>
      </c>
      <c r="C2032" s="8" t="n">
        <v>1</v>
      </c>
      <c r="D2032" s="9" t="n">
        <v>750</v>
      </c>
      <c r="H2032" s="9">
        <f>SUM(D2032*C2032)</f>
        <v/>
      </c>
      <c r="I2032" s="10" t="inlineStr">
        <is>
          <t>บจก. วีที คัลเลอร์ โปร</t>
        </is>
      </c>
      <c r="J2032" s="161" t="n">
        <v>24644</v>
      </c>
      <c r="K2032" s="8" t="inlineStr">
        <is>
          <t>IV6706124</t>
        </is>
      </c>
      <c r="L2032" s="8" t="inlineStr">
        <is>
          <t>ราคาที่ระบุ ยังไม่รวม VAT7%</t>
        </is>
      </c>
    </row>
    <row r="2033">
      <c r="B2033" s="6" t="inlineStr">
        <is>
          <t>แม่สี แดงอมม่วง HYBRID S176</t>
        </is>
      </c>
      <c r="C2033" s="8" t="n">
        <v>1</v>
      </c>
      <c r="D2033" s="9" t="n">
        <v>802.5</v>
      </c>
      <c r="H2033" s="9">
        <f>SUM(D2033*C2033)</f>
        <v/>
      </c>
      <c r="I2033" s="10" t="inlineStr">
        <is>
          <t>บจก. วีที คัลเลอร์ โปร</t>
        </is>
      </c>
      <c r="J2033" s="161" t="n">
        <v>24858</v>
      </c>
      <c r="K2033" s="8" t="inlineStr">
        <is>
          <t>IV6801106</t>
        </is>
      </c>
      <c r="L2033" s="8" t="inlineStr">
        <is>
          <t>ราคารวม VAT แล้ว</t>
        </is>
      </c>
    </row>
    <row r="2034">
      <c r="B2034" s="6" t="inlineStr">
        <is>
          <t>แม่สี แดงอมม่วง HYBRID S176</t>
        </is>
      </c>
      <c r="C2034" s="8" t="n">
        <v>2</v>
      </c>
      <c r="D2034" s="9" t="n">
        <v>750</v>
      </c>
      <c r="E2034" s="9">
        <f>SUM(D2034*C2034)</f>
        <v/>
      </c>
      <c r="F2034" s="8" t="n">
        <v>0.07000000000000001</v>
      </c>
      <c r="G2034" s="10" t="inlineStr">
        <is>
          <t>รวม VAT =</t>
        </is>
      </c>
      <c r="H2034" s="9">
        <f>SUM(E2034+N2034)</f>
        <v/>
      </c>
      <c r="I2034" s="10" t="inlineStr">
        <is>
          <t>บจก. วีที คัลเลอร์ โปร</t>
        </is>
      </c>
      <c r="J2034" s="161" t="n">
        <v>25063</v>
      </c>
      <c r="K2034" s="8" t="inlineStr">
        <is>
          <t>IV6808072</t>
        </is>
      </c>
      <c r="L2034" s="8" t="inlineStr">
        <is>
          <t>ราคาที่ระบุ ยังไม่รวม VAT7%</t>
        </is>
      </c>
      <c r="N2034" s="6">
        <f>SUM(E2034*F2034)</f>
        <v/>
      </c>
    </row>
    <row r="2035">
      <c r="B2035" s="6" t="inlineStr">
        <is>
          <t>แม่สี แดงอมม่วง HYBRID S176</t>
        </is>
      </c>
      <c r="C2035" s="8" t="n">
        <v>2</v>
      </c>
      <c r="D2035" s="9" t="n">
        <v>750</v>
      </c>
      <c r="E2035" s="9">
        <f>SUM(D2035*C2035)</f>
        <v/>
      </c>
      <c r="F2035" s="8" t="n">
        <v>0.07000000000000001</v>
      </c>
      <c r="G2035" s="10" t="inlineStr">
        <is>
          <t>รวม VAT =</t>
        </is>
      </c>
      <c r="H2035" s="9">
        <f>SUM(E2035+N2035)</f>
        <v/>
      </c>
      <c r="I2035" s="10" t="inlineStr">
        <is>
          <t>บจก. วีที คัลเลอร์ โปร</t>
        </is>
      </c>
      <c r="J2035" s="161" t="n">
        <v>25042</v>
      </c>
      <c r="K2035" s="8" t="inlineStr">
        <is>
          <t>IV6807180</t>
        </is>
      </c>
      <c r="L2035" s="8" t="inlineStr">
        <is>
          <t>ราคาที่ระบุ ยังไม่รวม VAT7%</t>
        </is>
      </c>
      <c r="N2035" s="6">
        <f>SUM(E2035*F2035)</f>
        <v/>
      </c>
    </row>
    <row r="2036">
      <c r="B2036" s="6" t="inlineStr">
        <is>
          <t>แม่สี แดงอมม่วง HYBRID S176</t>
        </is>
      </c>
      <c r="C2036" s="8" t="n">
        <v>2</v>
      </c>
      <c r="D2036" s="9" t="n">
        <v>750</v>
      </c>
      <c r="E2036" s="9">
        <f>SUM(D2036*C2036)</f>
        <v/>
      </c>
      <c r="F2036" s="8" t="n">
        <v>0.07000000000000001</v>
      </c>
      <c r="G2036" s="10" t="inlineStr">
        <is>
          <t>รวม VAT =</t>
        </is>
      </c>
      <c r="H2036" s="9">
        <f>SUM(E2036+N2036)</f>
        <v/>
      </c>
      <c r="I2036" s="10" t="inlineStr">
        <is>
          <t>บจก. วีที คัลเลอร์ โปร</t>
        </is>
      </c>
      <c r="J2036" s="161" t="n">
        <v>25145</v>
      </c>
      <c r="K2036" s="8" t="inlineStr">
        <is>
          <t>IV6811023</t>
        </is>
      </c>
      <c r="L2036" s="8" t="inlineStr">
        <is>
          <t>ราคาที่ระบุ ยังไม่รวม VAT7%</t>
        </is>
      </c>
      <c r="N2036" s="6">
        <f>SUM(E2036*F2036)</f>
        <v/>
      </c>
    </row>
    <row r="2037">
      <c r="B2037" s="6" t="inlineStr">
        <is>
          <t>แม่สี แดงอมม่วง HYBRID S176</t>
        </is>
      </c>
      <c r="C2037" s="8" t="n">
        <v>1</v>
      </c>
      <c r="D2037" s="9" t="n">
        <v>750</v>
      </c>
      <c r="E2037" s="9">
        <f>SUM(D2037*C2037)</f>
        <v/>
      </c>
      <c r="F2037" s="8" t="n">
        <v>0.07000000000000001</v>
      </c>
      <c r="G2037" s="10" t="inlineStr">
        <is>
          <t>รวม VAT =</t>
        </is>
      </c>
      <c r="H2037" s="9">
        <f>SUM(E2037+N2037)</f>
        <v/>
      </c>
      <c r="I2037" s="10" t="inlineStr">
        <is>
          <t>บจก. วีที คัลเลอร์ โปร</t>
        </is>
      </c>
      <c r="J2037" s="161" t="n">
        <v>25168</v>
      </c>
      <c r="K2037" s="8" t="inlineStr">
        <is>
          <t>IV6811188</t>
        </is>
      </c>
      <c r="N2037" s="6">
        <f>SUM(E2037*F2037)</f>
        <v/>
      </c>
    </row>
    <row r="2039">
      <c r="B2039" s="6" t="inlineStr">
        <is>
          <t>แม่สี เหลืองทองโปร่งใส SC-181</t>
        </is>
      </c>
      <c r="C2039" s="8" t="inlineStr">
        <is>
          <t>1กป.</t>
        </is>
      </c>
      <c r="D2039" s="9" t="n">
        <v>750</v>
      </c>
      <c r="H2039" s="9" t="n">
        <v>750</v>
      </c>
      <c r="I2039" s="10" t="inlineStr">
        <is>
          <t>บจก. วีที คัลเลอร์ โปร</t>
        </is>
      </c>
      <c r="J2039" s="161" t="n">
        <v>24127</v>
      </c>
      <c r="K2039" s="8" t="inlineStr">
        <is>
          <t>IV041-66</t>
        </is>
      </c>
      <c r="L2039" s="8" t="inlineStr">
        <is>
          <t>ราคาที่ระบุ ยังไม่รวม VAT7%</t>
        </is>
      </c>
    </row>
    <row r="2040">
      <c r="B2040" s="6" t="inlineStr">
        <is>
          <t>แม่สี เหลืองทองโปร่งใส Hybrid S181</t>
        </is>
      </c>
      <c r="C2040" s="8" t="inlineStr">
        <is>
          <t>1กป.</t>
        </is>
      </c>
      <c r="D2040" s="9" t="n">
        <v>750</v>
      </c>
      <c r="H2040" s="9" t="n">
        <v>750</v>
      </c>
      <c r="I2040" s="10" t="inlineStr">
        <is>
          <t>บจก. วีที คัลเลอร์ โปร</t>
        </is>
      </c>
      <c r="J2040" s="161" t="n">
        <v>24315</v>
      </c>
      <c r="K2040" s="8" t="inlineStr">
        <is>
          <t>IV424-66</t>
        </is>
      </c>
      <c r="L2040" s="8" t="inlineStr">
        <is>
          <t>ราคาที่ระบุ ยังไม่รวม VAT7%</t>
        </is>
      </c>
    </row>
    <row r="2041">
      <c r="B2041" s="6" t="inlineStr">
        <is>
          <t>แม่สี เหลืองทองโปร่งใส Hybrid S181</t>
        </is>
      </c>
      <c r="C2041" s="8" t="n">
        <v>1</v>
      </c>
      <c r="D2041" s="9" t="n">
        <v>750</v>
      </c>
      <c r="H2041" s="9">
        <f>SUM(D2041*C2041)</f>
        <v/>
      </c>
      <c r="I2041" s="10" t="inlineStr">
        <is>
          <t>บจก. วีที คัลเลอร์ โปร</t>
        </is>
      </c>
      <c r="J2041" s="161" t="n">
        <v>24404</v>
      </c>
      <c r="K2041" s="8" t="inlineStr">
        <is>
          <t>IV619-66</t>
        </is>
      </c>
      <c r="L2041" s="8" t="inlineStr">
        <is>
          <t>ราคาที่ระบุ ยังไม่รวม VAT7%</t>
        </is>
      </c>
    </row>
    <row r="2042">
      <c r="B2042" s="6" t="inlineStr">
        <is>
          <t>แม่สี เหลืองทองโปร่งใส Hybrid S181</t>
        </is>
      </c>
      <c r="C2042" s="8" t="n">
        <v>1</v>
      </c>
      <c r="D2042" s="9" t="n">
        <v>750</v>
      </c>
      <c r="H2042" s="9">
        <f>SUM(D2042*C2042)</f>
        <v/>
      </c>
      <c r="I2042" s="10" t="inlineStr">
        <is>
          <t>บจก. วีที คัลเลอร์ โปร</t>
        </is>
      </c>
      <c r="J2042" s="161" t="n">
        <v>24462</v>
      </c>
      <c r="K2042" s="8" t="inlineStr">
        <is>
          <t>IV765-66</t>
        </is>
      </c>
      <c r="L2042" s="8" t="inlineStr">
        <is>
          <t>ราคาที่ระบุ ยังไม่รวม VAT7%</t>
        </is>
      </c>
    </row>
    <row r="2043">
      <c r="B2043" s="6" t="inlineStr">
        <is>
          <t>แม่สี เหลืองทองโปร่งใส Hybrid S181</t>
        </is>
      </c>
      <c r="C2043" s="8" t="n">
        <v>1</v>
      </c>
      <c r="D2043" s="9" t="n">
        <v>750</v>
      </c>
      <c r="H2043" s="9">
        <f>SUM(D2043*C2043)</f>
        <v/>
      </c>
      <c r="I2043" s="10" t="inlineStr">
        <is>
          <t>บจก. วีที คัลเลอร์ โปร</t>
        </is>
      </c>
      <c r="J2043" s="161" t="n">
        <v>24600</v>
      </c>
      <c r="K2043" s="8" t="inlineStr">
        <is>
          <t>IV6705049</t>
        </is>
      </c>
      <c r="L2043" s="8" t="inlineStr">
        <is>
          <t>ราคาที่ระบุ ยังไม่รวม VAT7%</t>
        </is>
      </c>
    </row>
    <row r="2044">
      <c r="B2044" s="6" t="inlineStr">
        <is>
          <t>แม่สี เหลืองทองโปร่งใส Hybrid S181</t>
        </is>
      </c>
      <c r="C2044" s="8" t="n">
        <v>1</v>
      </c>
      <c r="D2044" s="9" t="n">
        <v>750</v>
      </c>
      <c r="H2044" s="9">
        <f>SUM(D2044*C2044)</f>
        <v/>
      </c>
      <c r="I2044" s="10" t="inlineStr">
        <is>
          <t>บจก. วีที คัลเลอร์ โปร</t>
        </is>
      </c>
      <c r="J2044" s="161" t="n">
        <v>24550</v>
      </c>
      <c r="K2044" s="8" t="inlineStr">
        <is>
          <t>IV6703088</t>
        </is>
      </c>
      <c r="L2044" s="8" t="inlineStr">
        <is>
          <t>ราคาที่ระบุ ยังไม่รวม VAT7%</t>
        </is>
      </c>
    </row>
    <row r="2045">
      <c r="B2045" s="6" t="inlineStr">
        <is>
          <t>แม่สี เหลืองทองโปร่งใส Hybrid S181</t>
        </is>
      </c>
      <c r="C2045" s="8" t="n">
        <v>1</v>
      </c>
      <c r="D2045" s="9" t="n">
        <v>750</v>
      </c>
      <c r="H2045" s="9">
        <f>SUM(D2045*C2045)</f>
        <v/>
      </c>
      <c r="I2045" s="10" t="inlineStr">
        <is>
          <t>บจก. วีที คัลเลอร์ โปร</t>
        </is>
      </c>
      <c r="J2045" s="161" t="n">
        <v>24664</v>
      </c>
      <c r="K2045" s="8" t="inlineStr">
        <is>
          <t>IV6707082</t>
        </is>
      </c>
      <c r="L2045" s="8" t="inlineStr">
        <is>
          <t>ราคาที่ระบุ ยังไม่รวม VAT7%</t>
        </is>
      </c>
    </row>
    <row r="2046">
      <c r="B2046" s="6" t="inlineStr">
        <is>
          <t>แม่สี เหลืองทองโปร่งใส Hybrid S181</t>
        </is>
      </c>
      <c r="C2046" s="8" t="n">
        <v>1</v>
      </c>
      <c r="D2046" s="9" t="n">
        <v>750</v>
      </c>
      <c r="H2046" s="9">
        <f>SUM(D2046*C2046)</f>
        <v/>
      </c>
      <c r="I2046" s="10" t="inlineStr">
        <is>
          <t>บจก. วีที คัลเลอร์ โปร</t>
        </is>
      </c>
      <c r="J2046" s="161" t="n">
        <v>24676</v>
      </c>
      <c r="K2046" s="8" t="inlineStr">
        <is>
          <t>IV6707130</t>
        </is>
      </c>
      <c r="L2046" s="8" t="inlineStr">
        <is>
          <t>ราคาที่ระบุ ยังไม่รวม VAT7%</t>
        </is>
      </c>
    </row>
    <row r="2047">
      <c r="B2047" s="6" t="inlineStr">
        <is>
          <t>แม่สี เหลืองทองโปร่งใส Hybrid S181</t>
        </is>
      </c>
      <c r="C2047" s="8" t="n">
        <v>1</v>
      </c>
      <c r="D2047" s="9" t="n">
        <v>750</v>
      </c>
      <c r="H2047" s="9">
        <f>SUM(D2047*C2047)</f>
        <v/>
      </c>
      <c r="I2047" s="10" t="inlineStr">
        <is>
          <t>บจก. วีที คัลเลอร์ โปร</t>
        </is>
      </c>
      <c r="J2047" s="161" t="n">
        <v>24707</v>
      </c>
      <c r="K2047" s="8" t="inlineStr">
        <is>
          <t>IV6708116</t>
        </is>
      </c>
      <c r="L2047" s="8" t="inlineStr">
        <is>
          <t>ราคาที่ระบุ ยังไม่รวม VAT7%</t>
        </is>
      </c>
    </row>
    <row r="2048">
      <c r="B2048" s="6" t="inlineStr">
        <is>
          <t>แม่สี เหลืองทองโปร่งใส Hybrid S181</t>
        </is>
      </c>
      <c r="C2048" s="8" t="n">
        <v>1</v>
      </c>
      <c r="D2048" s="9" t="n">
        <v>750</v>
      </c>
      <c r="H2048" s="9">
        <f>SUM(D2048*C2048)</f>
        <v/>
      </c>
      <c r="I2048" s="10" t="inlineStr">
        <is>
          <t>บจก. วีที คัลเลอร์ โปร</t>
        </is>
      </c>
      <c r="J2048" s="161" t="n">
        <v>24766</v>
      </c>
      <c r="K2048" s="8" t="inlineStr">
        <is>
          <t>IV6710109</t>
        </is>
      </c>
      <c r="L2048" s="8" t="inlineStr">
        <is>
          <t>ราคาที่ระบุ ยังไม่รวม VAT7%</t>
        </is>
      </c>
    </row>
    <row r="2049">
      <c r="B2049" s="6" t="inlineStr">
        <is>
          <t>แม่สี เหลืองทองโปร่งใส Hybrid S181</t>
        </is>
      </c>
      <c r="C2049" s="8" t="n">
        <v>2</v>
      </c>
      <c r="D2049" s="9" t="n">
        <v>802.5</v>
      </c>
      <c r="H2049" s="9">
        <f>SUM(D2049*C2049)</f>
        <v/>
      </c>
      <c r="I2049" s="10" t="inlineStr">
        <is>
          <t>บจก. วีที คัลเลอร์ โปร</t>
        </is>
      </c>
      <c r="J2049" s="161" t="n">
        <v>24892</v>
      </c>
      <c r="K2049" s="8" t="inlineStr">
        <is>
          <t>IV6802144</t>
        </is>
      </c>
      <c r="L2049" s="8" t="inlineStr">
        <is>
          <t>ราคารวม VAT แล้ว</t>
        </is>
      </c>
    </row>
    <row r="2050">
      <c r="B2050" s="6" t="inlineStr">
        <is>
          <t>แม่สี เหลืองทองโปร่งใส Hybrid S181</t>
        </is>
      </c>
      <c r="C2050" s="8" t="n">
        <v>1</v>
      </c>
      <c r="D2050" s="9" t="n">
        <v>750</v>
      </c>
      <c r="E2050" s="9">
        <f>SUM(C2050*D2050)</f>
        <v/>
      </c>
      <c r="H2050" s="9">
        <f>SUM(E2050*O2050/N2050)</f>
        <v/>
      </c>
      <c r="I2050" s="10" t="inlineStr">
        <is>
          <t>บจก. วีที คัลเลอร์ โปร</t>
        </is>
      </c>
      <c r="J2050" s="161" t="n">
        <v>24979</v>
      </c>
      <c r="K2050" s="8" t="inlineStr">
        <is>
          <t>IV6805147</t>
        </is>
      </c>
      <c r="N2050" s="6" t="n">
        <v>100</v>
      </c>
      <c r="O2050" s="6" t="n">
        <v>107</v>
      </c>
    </row>
    <row r="2051">
      <c r="B2051" s="6" t="inlineStr">
        <is>
          <t>แม่สี เหลืองทองโปร่งใส Hybrid S181</t>
        </is>
      </c>
      <c r="C2051" s="8" t="n">
        <v>1</v>
      </c>
      <c r="D2051" s="9" t="n">
        <v>750</v>
      </c>
      <c r="E2051" s="9">
        <f>SUM(D2051*C2051)</f>
        <v/>
      </c>
      <c r="F2051" s="8" t="n">
        <v>0.07000000000000001</v>
      </c>
      <c r="G2051" s="10" t="inlineStr">
        <is>
          <t>รวม VAT =</t>
        </is>
      </c>
      <c r="H2051" s="9">
        <f>SUM(E2051+N2051)</f>
        <v/>
      </c>
      <c r="I2051" s="10" t="inlineStr">
        <is>
          <t>บจก. วีที คัลเลอร์ โปร</t>
        </is>
      </c>
      <c r="J2051" s="161" t="n">
        <v>25015</v>
      </c>
      <c r="K2051" s="8" t="inlineStr">
        <is>
          <t>IV6806175</t>
        </is>
      </c>
      <c r="N2051" s="6">
        <f>SUM(E2051*F2051)</f>
        <v/>
      </c>
    </row>
    <row r="2052">
      <c r="B2052" s="6" t="inlineStr">
        <is>
          <t>แม่สี เหลืองทองโปร่งใส Hybrid S181</t>
        </is>
      </c>
      <c r="C2052" s="8" t="n">
        <v>2</v>
      </c>
      <c r="D2052" s="9" t="n">
        <v>750</v>
      </c>
      <c r="E2052" s="9">
        <f>SUM(D2052*C2052)</f>
        <v/>
      </c>
      <c r="F2052" s="8" t="n">
        <v>0.07000000000000001</v>
      </c>
      <c r="G2052" s="10" t="inlineStr">
        <is>
          <t>รวม VAT =</t>
        </is>
      </c>
      <c r="H2052" s="9">
        <f>SUM(E2052+N2052)</f>
        <v/>
      </c>
      <c r="I2052" s="10" t="inlineStr">
        <is>
          <t>บจก. วีที คัลเลอร์ โปร</t>
        </is>
      </c>
      <c r="J2052" s="161" t="n">
        <v>25073</v>
      </c>
      <c r="K2052" s="8" t="inlineStr">
        <is>
          <t>IV6808151</t>
        </is>
      </c>
      <c r="N2052" s="6">
        <f>SUM(E2052*F2052)</f>
        <v/>
      </c>
    </row>
    <row r="2053">
      <c r="B2053" s="6" t="inlineStr">
        <is>
          <t>แม่สี เหลืองทองโปร่งใส Hybrid S181</t>
        </is>
      </c>
      <c r="C2053" s="8" t="n">
        <v>2</v>
      </c>
      <c r="D2053" s="9" t="n">
        <v>750</v>
      </c>
      <c r="E2053" s="9">
        <f>SUM(D2053*C2053)</f>
        <v/>
      </c>
      <c r="F2053" s="8" t="n">
        <v>0.07000000000000001</v>
      </c>
      <c r="G2053" s="10" t="inlineStr">
        <is>
          <t>รวม VAT =</t>
        </is>
      </c>
      <c r="H2053" s="9">
        <f>SUM(E2053+N2053)</f>
        <v/>
      </c>
      <c r="I2053" s="10" t="inlineStr">
        <is>
          <t>บจก. วีที คัลเลอร์ โปร</t>
        </is>
      </c>
      <c r="J2053" s="161" t="n">
        <v>25112</v>
      </c>
      <c r="K2053" s="8" t="inlineStr">
        <is>
          <t>IV6810015</t>
        </is>
      </c>
      <c r="N2053" s="6">
        <f>SUM(E2053*F2053)</f>
        <v/>
      </c>
    </row>
    <row r="2054">
      <c r="B2054" s="6" t="inlineStr">
        <is>
          <t>แม่สี เหลืองทองโปร่งใส Hybrid S181</t>
        </is>
      </c>
      <c r="C2054" s="8" t="n">
        <v>2</v>
      </c>
      <c r="D2054" s="9" t="n">
        <v>750</v>
      </c>
      <c r="E2054" s="9">
        <f>SUM(D2054*C2054)</f>
        <v/>
      </c>
      <c r="F2054" s="8" t="n">
        <v>0.07000000000000001</v>
      </c>
      <c r="G2054" s="10" t="inlineStr">
        <is>
          <t>รวม VAT =</t>
        </is>
      </c>
      <c r="H2054" s="9">
        <f>SUM(E2054+N2054)</f>
        <v/>
      </c>
      <c r="I2054" s="10" t="inlineStr">
        <is>
          <t>บจก. วีที คัลเลอร์ โปร</t>
        </is>
      </c>
      <c r="J2054" s="161" t="n">
        <v>25168</v>
      </c>
      <c r="K2054" s="8" t="inlineStr">
        <is>
          <t>IV6811188</t>
        </is>
      </c>
      <c r="N2054" s="6">
        <f>SUM(E2054*F2054)</f>
        <v/>
      </c>
    </row>
    <row r="2056">
      <c r="B2056" s="6" t="inlineStr">
        <is>
          <t>แม่สี เหลืองทองโปร่งใส Hybrid S182</t>
        </is>
      </c>
      <c r="C2056" s="8" t="n">
        <v>1</v>
      </c>
      <c r="D2056" s="9" t="n">
        <v>750</v>
      </c>
      <c r="H2056" s="9">
        <f>SUM(D2056*C2056)</f>
        <v/>
      </c>
      <c r="I2056" s="10" t="inlineStr">
        <is>
          <t>บจก. วีที คัลเลอร์ โปร</t>
        </is>
      </c>
      <c r="J2056" s="161" t="n">
        <v>24739</v>
      </c>
      <c r="K2056" s="8" t="inlineStr">
        <is>
          <t>IV6709122</t>
        </is>
      </c>
      <c r="L2056" s="8" t="inlineStr">
        <is>
          <t>ราคาที่ระบุ ยังไม่รวม VAT7%</t>
        </is>
      </c>
    </row>
    <row r="2057">
      <c r="B2057" s="6" t="inlineStr">
        <is>
          <t>แม่สี เหลืองทองโปร่งใส Hybrid S182</t>
        </is>
      </c>
      <c r="C2057" s="8" t="n">
        <v>1</v>
      </c>
      <c r="D2057" s="9" t="n">
        <v>802.5</v>
      </c>
      <c r="H2057" s="9">
        <f>SUM(D2057*C2057)</f>
        <v/>
      </c>
      <c r="I2057" s="10" t="inlineStr">
        <is>
          <t>บจก. วีที คัลเลอร์ โปร</t>
        </is>
      </c>
      <c r="J2057" s="161" t="n">
        <v>24923</v>
      </c>
      <c r="K2057" s="8" t="inlineStr">
        <is>
          <t>IV6803171</t>
        </is>
      </c>
      <c r="L2057" s="8" t="inlineStr">
        <is>
          <t>ราคารวม VAT แล้ว</t>
        </is>
      </c>
    </row>
    <row r="2058">
      <c r="B2058" s="6" t="inlineStr">
        <is>
          <t>แม่สี เหลืองทองโปร่งใส Hybrid S182</t>
        </is>
      </c>
      <c r="C2058" s="8" t="n">
        <v>1</v>
      </c>
      <c r="D2058" s="9" t="n">
        <v>750</v>
      </c>
      <c r="E2058" s="9">
        <f>SUM(C2058*D2058)</f>
        <v/>
      </c>
      <c r="G2058" s="10" t="inlineStr">
        <is>
          <t>ยอดรวม VAT =</t>
        </is>
      </c>
      <c r="H2058" s="9">
        <f>SUM(E2058*O2058/N2058)</f>
        <v/>
      </c>
      <c r="I2058" s="10" t="inlineStr">
        <is>
          <t>บจก. วีที คัลเลอร์ โปร</t>
        </is>
      </c>
      <c r="J2058" s="161" t="n">
        <v>24979</v>
      </c>
      <c r="K2058" s="8" t="inlineStr">
        <is>
          <t>IV6805147</t>
        </is>
      </c>
      <c r="N2058" s="6" t="n">
        <v>100</v>
      </c>
      <c r="O2058" s="6" t="n">
        <v>107</v>
      </c>
    </row>
    <row r="2059">
      <c r="B2059" s="6" t="inlineStr">
        <is>
          <t>แม่สี เหลืองทองโปร่งใส Hybrid S182</t>
        </is>
      </c>
      <c r="C2059" s="8" t="n">
        <v>1</v>
      </c>
      <c r="D2059" s="9" t="n">
        <v>750</v>
      </c>
      <c r="E2059" s="9">
        <f>SUM(C2059*D2059)</f>
        <v/>
      </c>
      <c r="G2059" s="10" t="inlineStr">
        <is>
          <t>ยอดรวม VAT =</t>
        </is>
      </c>
      <c r="H2059" s="9">
        <f>SUM(E2059*O2059/N2059)</f>
        <v/>
      </c>
      <c r="I2059" s="10" t="inlineStr">
        <is>
          <t>บจก. วีที คัลเลอร์ โปร</t>
        </is>
      </c>
      <c r="J2059" s="161" t="n">
        <v>25112</v>
      </c>
      <c r="K2059" s="8" t="inlineStr">
        <is>
          <t>IV6810015</t>
        </is>
      </c>
      <c r="N2059" s="6" t="n">
        <v>100</v>
      </c>
      <c r="O2059" s="6" t="n">
        <v>107</v>
      </c>
    </row>
    <row r="2062">
      <c r="B2062" s="6" t="inlineStr">
        <is>
          <t>แม่สี น้ำตาลอมแดง Hybrid S183</t>
        </is>
      </c>
      <c r="C2062" s="8" t="n">
        <v>1</v>
      </c>
      <c r="D2062" s="9" t="n">
        <v>750</v>
      </c>
      <c r="E2062" s="9">
        <f>SUM(D2062*C2062)</f>
        <v/>
      </c>
      <c r="F2062" s="8" t="n">
        <v>0.07000000000000001</v>
      </c>
      <c r="G2062" s="10" t="inlineStr">
        <is>
          <t>รวม VAT =</t>
        </is>
      </c>
      <c r="H2062" s="9">
        <f>SUM(E2062+N2062)</f>
        <v/>
      </c>
      <c r="I2062" s="10" t="inlineStr">
        <is>
          <t>บจก. วีที คัลเลอร์ โปร</t>
        </is>
      </c>
      <c r="J2062" s="161" t="n">
        <v>25042</v>
      </c>
      <c r="K2062" s="8" t="inlineStr">
        <is>
          <t>IV6807180</t>
        </is>
      </c>
      <c r="L2062" s="8" t="inlineStr">
        <is>
          <t>ราคาที่ระบุ ยังไม่รวม VAT7%</t>
        </is>
      </c>
      <c r="N2062" s="6">
        <f>SUM(E2062*F2062)</f>
        <v/>
      </c>
    </row>
    <row r="2064">
      <c r="B2064" s="6" t="inlineStr">
        <is>
          <t>แม่สี เหลืองอมเขียว Hybrid S186</t>
        </is>
      </c>
      <c r="C2064" s="8" t="n">
        <v>1</v>
      </c>
      <c r="D2064" s="9" t="n">
        <v>750</v>
      </c>
      <c r="H2064" s="9">
        <f>SUM(D2064*C2064)</f>
        <v/>
      </c>
      <c r="I2064" s="10" t="inlineStr">
        <is>
          <t>บจก. วีที คัลเลอร์ โปร</t>
        </is>
      </c>
      <c r="J2064" s="161" t="n">
        <v>24731</v>
      </c>
      <c r="K2064" s="8" t="inlineStr">
        <is>
          <t>IV6709082</t>
        </is>
      </c>
      <c r="L2064" s="8" t="inlineStr">
        <is>
          <t>ราคาที่ระบุ ยังไม่รวม VAT7%</t>
        </is>
      </c>
    </row>
    <row r="2065">
      <c r="B2065" s="6" t="inlineStr">
        <is>
          <t>แม่สี เหลืองอมเขียว Hybrid S186</t>
        </is>
      </c>
      <c r="C2065" s="8" t="n">
        <v>1</v>
      </c>
      <c r="D2065" s="9" t="n">
        <v>802.5</v>
      </c>
      <c r="H2065" s="9">
        <f>SUM(D2065*C2065)</f>
        <v/>
      </c>
      <c r="I2065" s="10" t="inlineStr">
        <is>
          <t>บจก. วีที คัลเลอร์ โปร</t>
        </is>
      </c>
      <c r="J2065" s="161" t="n">
        <v>24892</v>
      </c>
      <c r="K2065" s="8" t="inlineStr">
        <is>
          <t>IV6802144</t>
        </is>
      </c>
      <c r="L2065" s="8" t="inlineStr">
        <is>
          <t>ราคารวม VAT แล้ว</t>
        </is>
      </c>
    </row>
    <row r="2066">
      <c r="B2066" s="6" t="inlineStr">
        <is>
          <t>แม่สี เหลืองอมเขียว Hybrid S186</t>
        </is>
      </c>
      <c r="C2066" s="8" t="n">
        <v>2</v>
      </c>
      <c r="D2066" s="9" t="n">
        <v>750</v>
      </c>
      <c r="E2066" s="9">
        <f>SUM(D2066*C2066)</f>
        <v/>
      </c>
      <c r="F2066" s="8" t="n">
        <v>0.07000000000000001</v>
      </c>
      <c r="G2066" s="10" t="inlineStr">
        <is>
          <t>รวม VAT =</t>
        </is>
      </c>
      <c r="H2066" s="9">
        <f>SUM(E2066+N2066)</f>
        <v/>
      </c>
      <c r="I2066" s="10" t="inlineStr">
        <is>
          <t>บจก. วีที คัลเลอร์ โปร</t>
        </is>
      </c>
      <c r="J2066" s="161" t="n">
        <v>25063</v>
      </c>
      <c r="K2066" s="8" t="inlineStr">
        <is>
          <t>IV6808072</t>
        </is>
      </c>
      <c r="L2066" s="8" t="inlineStr">
        <is>
          <t>ราคาที่ระบุ ยังไม่รวม VAT7%</t>
        </is>
      </c>
      <c r="N2066" s="6">
        <f>SUM(E2066*F2066)</f>
        <v/>
      </c>
    </row>
    <row r="2067">
      <c r="B2067" s="6" t="inlineStr">
        <is>
          <t>แม่สี เหลืองอมเขียว Hybrid S186</t>
        </is>
      </c>
      <c r="C2067" s="8" t="n">
        <v>2</v>
      </c>
      <c r="D2067" s="9" t="n">
        <v>750</v>
      </c>
      <c r="E2067" s="9">
        <f>SUM(D2067*C2067)</f>
        <v/>
      </c>
      <c r="F2067" s="8" t="n">
        <v>0.07000000000000001</v>
      </c>
      <c r="G2067" s="10" t="inlineStr">
        <is>
          <t>รวม VAT =</t>
        </is>
      </c>
      <c r="H2067" s="9">
        <f>SUM(E2067+N2067)</f>
        <v/>
      </c>
      <c r="I2067" s="10" t="inlineStr">
        <is>
          <t>บจก. วีที คัลเลอร์ โปร</t>
        </is>
      </c>
      <c r="J2067" s="161" t="n">
        <v>25168</v>
      </c>
      <c r="K2067" s="8" t="inlineStr">
        <is>
          <t>IV6811188</t>
        </is>
      </c>
      <c r="N2067" s="6">
        <f>SUM(E2067*F2067)</f>
        <v/>
      </c>
    </row>
    <row r="2069">
      <c r="B2069" s="6" t="inlineStr">
        <is>
          <t>แม่สี เหลืองอมเขียว Hybrid S187</t>
        </is>
      </c>
      <c r="C2069" s="8" t="n">
        <v>1</v>
      </c>
      <c r="D2069" s="9" t="n">
        <v>750</v>
      </c>
      <c r="H2069" s="9">
        <f>SUM(D2069*C2069)</f>
        <v/>
      </c>
      <c r="I2069" s="10" t="inlineStr">
        <is>
          <t>บจก. วีที คัลเลอร์ โปร</t>
        </is>
      </c>
      <c r="J2069" s="161" t="n">
        <v>24731</v>
      </c>
      <c r="K2069" s="8" t="inlineStr">
        <is>
          <t>IV6709082</t>
        </is>
      </c>
    </row>
    <row r="2070">
      <c r="B2070" s="6" t="inlineStr">
        <is>
          <t>แม่สี เหลืองอมเขียว Hybrid S187</t>
        </is>
      </c>
      <c r="C2070" s="8" t="n">
        <v>1</v>
      </c>
      <c r="D2070" s="9" t="n">
        <v>750</v>
      </c>
      <c r="E2070" s="9">
        <f>SUM(D2070*C2070)</f>
        <v/>
      </c>
      <c r="F2070" s="8" t="n">
        <v>0.07000000000000001</v>
      </c>
      <c r="G2070" s="10" t="inlineStr">
        <is>
          <t>รวม VAT =</t>
        </is>
      </c>
      <c r="H2070" s="9">
        <f>SUM(E2070+N2070)</f>
        <v/>
      </c>
      <c r="I2070" s="10" t="inlineStr">
        <is>
          <t>บจก. วีที คัลเลอร์ โปร</t>
        </is>
      </c>
      <c r="J2070" s="161" t="n">
        <v>25042</v>
      </c>
      <c r="K2070" s="8" t="inlineStr">
        <is>
          <t>IV6807180</t>
        </is>
      </c>
      <c r="N2070" s="6">
        <f>SUM(E2070*F2070)</f>
        <v/>
      </c>
    </row>
    <row r="2071">
      <c r="B2071" s="6" t="inlineStr">
        <is>
          <t>แม่สี เหลืองอมเขียว Hybrid S187</t>
        </is>
      </c>
      <c r="C2071" s="8" t="n">
        <v>2</v>
      </c>
      <c r="D2071" s="9" t="n">
        <v>750</v>
      </c>
      <c r="E2071" s="9">
        <f>SUM(D2071*C2071)</f>
        <v/>
      </c>
      <c r="F2071" s="8" t="n">
        <v>0.07000000000000001</v>
      </c>
      <c r="G2071" s="10" t="inlineStr">
        <is>
          <t>รวม VAT =</t>
        </is>
      </c>
      <c r="H2071" s="9">
        <f>SUM(E2071+N2071)</f>
        <v/>
      </c>
      <c r="I2071" s="10" t="inlineStr">
        <is>
          <t>บจก. วีที คัลเลอร์ โปร</t>
        </is>
      </c>
      <c r="J2071" s="161" t="n">
        <v>25093</v>
      </c>
      <c r="K2071" s="8" t="inlineStr">
        <is>
          <t>IV6809088</t>
        </is>
      </c>
      <c r="N2071" s="6">
        <f>SUM(E2071*F2071)</f>
        <v/>
      </c>
    </row>
    <row r="2073">
      <c r="B2073" s="6" t="inlineStr">
        <is>
          <t>แม่สี มุกน้ำเงินละเอียดพิเศษ SC-245</t>
        </is>
      </c>
      <c r="C2073" s="8" t="inlineStr">
        <is>
          <t>1กป.</t>
        </is>
      </c>
      <c r="D2073" s="9" t="n">
        <v>1400</v>
      </c>
      <c r="H2073" s="9" t="n">
        <v>1400</v>
      </c>
      <c r="I2073" s="10" t="inlineStr">
        <is>
          <t>บจก. วีที คัลเลอร์ โปร</t>
        </is>
      </c>
      <c r="J2073" s="161" t="n">
        <v>24127</v>
      </c>
      <c r="K2073" s="8" t="inlineStr">
        <is>
          <t>IV041-66</t>
        </is>
      </c>
      <c r="L2073" s="8" t="inlineStr">
        <is>
          <t>ราคาที่ระบุ ยังไม่รวม VAT7%</t>
        </is>
      </c>
    </row>
    <row r="2074">
      <c r="B2074" s="6" t="inlineStr">
        <is>
          <t>แม่สี มุกน้ำเงินละเอียดพิเศษ SC-245</t>
        </is>
      </c>
      <c r="C2074" s="8" t="inlineStr">
        <is>
          <t>1กป.</t>
        </is>
      </c>
      <c r="D2074" s="9" t="n">
        <v>1400</v>
      </c>
      <c r="H2074" s="9" t="n">
        <v>1400</v>
      </c>
      <c r="I2074" s="10" t="inlineStr">
        <is>
          <t>บจก. วีที คัลเลอร์ โปร</t>
        </is>
      </c>
      <c r="J2074" s="161" t="n">
        <v>24160</v>
      </c>
      <c r="K2074" s="8" t="inlineStr">
        <is>
          <t>IV113-66</t>
        </is>
      </c>
      <c r="L2074" s="8" t="inlineStr">
        <is>
          <t>ราคาที่ระบุ ยังไม่รวม VAT7%</t>
        </is>
      </c>
    </row>
    <row r="2075">
      <c r="B2075" s="6" t="inlineStr">
        <is>
          <t>แม่สี มุกน้ำเงินละเอียดพิเศษ SC-245</t>
        </is>
      </c>
      <c r="C2075" s="8" t="inlineStr">
        <is>
          <t>1กป.</t>
        </is>
      </c>
      <c r="D2075" s="9" t="n">
        <v>1400</v>
      </c>
      <c r="H2075" s="9" t="n">
        <v>1400</v>
      </c>
      <c r="I2075" s="10" t="inlineStr">
        <is>
          <t>บจก. วีที คัลเลอร์ โปร</t>
        </is>
      </c>
      <c r="J2075" s="161" t="n">
        <v>24282</v>
      </c>
      <c r="K2075" s="8" t="inlineStr">
        <is>
          <t>IV352-66</t>
        </is>
      </c>
      <c r="L2075" s="8" t="inlineStr">
        <is>
          <t>ราคาที่ระบุ ยังไม่รวม VAT7%</t>
        </is>
      </c>
    </row>
    <row r="2076">
      <c r="B2076" s="6" t="inlineStr">
        <is>
          <t>แม่สี มุกน้ำเงินละเอียดพิเศษ Hybrid S245</t>
        </is>
      </c>
      <c r="C2076" s="8" t="inlineStr">
        <is>
          <t>2กป.</t>
        </is>
      </c>
      <c r="D2076" s="9" t="n">
        <v>1400</v>
      </c>
      <c r="H2076" s="9" t="n">
        <v>2800</v>
      </c>
      <c r="I2076" s="10" t="inlineStr">
        <is>
          <t>บจก. วีที คัลเลอร์ โปร</t>
        </is>
      </c>
      <c r="J2076" s="161" t="n">
        <v>24315</v>
      </c>
      <c r="K2076" s="8" t="inlineStr">
        <is>
          <t>IV424-66</t>
        </is>
      </c>
      <c r="L2076" s="8" t="inlineStr">
        <is>
          <t>ราคาที่ระบุ ยังไม่รวม VAT7%</t>
        </is>
      </c>
    </row>
    <row r="2077">
      <c r="B2077" s="6" t="inlineStr">
        <is>
          <t>แม่สี มุกน้ำเงินละเอียดพิเศษ Hybrid S245</t>
        </is>
      </c>
      <c r="C2077" s="8" t="n">
        <v>1</v>
      </c>
      <c r="D2077" s="9" t="n">
        <v>1400</v>
      </c>
      <c r="H2077" s="9">
        <f>SUM(D2077*C2077)</f>
        <v/>
      </c>
      <c r="I2077" s="10" t="inlineStr">
        <is>
          <t>บจก. วีที คัลเลอร์ โปร</t>
        </is>
      </c>
      <c r="J2077" s="161" t="n">
        <v>24462</v>
      </c>
      <c r="K2077" s="8" t="inlineStr">
        <is>
          <t>IV765-66</t>
        </is>
      </c>
      <c r="L2077" s="8" t="inlineStr">
        <is>
          <t>ราคาที่ระบุ ยังไม่รวม VAT7%</t>
        </is>
      </c>
    </row>
    <row r="2078">
      <c r="B2078" s="6" t="inlineStr">
        <is>
          <t>แม่สี มุกน้ำเงินละเอียดพิเศษ Hybrid S245</t>
        </is>
      </c>
      <c r="C2078" s="8" t="n">
        <v>2</v>
      </c>
      <c r="D2078" s="9" t="n">
        <v>1400</v>
      </c>
      <c r="H2078" s="9">
        <f>SUM(D2078*C2078)</f>
        <v/>
      </c>
      <c r="I2078" s="10" t="inlineStr">
        <is>
          <t>บจก. วีที คัลเลอร์ โปร</t>
        </is>
      </c>
      <c r="J2078" s="161" t="n">
        <v>24496</v>
      </c>
      <c r="K2078" s="8" t="inlineStr">
        <is>
          <t>IV6701079</t>
        </is>
      </c>
      <c r="L2078" s="8" t="inlineStr">
        <is>
          <t>ราคาที่ระบุ ยังไม่รวม VAT7%</t>
        </is>
      </c>
    </row>
    <row r="2079">
      <c r="B2079" s="6" t="inlineStr">
        <is>
          <t>แม่สี มุกน้ำเงินละเอียดพิเศษ Hybrid S245</t>
        </is>
      </c>
      <c r="C2079" s="8" t="n">
        <v>1</v>
      </c>
      <c r="D2079" s="9" t="n">
        <v>1400</v>
      </c>
      <c r="H2079" s="9">
        <f>SUM(D2079*C2079)</f>
        <v/>
      </c>
      <c r="I2079" s="10" t="inlineStr">
        <is>
          <t>บจก. วีที คัลเลอร์ โปร</t>
        </is>
      </c>
      <c r="J2079" s="161" t="n">
        <v>24613</v>
      </c>
      <c r="K2079" s="8" t="inlineStr">
        <is>
          <t>IV6705104</t>
        </is>
      </c>
      <c r="L2079" s="8" t="inlineStr">
        <is>
          <t>ราคาที่ระบุ ยังไม่รวม VAT7%</t>
        </is>
      </c>
    </row>
    <row r="2080">
      <c r="B2080" s="6" t="inlineStr">
        <is>
          <t>แม่สี มุกน้ำเงินละเอียดพิเศษ Hybrid S245</t>
        </is>
      </c>
      <c r="C2080" s="8" t="n">
        <v>1</v>
      </c>
      <c r="D2080" s="9" t="n">
        <v>1400</v>
      </c>
      <c r="H2080" s="9">
        <f>SUM(D2080*C2080)</f>
        <v/>
      </c>
      <c r="I2080" s="10" t="inlineStr">
        <is>
          <t>บจก. วีที คัลเลอร์ โปร</t>
        </is>
      </c>
      <c r="J2080" s="161" t="n">
        <v>24647</v>
      </c>
      <c r="K2080" s="8" t="inlineStr">
        <is>
          <t>IV6706130</t>
        </is>
      </c>
      <c r="L2080" s="8" t="inlineStr">
        <is>
          <t>ราคาที่ระบุ ยังไม่รวม VAT7%</t>
        </is>
      </c>
    </row>
    <row r="2081">
      <c r="B2081" s="6" t="inlineStr">
        <is>
          <t>แม่สี มุกน้ำเงินละเอียดพิเศษ Hybrid S245</t>
        </is>
      </c>
      <c r="C2081" s="8" t="n">
        <v>1</v>
      </c>
      <c r="D2081" s="9" t="n">
        <v>1400</v>
      </c>
      <c r="H2081" s="9">
        <f>SUM(D2081*C2081)</f>
        <v/>
      </c>
      <c r="I2081" s="10" t="inlineStr">
        <is>
          <t>บจก. วีที คัลเลอร์ โปร</t>
        </is>
      </c>
      <c r="J2081" s="161" t="n">
        <v>24795</v>
      </c>
      <c r="K2081" s="8" t="inlineStr">
        <is>
          <t>IV6711103</t>
        </is>
      </c>
      <c r="L2081" s="8" t="inlineStr">
        <is>
          <t>ราคาที่ระบุ ยังไม่รวม VAT7%</t>
        </is>
      </c>
    </row>
    <row r="2082">
      <c r="B2082" s="6" t="inlineStr">
        <is>
          <t>แม่สี มุกน้ำเงินละเอียดพิเศษ Hybrid S245</t>
        </is>
      </c>
      <c r="C2082" s="8" t="n">
        <v>1</v>
      </c>
      <c r="D2082" s="9" t="n">
        <v>1498</v>
      </c>
      <c r="H2082" s="9">
        <f>SUM(D2082*C2082)</f>
        <v/>
      </c>
      <c r="I2082" s="10" t="inlineStr">
        <is>
          <t>บจก. วีที คัลเลอร์ โปร</t>
        </is>
      </c>
      <c r="J2082" s="161" t="n">
        <v>24923</v>
      </c>
      <c r="K2082" s="8" t="inlineStr">
        <is>
          <t>IV6803171</t>
        </is>
      </c>
      <c r="L2082" s="8" t="inlineStr">
        <is>
          <t>ราคารวม VAT แล้ว</t>
        </is>
      </c>
    </row>
    <row r="2083">
      <c r="B2083" s="6" t="inlineStr">
        <is>
          <t>แม่สี มุกน้ำเงินละเอียดพิเศษ Hybrid S245</t>
        </is>
      </c>
      <c r="C2083" s="8" t="n">
        <v>1</v>
      </c>
      <c r="D2083" s="9" t="n">
        <v>1400</v>
      </c>
      <c r="E2083" s="9">
        <f>SUM(C2083*D2083)</f>
        <v/>
      </c>
      <c r="H2083" s="9">
        <f>SUM(E2083*O2083/N2083)</f>
        <v/>
      </c>
      <c r="I2083" s="10" t="inlineStr">
        <is>
          <t>บจก. วีที คัลเลอร์ โปร</t>
        </is>
      </c>
      <c r="J2083" s="161" t="n">
        <v>24979</v>
      </c>
      <c r="K2083" s="8" t="inlineStr">
        <is>
          <t>IV6805147</t>
        </is>
      </c>
      <c r="N2083" s="6" t="n">
        <v>100</v>
      </c>
      <c r="O2083" s="6" t="n">
        <v>107</v>
      </c>
    </row>
    <row r="2084">
      <c r="B2084" s="6" t="inlineStr">
        <is>
          <t>แม่สี มุกน้ำเงินละเอียดพิเศษ Hybrid S245</t>
        </is>
      </c>
      <c r="C2084" s="8" t="n">
        <v>4</v>
      </c>
      <c r="D2084" s="9" t="n">
        <v>1400</v>
      </c>
      <c r="E2084" s="9">
        <f>SUM(D2084*C2084)</f>
        <v/>
      </c>
      <c r="F2084" s="8" t="n">
        <v>0.07000000000000001</v>
      </c>
      <c r="G2084" s="10" t="inlineStr">
        <is>
          <t>รวม VAT =</t>
        </is>
      </c>
      <c r="H2084" s="9">
        <f>SUM(E2084+N2084)</f>
        <v/>
      </c>
      <c r="I2084" s="10" t="inlineStr">
        <is>
          <t>บจก. วีที คัลเลอร์ โปร</t>
        </is>
      </c>
      <c r="J2084" s="161" t="n">
        <v>25043</v>
      </c>
      <c r="K2084" s="8" t="inlineStr">
        <is>
          <t>IV6807194</t>
        </is>
      </c>
      <c r="L2084" s="8" t="inlineStr">
        <is>
          <t>ราคาที่ระบุ ยังไม่รวม VAT7%</t>
        </is>
      </c>
      <c r="N2084" s="6">
        <f>SUM(E2084*F2084)</f>
        <v/>
      </c>
    </row>
    <row r="2086">
      <c r="B2086" s="6" t="inlineStr">
        <is>
          <t>แม่สี ดำเทา SC-251</t>
        </is>
      </c>
      <c r="C2086" s="8" t="inlineStr">
        <is>
          <t>1กป.</t>
        </is>
      </c>
      <c r="D2086" s="9" t="n">
        <v>750</v>
      </c>
      <c r="H2086" s="9" t="n">
        <v>750</v>
      </c>
      <c r="I2086" s="10" t="inlineStr">
        <is>
          <t>บจก. วีที คัลเลอร์ โปร</t>
        </is>
      </c>
      <c r="J2086" s="161" t="n">
        <v>24282</v>
      </c>
      <c r="K2086" s="8" t="inlineStr">
        <is>
          <t>IV352-66</t>
        </is>
      </c>
      <c r="L2086" s="8" t="inlineStr">
        <is>
          <t>ราคาที่ระบุ ยังไม่รวม VAT7%</t>
        </is>
      </c>
    </row>
    <row r="2087">
      <c r="B2087" s="6" t="inlineStr">
        <is>
          <t>แม่สี ดำเทา Hybrid S251</t>
        </is>
      </c>
      <c r="C2087" s="8" t="inlineStr">
        <is>
          <t>1กป.</t>
        </is>
      </c>
      <c r="D2087" s="9" t="n">
        <v>750</v>
      </c>
      <c r="H2087" s="9" t="n">
        <v>750</v>
      </c>
      <c r="I2087" s="10" t="inlineStr">
        <is>
          <t>บจก. วีที คัลเลอร์ โปร</t>
        </is>
      </c>
      <c r="J2087" s="161" t="n">
        <v>24298</v>
      </c>
      <c r="K2087" s="8" t="inlineStr">
        <is>
          <t>IV387-66</t>
        </is>
      </c>
      <c r="L2087" s="8" t="inlineStr">
        <is>
          <t>ราคาที่ระบุ ยังไม่รวม VAT7%</t>
        </is>
      </c>
    </row>
    <row r="2088">
      <c r="B2088" s="6" t="inlineStr">
        <is>
          <t>แม่สี ดำเทา Hybrid S251</t>
        </is>
      </c>
      <c r="C2088" s="8" t="inlineStr">
        <is>
          <t>1กป.</t>
        </is>
      </c>
      <c r="D2088" s="9" t="n">
        <v>750</v>
      </c>
      <c r="H2088" s="9" t="n">
        <v>750</v>
      </c>
      <c r="I2088" s="10" t="inlineStr">
        <is>
          <t>บจก. วีที คัลเลอร์ โปร</t>
        </is>
      </c>
      <c r="J2088" s="161" t="n">
        <v>24315</v>
      </c>
      <c r="K2088" s="8" t="inlineStr">
        <is>
          <t>IV424-66</t>
        </is>
      </c>
      <c r="L2088" s="8" t="inlineStr">
        <is>
          <t>ราคาที่ระบุ ยังไม่รวม VAT7%</t>
        </is>
      </c>
    </row>
    <row r="2089">
      <c r="B2089" s="6" t="inlineStr">
        <is>
          <t>แม่สี ดำเทา Hybrid S251</t>
        </is>
      </c>
      <c r="C2089" s="8" t="n">
        <v>1</v>
      </c>
      <c r="D2089" s="9" t="n">
        <v>750</v>
      </c>
      <c r="H2089" s="9">
        <f>SUM(D2089*C2089)</f>
        <v/>
      </c>
      <c r="I2089" s="10" t="inlineStr">
        <is>
          <t>บจก. วีที คัลเลอร์ โปร</t>
        </is>
      </c>
      <c r="J2089" s="161" t="n">
        <v>24372</v>
      </c>
      <c r="K2089" s="8" t="inlineStr">
        <is>
          <t>IV541-66</t>
        </is>
      </c>
      <c r="L2089" s="8" t="inlineStr">
        <is>
          <t>ราคาที่ระบุ ยังไม่รวม VAT7%</t>
        </is>
      </c>
    </row>
    <row r="2090">
      <c r="B2090" s="6" t="inlineStr">
        <is>
          <t>แม่สี ดำเทา Hybrid S251</t>
        </is>
      </c>
      <c r="C2090" s="8" t="n">
        <v>1</v>
      </c>
      <c r="D2090" s="9" t="n">
        <v>750</v>
      </c>
      <c r="H2090" s="9">
        <f>SUM(D2090*C2090)</f>
        <v/>
      </c>
      <c r="I2090" s="10" t="inlineStr">
        <is>
          <t>บจก. วีที คัลเลอร์ โปร</t>
        </is>
      </c>
      <c r="J2090" s="161" t="n">
        <v>24462</v>
      </c>
      <c r="K2090" s="8" t="inlineStr">
        <is>
          <t>IV765-66</t>
        </is>
      </c>
      <c r="L2090" s="8" t="inlineStr">
        <is>
          <t>ราคาที่ระบุ ยังไม่รวม VAT7%</t>
        </is>
      </c>
    </row>
    <row r="2091">
      <c r="B2091" s="6" t="inlineStr">
        <is>
          <t>แม่สี ดำเทา Hybrid S251</t>
        </is>
      </c>
      <c r="C2091" s="8" t="n">
        <v>1</v>
      </c>
      <c r="D2091" s="9" t="n">
        <v>750</v>
      </c>
      <c r="H2091" s="9">
        <f>SUM(D2091*C2091)</f>
        <v/>
      </c>
      <c r="I2091" s="10" t="inlineStr">
        <is>
          <t>บจก. วีที คัลเลอร์ โปร</t>
        </is>
      </c>
      <c r="J2091" s="161" t="n">
        <v>24584</v>
      </c>
      <c r="K2091" s="8" t="inlineStr">
        <is>
          <t>IV6704071</t>
        </is>
      </c>
      <c r="L2091" s="8" t="inlineStr">
        <is>
          <t>ราคาที่ระบุ ยังไม่รวม VAT7%</t>
        </is>
      </c>
    </row>
    <row r="2092">
      <c r="B2092" s="6" t="inlineStr">
        <is>
          <t>แม่สี ดำเทา Hybrid S251</t>
        </is>
      </c>
      <c r="C2092" s="8" t="n">
        <v>1</v>
      </c>
      <c r="D2092" s="9" t="n">
        <v>750</v>
      </c>
      <c r="H2092" s="9">
        <f>SUM(D2092*C2092)</f>
        <v/>
      </c>
      <c r="I2092" s="10" t="inlineStr">
        <is>
          <t>บจก. วีที คัลเลอร์ โปร</t>
        </is>
      </c>
      <c r="J2092" s="161" t="n">
        <v>24529</v>
      </c>
      <c r="K2092" s="8" t="inlineStr">
        <is>
          <t>IV6702103</t>
        </is>
      </c>
      <c r="L2092" s="8" t="inlineStr">
        <is>
          <t>ราคาที่ระบุ ยังไม่รวม VAT7%</t>
        </is>
      </c>
    </row>
    <row r="2093">
      <c r="B2093" s="6" t="inlineStr">
        <is>
          <t>แม่สี ดำเทา Hybrid S251</t>
        </is>
      </c>
      <c r="C2093" s="8" t="n">
        <v>1</v>
      </c>
      <c r="D2093" s="9" t="n">
        <v>750</v>
      </c>
      <c r="H2093" s="9">
        <f>SUM(D2093*C2093)</f>
        <v/>
      </c>
      <c r="I2093" s="10" t="inlineStr">
        <is>
          <t>บจก. วีที คัลเลอร์ โปร</t>
        </is>
      </c>
      <c r="J2093" s="161" t="n">
        <v>24664</v>
      </c>
      <c r="K2093" s="8" t="inlineStr">
        <is>
          <t>IV6707082</t>
        </is>
      </c>
      <c r="L2093" s="8" t="inlineStr">
        <is>
          <t>ราคาที่ระบุ ยังไม่รวม VAT7%</t>
        </is>
      </c>
    </row>
    <row r="2094">
      <c r="B2094" s="6" t="inlineStr">
        <is>
          <t>แม่สี ดำเทา Hybrid S251</t>
        </is>
      </c>
      <c r="C2094" s="8" t="n">
        <v>1</v>
      </c>
      <c r="D2094" s="9" t="n">
        <v>750</v>
      </c>
      <c r="H2094" s="9">
        <f>SUM(D2094*C2094)</f>
        <v/>
      </c>
      <c r="I2094" s="10" t="inlineStr">
        <is>
          <t>บจก. วีที คัลเลอร์ โปร</t>
        </is>
      </c>
      <c r="J2094" s="161" t="n">
        <v>24676</v>
      </c>
      <c r="K2094" s="8" t="inlineStr">
        <is>
          <t>IV6707130</t>
        </is>
      </c>
      <c r="L2094" s="8" t="inlineStr">
        <is>
          <t>ราคาที่ระบุ ยังไม่รวม VAT7%</t>
        </is>
      </c>
    </row>
    <row r="2095">
      <c r="B2095" s="6" t="inlineStr">
        <is>
          <t>แม่สี ดำเทา Hybrid S251</t>
        </is>
      </c>
      <c r="C2095" s="8" t="n">
        <v>1</v>
      </c>
      <c r="D2095" s="9" t="n">
        <v>750</v>
      </c>
      <c r="H2095" s="9">
        <f>SUM(D2095*C2095)</f>
        <v/>
      </c>
      <c r="I2095" s="10" t="inlineStr">
        <is>
          <t>บจก. วีที คัลเลอร์ โปร</t>
        </is>
      </c>
      <c r="J2095" s="161" t="n">
        <v>24795</v>
      </c>
      <c r="K2095" s="8" t="inlineStr">
        <is>
          <t>IV6711103</t>
        </is>
      </c>
      <c r="L2095" s="8" t="inlineStr">
        <is>
          <t>ราคาที่ระบุ ยังไม่รวม VAT7%</t>
        </is>
      </c>
    </row>
    <row r="2096">
      <c r="B2096" s="6" t="inlineStr">
        <is>
          <t>แม่สี ดำเทา Hybrid S251</t>
        </is>
      </c>
      <c r="C2096" s="8" t="n">
        <v>2</v>
      </c>
      <c r="D2096" s="9" t="n">
        <v>750</v>
      </c>
      <c r="E2096" s="9">
        <f>SUM(D2096*C2096)</f>
        <v/>
      </c>
      <c r="F2096" s="8" t="n">
        <v>0.07000000000000001</v>
      </c>
      <c r="G2096" s="10" t="inlineStr">
        <is>
          <t>รวม VAT =</t>
        </is>
      </c>
      <c r="H2096" s="9">
        <f>SUM(E2096+N2096)</f>
        <v/>
      </c>
      <c r="I2096" s="10" t="inlineStr">
        <is>
          <t>บจก. วีที คัลเลอร์ โปร</t>
        </is>
      </c>
      <c r="J2096" s="161" t="n">
        <v>25015</v>
      </c>
      <c r="K2096" s="8" t="inlineStr">
        <is>
          <t>IV6806175</t>
        </is>
      </c>
      <c r="L2096" s="8" t="inlineStr">
        <is>
          <t>ราคาที่ระบุ ยังไม่รวม VAT7%</t>
        </is>
      </c>
      <c r="N2096" s="6">
        <f>SUM(E2096*F2096)</f>
        <v/>
      </c>
    </row>
    <row r="2098">
      <c r="B2098" s="6" t="inlineStr">
        <is>
          <t>แม่สี ม่วงสด SC-255</t>
        </is>
      </c>
      <c r="C2098" s="8" t="inlineStr">
        <is>
          <t>1กป.</t>
        </is>
      </c>
      <c r="D2098" s="9" t="n">
        <v>750</v>
      </c>
      <c r="H2098" s="9" t="n">
        <v>750</v>
      </c>
      <c r="I2098" s="10" t="inlineStr">
        <is>
          <t>บจก. วีที คัลเลอร์ โปร</t>
        </is>
      </c>
      <c r="J2098" s="161" t="n">
        <v>24127</v>
      </c>
      <c r="K2098" s="8" t="inlineStr">
        <is>
          <t>IV041-66</t>
        </is>
      </c>
      <c r="L2098" s="8" t="inlineStr">
        <is>
          <t>ราคาที่ระบุ ยังไม่รวม VAT7%</t>
        </is>
      </c>
    </row>
    <row r="2099">
      <c r="B2099" s="6" t="inlineStr">
        <is>
          <t>แม่สี ม่วงสด Hybrid S255</t>
        </is>
      </c>
      <c r="C2099" s="8" t="inlineStr">
        <is>
          <t>1กป.</t>
        </is>
      </c>
      <c r="D2099" s="9" t="n">
        <v>750</v>
      </c>
      <c r="H2099" s="9" t="n">
        <v>750</v>
      </c>
      <c r="I2099" s="10" t="inlineStr">
        <is>
          <t>บจก. วีที คัลเลอร์ โปร</t>
        </is>
      </c>
      <c r="J2099" s="161" t="n">
        <v>24315</v>
      </c>
      <c r="K2099" s="8" t="inlineStr">
        <is>
          <t>IV424-66</t>
        </is>
      </c>
      <c r="L2099" s="8" t="inlineStr">
        <is>
          <t>ราคาที่ระบุ ยังไม่รวม VAT7%</t>
        </is>
      </c>
    </row>
    <row r="2100">
      <c r="B2100" s="6" t="inlineStr">
        <is>
          <t>แม่สี ม่วงสด Hybrid S255</t>
        </is>
      </c>
      <c r="C2100" s="8" t="n">
        <v>1</v>
      </c>
      <c r="D2100" s="9" t="n">
        <v>750</v>
      </c>
      <c r="H2100" s="9">
        <f>SUM(D2100*C2100)</f>
        <v/>
      </c>
      <c r="I2100" s="10" t="inlineStr">
        <is>
          <t>บจก. วีที คัลเลอร์ โปร</t>
        </is>
      </c>
      <c r="J2100" s="161" t="n">
        <v>24372</v>
      </c>
      <c r="K2100" s="8" t="inlineStr">
        <is>
          <t>IV541-66</t>
        </is>
      </c>
      <c r="L2100" s="8" t="inlineStr">
        <is>
          <t>ราคาที่ระบุ ยังไม่รวม VAT7%</t>
        </is>
      </c>
    </row>
    <row r="2101">
      <c r="B2101" s="6" t="inlineStr">
        <is>
          <t>แม่สี ม่วงสด Hybrid S255</t>
        </is>
      </c>
      <c r="C2101" s="8" t="n">
        <v>1</v>
      </c>
      <c r="D2101" s="9" t="n">
        <v>750</v>
      </c>
      <c r="H2101" s="9">
        <f>SUM(D2101*C2101)</f>
        <v/>
      </c>
      <c r="I2101" s="10" t="inlineStr">
        <is>
          <t>บจก. วีที คัลเลอร์ โปร</t>
        </is>
      </c>
      <c r="J2101" s="161" t="n">
        <v>24584</v>
      </c>
      <c r="K2101" s="8" t="inlineStr">
        <is>
          <t>IV6704071</t>
        </is>
      </c>
      <c r="L2101" s="8" t="inlineStr">
        <is>
          <t>ราคาที่ระบุ ยังไม่รวม VAT7%</t>
        </is>
      </c>
    </row>
    <row r="2102">
      <c r="B2102" s="6" t="inlineStr">
        <is>
          <t>แม่สี ม่วงสด Hybrid S255</t>
        </is>
      </c>
      <c r="C2102" s="8" t="n">
        <v>2</v>
      </c>
      <c r="D2102" s="9" t="n">
        <v>750</v>
      </c>
      <c r="H2102" s="9">
        <f>SUM(D2102*C2102)</f>
        <v/>
      </c>
      <c r="I2102" s="10" t="inlineStr">
        <is>
          <t>บจก. วีที คัลเลอร์ โปร</t>
        </is>
      </c>
      <c r="J2102" s="161" t="n">
        <v>24664</v>
      </c>
      <c r="K2102" s="8" t="inlineStr">
        <is>
          <t>IV6707082</t>
        </is>
      </c>
      <c r="L2102" s="8" t="inlineStr">
        <is>
          <t>ราคาที่ระบุ ยังไม่รวม VAT7%</t>
        </is>
      </c>
    </row>
    <row r="2103">
      <c r="B2103" s="6" t="inlineStr">
        <is>
          <t>แม่สี ม่วงสด Hybrid S255</t>
        </is>
      </c>
      <c r="C2103" s="8" t="n">
        <v>1</v>
      </c>
      <c r="D2103" s="9" t="n">
        <v>750</v>
      </c>
      <c r="H2103" s="9">
        <f>SUM(D2103*C2103)</f>
        <v/>
      </c>
      <c r="I2103" s="10" t="inlineStr">
        <is>
          <t>บจก. วีที คัลเลอร์ โปร</t>
        </is>
      </c>
      <c r="J2103" s="161" t="n">
        <v>24795</v>
      </c>
      <c r="K2103" s="8" t="inlineStr">
        <is>
          <t>IV6711103</t>
        </is>
      </c>
      <c r="L2103" s="8" t="inlineStr">
        <is>
          <t>ราคาที่ระบุ ยังไม่รวม VAT7%</t>
        </is>
      </c>
    </row>
    <row r="2104">
      <c r="B2104" s="6" t="inlineStr">
        <is>
          <t>แม่สี ม่วงสด Hybrid S255</t>
        </is>
      </c>
      <c r="C2104" s="8" t="n">
        <v>2</v>
      </c>
      <c r="D2104" s="9" t="n">
        <v>802.5</v>
      </c>
      <c r="H2104" s="9">
        <f>SUM(D2104*C2104)</f>
        <v/>
      </c>
      <c r="I2104" s="10" t="inlineStr">
        <is>
          <t>บจก. วีที คัลเลอร์ โปร</t>
        </is>
      </c>
      <c r="J2104" s="161" t="n">
        <v>24892</v>
      </c>
      <c r="K2104" s="8" t="inlineStr">
        <is>
          <t>IV6802144</t>
        </is>
      </c>
      <c r="L2104" s="8" t="inlineStr">
        <is>
          <t>ราคารวม VAT แล้ว</t>
        </is>
      </c>
    </row>
    <row r="2105">
      <c r="B2105" s="6" t="inlineStr">
        <is>
          <t>แม่สี ม่วงสด Hybrid S255</t>
        </is>
      </c>
      <c r="C2105" s="8" t="n">
        <v>1</v>
      </c>
      <c r="D2105" s="9" t="n">
        <v>750</v>
      </c>
      <c r="E2105" s="9">
        <f>SUM(D2105*C2105)</f>
        <v/>
      </c>
      <c r="F2105" s="8" t="n">
        <v>0.07000000000000001</v>
      </c>
      <c r="G2105" s="10" t="inlineStr">
        <is>
          <t>รวม VAT =</t>
        </is>
      </c>
      <c r="H2105" s="9">
        <f>SUM(E2105+N2105)</f>
        <v/>
      </c>
      <c r="I2105" s="10" t="inlineStr">
        <is>
          <t>บจก. วีที คัลเลอร์ โปร</t>
        </is>
      </c>
      <c r="J2105" s="161" t="n">
        <v>25015</v>
      </c>
      <c r="K2105" s="8" t="inlineStr">
        <is>
          <t>IV6806175</t>
        </is>
      </c>
      <c r="L2105" s="8" t="inlineStr">
        <is>
          <t>ราคาที่ระบุ ยังไม่รวม VAT7%</t>
        </is>
      </c>
      <c r="N2105" s="6">
        <f>SUM(E2105*F2105)</f>
        <v/>
      </c>
    </row>
    <row r="2106">
      <c r="B2106" s="6" t="inlineStr">
        <is>
          <t>แม่สี ม่วงสด Hybrid S255</t>
        </is>
      </c>
      <c r="C2106" s="8" t="n">
        <v>2</v>
      </c>
      <c r="D2106" s="9" t="n">
        <v>750</v>
      </c>
      <c r="E2106" s="9">
        <f>SUM(D2106*C2106)</f>
        <v/>
      </c>
      <c r="F2106" s="8" t="n">
        <v>0.07000000000000001</v>
      </c>
      <c r="G2106" s="10" t="inlineStr">
        <is>
          <t>รวม VAT =</t>
        </is>
      </c>
      <c r="H2106" s="9">
        <f>SUM(E2106+N2106)</f>
        <v/>
      </c>
      <c r="I2106" s="10" t="inlineStr">
        <is>
          <t>บจก. วีที คัลเลอร์ โปร</t>
        </is>
      </c>
      <c r="J2106" s="161" t="n">
        <v>25145</v>
      </c>
      <c r="K2106" s="8" t="inlineStr">
        <is>
          <t>IV6811023</t>
        </is>
      </c>
      <c r="L2106" s="8" t="inlineStr">
        <is>
          <t>ราคาที่ระบุ ยังไม่รวม VAT7%</t>
        </is>
      </c>
      <c r="N2106" s="6">
        <f>SUM(E2106*F2106)</f>
        <v/>
      </c>
    </row>
    <row r="2107">
      <c r="B2107" s="6" t="inlineStr">
        <is>
          <t>แม่สี ม่วงสด Hybrid S255</t>
        </is>
      </c>
      <c r="C2107" s="8" t="n">
        <v>2</v>
      </c>
      <c r="D2107" s="9" t="n">
        <v>750</v>
      </c>
      <c r="E2107" s="9">
        <f>SUM(D2107*C2107)</f>
        <v/>
      </c>
      <c r="F2107" s="8" t="n">
        <v>0.07000000000000001</v>
      </c>
      <c r="G2107" s="10" t="inlineStr">
        <is>
          <t>รวม VAT =</t>
        </is>
      </c>
      <c r="H2107" s="9">
        <f>SUM(E2107+N2107)</f>
        <v/>
      </c>
      <c r="I2107" s="10" t="inlineStr">
        <is>
          <t>บจก. วีที คัลเลอร์ โปร</t>
        </is>
      </c>
      <c r="J2107" s="161" t="n">
        <v>25168</v>
      </c>
      <c r="K2107" s="8" t="inlineStr">
        <is>
          <t>IV6811188</t>
        </is>
      </c>
      <c r="N2107" s="6">
        <f>SUM(E2107*F2107)</f>
        <v/>
      </c>
    </row>
    <row r="2109">
      <c r="B2109" s="6" t="inlineStr">
        <is>
          <t>แม่สี แดงเลือดหมูสด Hybrid S256</t>
        </is>
      </c>
      <c r="C2109" s="8" t="n">
        <v>1</v>
      </c>
      <c r="D2109" s="9" t="n">
        <v>750</v>
      </c>
      <c r="H2109" s="9">
        <f>SUM(D2109*C2109)</f>
        <v/>
      </c>
      <c r="I2109" s="10" t="inlineStr">
        <is>
          <t>บจก. วีที คัลเลอร์ โปร</t>
        </is>
      </c>
      <c r="J2109" s="161" t="n">
        <v>24613</v>
      </c>
      <c r="K2109" s="8" t="inlineStr">
        <is>
          <t>IV6705104</t>
        </is>
      </c>
      <c r="L2109" s="8" t="inlineStr">
        <is>
          <t>ราคาที่ระบุ ยังไม่รวม VAT7%</t>
        </is>
      </c>
    </row>
    <row r="2111">
      <c r="B2111" s="6" t="inlineStr">
        <is>
          <t>แม่สี Matrix  M-173</t>
        </is>
      </c>
      <c r="C2111" s="8" t="inlineStr">
        <is>
          <t>1กป.</t>
        </is>
      </c>
      <c r="D2111" s="9" t="n">
        <v>850</v>
      </c>
      <c r="F2111" s="8" t="n">
        <v>10</v>
      </c>
      <c r="H2111" s="9" t="n">
        <v>850</v>
      </c>
      <c r="I2111" s="10" t="inlineStr">
        <is>
          <t>ทรัพย์สินไทย</t>
        </is>
      </c>
      <c r="J2111" s="161" t="n">
        <v>22851</v>
      </c>
      <c r="L2111" s="8" t="inlineStr">
        <is>
          <t>ราคาที่ระบุเป็นก่อนหักส่วนลด</t>
        </is>
      </c>
    </row>
    <row r="2112">
      <c r="B2112" s="6" t="inlineStr">
        <is>
          <t>แม่สี Matrix  M-173</t>
        </is>
      </c>
      <c r="C2112" s="8" t="inlineStr">
        <is>
          <t>2กป.</t>
        </is>
      </c>
      <c r="D2112" s="9" t="n">
        <v>850</v>
      </c>
      <c r="F2112" s="8" t="n">
        <v>10</v>
      </c>
      <c r="H2112" s="9" t="n">
        <v>1700</v>
      </c>
      <c r="I2112" s="10" t="inlineStr">
        <is>
          <t>ทรัพย์สินไทย</t>
        </is>
      </c>
      <c r="J2112" s="161" t="n">
        <v>22884</v>
      </c>
      <c r="L2112" s="8" t="inlineStr">
        <is>
          <t>ราคาที่ระบุเป็นก่อนหักส่วนลด</t>
        </is>
      </c>
    </row>
    <row r="2113">
      <c r="B2113" s="6" t="inlineStr">
        <is>
          <t>แม่สี Matrix  M-173</t>
        </is>
      </c>
      <c r="C2113" s="8" t="inlineStr">
        <is>
          <t>2กป.</t>
        </is>
      </c>
      <c r="D2113" s="9" t="n">
        <v>850</v>
      </c>
      <c r="F2113" s="8" t="n">
        <v>10</v>
      </c>
      <c r="H2113" s="9" t="n">
        <v>1700</v>
      </c>
      <c r="I2113" s="10" t="inlineStr">
        <is>
          <t>ทรัพย์สินไทย</t>
        </is>
      </c>
      <c r="J2113" s="161" t="n">
        <v>23216</v>
      </c>
      <c r="L2113" s="8" t="inlineStr">
        <is>
          <t>ราคาที่ระบุเป็นก่อนหักส่วนลด</t>
        </is>
      </c>
    </row>
    <row r="2114">
      <c r="B2114" s="6" t="inlineStr">
        <is>
          <t>แม่สี Matrix  M-173</t>
        </is>
      </c>
      <c r="C2114" s="8" t="inlineStr">
        <is>
          <t>1กป.</t>
        </is>
      </c>
      <c r="D2114" s="9" t="n">
        <v>850</v>
      </c>
      <c r="F2114" s="8" t="n">
        <v>10</v>
      </c>
      <c r="H2114" s="9" t="n">
        <v>850</v>
      </c>
      <c r="I2114" s="10" t="inlineStr">
        <is>
          <t>ทรัพย์สินไทย</t>
        </is>
      </c>
      <c r="J2114" s="161" t="n">
        <v>23824</v>
      </c>
      <c r="K2114" s="8" t="inlineStr">
        <is>
          <t>IV6503300</t>
        </is>
      </c>
      <c r="L2114" s="8" t="inlineStr">
        <is>
          <t>ราคาที่ระบุเป็นก่อนหักส่วนลด</t>
        </is>
      </c>
    </row>
    <row r="2116">
      <c r="B2116" s="6" t="inlineStr">
        <is>
          <t>แม่สี Matrix  M-174</t>
        </is>
      </c>
      <c r="C2116" s="8" t="inlineStr">
        <is>
          <t>1กป.</t>
        </is>
      </c>
      <c r="D2116" s="9" t="n">
        <v>850</v>
      </c>
      <c r="F2116" s="8" t="n">
        <v>10</v>
      </c>
      <c r="H2116" s="9" t="n">
        <v>850</v>
      </c>
      <c r="I2116" s="10" t="inlineStr">
        <is>
          <t>ทรัพย์สินไทย</t>
        </is>
      </c>
      <c r="J2116" s="161" t="n">
        <v>22851</v>
      </c>
      <c r="L2116" s="8" t="inlineStr">
        <is>
          <t>ราคาที่ระบุเป็นก่อนหักส่วนลด</t>
        </is>
      </c>
    </row>
    <row r="2117">
      <c r="B2117" s="6" t="inlineStr">
        <is>
          <t>แม่สี Matrix  M-174</t>
        </is>
      </c>
      <c r="C2117" s="8" t="inlineStr">
        <is>
          <t>2กป.</t>
        </is>
      </c>
      <c r="D2117" s="9" t="n">
        <v>850</v>
      </c>
      <c r="F2117" s="8" t="n">
        <v>10</v>
      </c>
      <c r="H2117" s="9" t="n">
        <v>1700</v>
      </c>
      <c r="I2117" s="10" t="inlineStr">
        <is>
          <t>ทรัพย์สินไทย</t>
        </is>
      </c>
      <c r="J2117" s="161" t="n">
        <v>23124</v>
      </c>
      <c r="L2117" s="8" t="inlineStr">
        <is>
          <t>ราคาที่ระบุเป็นก่อนหักส่วนลด</t>
        </is>
      </c>
    </row>
    <row r="2118">
      <c r="B2118" s="6" t="inlineStr">
        <is>
          <t>แม่สี Matrix  M-174</t>
        </is>
      </c>
      <c r="C2118" s="8" t="inlineStr">
        <is>
          <t>2กป.</t>
        </is>
      </c>
      <c r="D2118" s="9" t="n">
        <v>850</v>
      </c>
      <c r="F2118" s="8" t="n">
        <v>10</v>
      </c>
      <c r="H2118" s="9" t="n">
        <v>1700</v>
      </c>
      <c r="I2118" s="10" t="inlineStr">
        <is>
          <t>ทรัพย์สินไทย</t>
        </is>
      </c>
      <c r="J2118" s="161" t="n">
        <v>23398</v>
      </c>
      <c r="L2118" s="8" t="inlineStr">
        <is>
          <t>ราคาที่ระบุเป็นก่อนหักส่วนลด</t>
        </is>
      </c>
    </row>
    <row r="2119">
      <c r="B2119" s="6" t="inlineStr">
        <is>
          <t>แม่สี Matrix  M-174</t>
        </is>
      </c>
      <c r="C2119" s="8" t="inlineStr">
        <is>
          <t>1กป.</t>
        </is>
      </c>
      <c r="D2119" s="9" t="n">
        <v>850</v>
      </c>
      <c r="F2119" s="8" t="n">
        <v>10</v>
      </c>
      <c r="H2119" s="9" t="n">
        <v>850</v>
      </c>
      <c r="I2119" s="10" t="inlineStr">
        <is>
          <t>ทรัพย์สินไทย</t>
        </is>
      </c>
      <c r="J2119" s="161" t="n">
        <v>23824</v>
      </c>
      <c r="K2119" s="8" t="inlineStr">
        <is>
          <t>IV6503300</t>
        </is>
      </c>
      <c r="L2119" s="8" t="inlineStr">
        <is>
          <t>ราคาที่ระบุเป็นก่อนหักส่วนลด</t>
        </is>
      </c>
    </row>
    <row r="2120">
      <c r="B2120" s="6" t="inlineStr">
        <is>
          <t>แม่สี Matrix  M-174</t>
        </is>
      </c>
      <c r="C2120" s="8" t="inlineStr">
        <is>
          <t>2กป.</t>
        </is>
      </c>
      <c r="D2120" s="9" t="n">
        <v>850</v>
      </c>
      <c r="F2120" s="8" t="n">
        <v>10</v>
      </c>
      <c r="H2120" s="9" t="n">
        <v>1700</v>
      </c>
      <c r="I2120" s="10" t="inlineStr">
        <is>
          <t>ทรัพย์สินไทย</t>
        </is>
      </c>
      <c r="J2120" s="161" t="n">
        <v>23920</v>
      </c>
      <c r="K2120" s="8" t="inlineStr">
        <is>
          <t>IV6506336</t>
        </is>
      </c>
      <c r="L2120" s="8" t="inlineStr">
        <is>
          <t>ราคาที่ระบุเป็นก่อนหักส่วนลด</t>
        </is>
      </c>
    </row>
    <row r="2122">
      <c r="B2122" s="6" t="inlineStr">
        <is>
          <t>แม่สี Matrix  M-175</t>
        </is>
      </c>
      <c r="C2122" s="8" t="inlineStr">
        <is>
          <t>2กป.</t>
        </is>
      </c>
      <c r="D2122" s="9" t="n">
        <v>850</v>
      </c>
      <c r="F2122" s="8" t="n">
        <v>10</v>
      </c>
      <c r="H2122" s="9" t="n">
        <v>1700</v>
      </c>
      <c r="I2122" s="10" t="inlineStr">
        <is>
          <t>ทรัพย์สินไทย</t>
        </is>
      </c>
      <c r="J2122" s="161" t="n">
        <v>22913</v>
      </c>
      <c r="L2122" s="8" t="inlineStr">
        <is>
          <t>ราคาที่ระบุเป็นก่อนหักส่วนลด</t>
        </is>
      </c>
    </row>
    <row r="2123">
      <c r="B2123" s="6" t="inlineStr">
        <is>
          <t>แม่สี Matrix  M-175</t>
        </is>
      </c>
      <c r="C2123" s="8" t="inlineStr">
        <is>
          <t>2กป.</t>
        </is>
      </c>
      <c r="D2123" s="9" t="n">
        <v>850</v>
      </c>
      <c r="F2123" s="8" t="n">
        <v>10</v>
      </c>
      <c r="H2123" s="9" t="n">
        <v>1700</v>
      </c>
      <c r="I2123" s="10" t="inlineStr">
        <is>
          <t>ทรัพย์สินไทย</t>
        </is>
      </c>
      <c r="J2123" s="161" t="n">
        <v>23062</v>
      </c>
      <c r="L2123" s="8" t="inlineStr">
        <is>
          <t>ราคาที่ระบุเป็นก่อนหักส่วนลด</t>
        </is>
      </c>
    </row>
    <row r="2124">
      <c r="B2124" s="6" t="inlineStr">
        <is>
          <t>แม่สี Matrix  M-175</t>
        </is>
      </c>
      <c r="C2124" s="8" t="inlineStr">
        <is>
          <t>1กป.</t>
        </is>
      </c>
      <c r="D2124" s="9" t="n">
        <v>850</v>
      </c>
      <c r="F2124" s="8" t="n">
        <v>10</v>
      </c>
      <c r="H2124" s="9" t="n">
        <v>850</v>
      </c>
      <c r="I2124" s="10" t="inlineStr">
        <is>
          <t>ทรัพย์สินไทย</t>
        </is>
      </c>
      <c r="J2124" s="161" t="n">
        <v>23230</v>
      </c>
      <c r="L2124" s="8" t="inlineStr">
        <is>
          <t>ราคาที่ระบุเป็นก่อนหักส่วนลด</t>
        </is>
      </c>
    </row>
    <row r="2125">
      <c r="B2125" s="6" t="inlineStr">
        <is>
          <t>แม่สี Matrix  M-175</t>
        </is>
      </c>
      <c r="C2125" s="8" t="inlineStr">
        <is>
          <t>2กป.</t>
        </is>
      </c>
      <c r="D2125" s="9" t="n">
        <v>850</v>
      </c>
      <c r="F2125" s="8" t="n">
        <v>10</v>
      </c>
      <c r="H2125" s="9" t="n">
        <v>1700</v>
      </c>
      <c r="I2125" s="10" t="inlineStr">
        <is>
          <t>ทรัพย์สินไทย</t>
        </is>
      </c>
      <c r="J2125" s="161" t="n">
        <v>23247</v>
      </c>
      <c r="L2125" s="8" t="inlineStr">
        <is>
          <t>ราคาที่ระบุเป็นก่อนหักส่วนลด</t>
        </is>
      </c>
    </row>
    <row r="2126">
      <c r="B2126" s="6" t="inlineStr">
        <is>
          <t>แม่สี Matrix  M-175</t>
        </is>
      </c>
      <c r="C2126" s="8" t="inlineStr">
        <is>
          <t>2กป.</t>
        </is>
      </c>
      <c r="D2126" s="9" t="n">
        <v>850</v>
      </c>
      <c r="F2126" s="8" t="n">
        <v>10</v>
      </c>
      <c r="H2126" s="9" t="n">
        <v>1700</v>
      </c>
      <c r="I2126" s="10" t="inlineStr">
        <is>
          <t>ทรัพย์สินไทย</t>
        </is>
      </c>
      <c r="J2126" s="161" t="n">
        <v>23305</v>
      </c>
      <c r="L2126" s="8" t="inlineStr">
        <is>
          <t>ราคาที่ระบุเป็นก่อนหักส่วนลด</t>
        </is>
      </c>
    </row>
    <row r="2127">
      <c r="B2127" s="6" t="inlineStr">
        <is>
          <t>แม่สี Matrix  M-175</t>
        </is>
      </c>
      <c r="C2127" s="8" t="inlineStr">
        <is>
          <t>1กป.</t>
        </is>
      </c>
      <c r="D2127" s="9" t="n">
        <v>850</v>
      </c>
      <c r="F2127" s="8" t="n">
        <v>10</v>
      </c>
      <c r="H2127" s="9" t="n">
        <v>850</v>
      </c>
      <c r="I2127" s="10" t="inlineStr">
        <is>
          <t>ทรัพย์สินไทย</t>
        </is>
      </c>
      <c r="J2127" s="161" t="n">
        <v>23763</v>
      </c>
      <c r="K2127" s="8" t="inlineStr">
        <is>
          <t>IV6501224</t>
        </is>
      </c>
      <c r="L2127" s="8" t="inlineStr">
        <is>
          <t>ราคาที่ระบุเป็นก่อนหักส่วนลด</t>
        </is>
      </c>
    </row>
    <row r="2128">
      <c r="B2128" s="6" t="inlineStr">
        <is>
          <t>แม่สี Matrix  M-175</t>
        </is>
      </c>
      <c r="C2128" s="8" t="inlineStr">
        <is>
          <t>2กป.</t>
        </is>
      </c>
      <c r="D2128" s="9" t="n">
        <v>850</v>
      </c>
      <c r="F2128" s="8" t="n">
        <v>10</v>
      </c>
      <c r="H2128" s="9" t="n">
        <v>1700</v>
      </c>
      <c r="I2128" s="10" t="inlineStr">
        <is>
          <t>ทรัพย์สินไทย</t>
        </is>
      </c>
      <c r="J2128" s="161" t="n">
        <v>23920</v>
      </c>
      <c r="K2128" s="8" t="inlineStr">
        <is>
          <t>IV6506336</t>
        </is>
      </c>
      <c r="L2128" s="8" t="inlineStr">
        <is>
          <t>ราคาที่ระบุเป็นก่อนหักส่วนลด</t>
        </is>
      </c>
    </row>
    <row r="2130">
      <c r="B2130" s="6" t="inlineStr">
        <is>
          <t>แม่สี Matrix  M-176</t>
        </is>
      </c>
      <c r="C2130" s="8" t="inlineStr">
        <is>
          <t>2กป.</t>
        </is>
      </c>
      <c r="D2130" s="9" t="n">
        <v>850</v>
      </c>
      <c r="F2130" s="8" t="n">
        <v>10</v>
      </c>
      <c r="H2130" s="9" t="n">
        <v>1700</v>
      </c>
      <c r="I2130" s="10" t="inlineStr">
        <is>
          <t>ทรัพย์สินไทย</t>
        </is>
      </c>
      <c r="J2130" s="161" t="n">
        <v>23247</v>
      </c>
      <c r="L2130" s="8" t="inlineStr">
        <is>
          <t>ราคาที่ระบุเป็นก่อนหักส่วนลด</t>
        </is>
      </c>
    </row>
    <row r="2131">
      <c r="B2131" s="6" t="inlineStr">
        <is>
          <t>แม่สี Matrix  M-176</t>
        </is>
      </c>
      <c r="C2131" s="8" t="inlineStr">
        <is>
          <t>1กป.</t>
        </is>
      </c>
      <c r="D2131" s="9" t="n">
        <v>850</v>
      </c>
      <c r="F2131" s="8" t="n">
        <v>10</v>
      </c>
      <c r="H2131" s="9" t="n">
        <v>850</v>
      </c>
      <c r="I2131" s="10" t="inlineStr">
        <is>
          <t>ทรัพย์สินไทย</t>
        </is>
      </c>
      <c r="J2131" s="161" t="n">
        <v>22884</v>
      </c>
      <c r="L2131" s="8" t="inlineStr">
        <is>
          <t>ราคาที่ระบุเป็นก่อนหักส่วนลด</t>
        </is>
      </c>
    </row>
    <row r="2132">
      <c r="B2132" s="6" t="inlineStr">
        <is>
          <t>แม่สี Matrix  M-176</t>
        </is>
      </c>
      <c r="C2132" s="8" t="inlineStr">
        <is>
          <t>2กป.</t>
        </is>
      </c>
      <c r="D2132" s="9" t="n">
        <v>850</v>
      </c>
      <c r="F2132" s="8" t="n">
        <v>10</v>
      </c>
      <c r="H2132" s="9" t="n">
        <v>1700</v>
      </c>
      <c r="I2132" s="10" t="inlineStr">
        <is>
          <t>ทรัพย์สินไทย</t>
        </is>
      </c>
      <c r="J2132" s="161" t="n">
        <v>23062</v>
      </c>
      <c r="L2132" s="8" t="inlineStr">
        <is>
          <t>ราคาที่ระบุเป็นก่อนหักส่วนลด</t>
        </is>
      </c>
    </row>
    <row r="2133">
      <c r="B2133" s="6" t="inlineStr">
        <is>
          <t>แม่สี Matrix  M-176</t>
        </is>
      </c>
      <c r="C2133" s="8" t="inlineStr">
        <is>
          <t>1กป.</t>
        </is>
      </c>
      <c r="D2133" s="9" t="n">
        <v>850</v>
      </c>
      <c r="F2133" s="8" t="n">
        <v>10</v>
      </c>
      <c r="H2133" s="9" t="n">
        <v>850</v>
      </c>
      <c r="I2133" s="10" t="inlineStr">
        <is>
          <t>ทรัพย์สินไทย</t>
        </is>
      </c>
      <c r="J2133" s="161" t="n">
        <v>23704</v>
      </c>
      <c r="K2133" s="8" t="inlineStr">
        <is>
          <t>IV6411319</t>
        </is>
      </c>
      <c r="L2133" s="8" t="inlineStr">
        <is>
          <t>ราคาที่ระบุเป็นก่อนหักส่วนลด</t>
        </is>
      </c>
    </row>
    <row r="2134">
      <c r="B2134" s="6" t="inlineStr">
        <is>
          <t>แม่สี Matrix  M-176</t>
        </is>
      </c>
      <c r="C2134" s="8" t="inlineStr">
        <is>
          <t>1กป.</t>
        </is>
      </c>
      <c r="D2134" s="9" t="n">
        <v>850</v>
      </c>
      <c r="F2134" s="8" t="n">
        <v>10</v>
      </c>
      <c r="H2134" s="9" t="n">
        <v>850</v>
      </c>
      <c r="I2134" s="10" t="inlineStr">
        <is>
          <t>ทรัพย์สินไทย</t>
        </is>
      </c>
      <c r="J2134" s="161" t="n">
        <v>23887</v>
      </c>
      <c r="K2134" s="8" t="inlineStr">
        <is>
          <t>IV6505290</t>
        </is>
      </c>
      <c r="L2134" s="8" t="inlineStr">
        <is>
          <t>ราคาที่ระบุเป็นก่อนหักส่วนลด</t>
        </is>
      </c>
    </row>
    <row r="2136">
      <c r="B2136" s="6" t="inlineStr">
        <is>
          <t>แม่สี Matrix  M-177</t>
        </is>
      </c>
      <c r="C2136" s="8" t="inlineStr">
        <is>
          <t>2กป.</t>
        </is>
      </c>
      <c r="D2136" s="9" t="n">
        <v>850</v>
      </c>
      <c r="F2136" s="8" t="n">
        <v>10</v>
      </c>
      <c r="H2136" s="9" t="n">
        <v>1700</v>
      </c>
      <c r="I2136" s="10" t="inlineStr">
        <is>
          <t>ทรัพย์สินไทย</t>
        </is>
      </c>
      <c r="J2136" s="161" t="n">
        <v>23247</v>
      </c>
      <c r="L2136" s="8" t="inlineStr">
        <is>
          <t>ราคาที่ระบุเป็นก่อนหักส่วนลด</t>
        </is>
      </c>
    </row>
    <row r="2137">
      <c r="B2137" s="6" t="inlineStr">
        <is>
          <t>แม่สี Matrix  M-177</t>
        </is>
      </c>
      <c r="C2137" s="8" t="inlineStr">
        <is>
          <t>1กป.</t>
        </is>
      </c>
      <c r="D2137" s="9" t="n">
        <v>850</v>
      </c>
      <c r="F2137" s="8" t="n">
        <v>10</v>
      </c>
      <c r="H2137" s="9" t="n">
        <v>850</v>
      </c>
      <c r="I2137" s="10" t="inlineStr">
        <is>
          <t>ทรัพย์สินไทย</t>
        </is>
      </c>
      <c r="J2137" s="161" t="n">
        <v>23277</v>
      </c>
      <c r="L2137" s="8" t="inlineStr">
        <is>
          <t>ราคาที่ระบุเป็นก่อนหักส่วนลด</t>
        </is>
      </c>
    </row>
    <row r="2138">
      <c r="B2138" s="6" t="inlineStr">
        <is>
          <t>แม่สี Matrix  M-177</t>
        </is>
      </c>
      <c r="C2138" s="8" t="inlineStr">
        <is>
          <t>1กป.</t>
        </is>
      </c>
      <c r="D2138" s="9" t="n">
        <v>850</v>
      </c>
      <c r="F2138" s="8" t="n">
        <v>10</v>
      </c>
      <c r="H2138" s="9" t="n">
        <v>850</v>
      </c>
      <c r="I2138" s="10" t="inlineStr">
        <is>
          <t>ทรัพย์สินไทย</t>
        </is>
      </c>
      <c r="J2138" s="161" t="n">
        <v>23887</v>
      </c>
      <c r="K2138" s="8" t="inlineStr">
        <is>
          <t>IV6505290</t>
        </is>
      </c>
      <c r="L2138" s="8" t="inlineStr">
        <is>
          <t>ราคาที่ระบุเป็นก่อนหักส่วนลด</t>
        </is>
      </c>
    </row>
    <row r="2139">
      <c r="B2139" s="6" t="inlineStr">
        <is>
          <t>แม่สีเหลืองเข้ม Hybrid S177</t>
        </is>
      </c>
      <c r="C2139" s="8" t="n">
        <v>2</v>
      </c>
      <c r="D2139" s="9" t="n">
        <v>750</v>
      </c>
      <c r="E2139" s="9">
        <f>SUM(D2139*C2139)</f>
        <v/>
      </c>
      <c r="F2139" s="8" t="n">
        <v>0.07000000000000001</v>
      </c>
      <c r="G2139" s="10" t="inlineStr">
        <is>
          <t>รวม VAT =</t>
        </is>
      </c>
      <c r="H2139" s="9">
        <f>SUM(E2139+N2139)</f>
        <v/>
      </c>
      <c r="I2139" s="10" t="inlineStr">
        <is>
          <t>บจก. วีที คัลเลอร์ โปร</t>
        </is>
      </c>
      <c r="J2139" s="161" t="n">
        <v>25145</v>
      </c>
      <c r="K2139" s="8" t="inlineStr">
        <is>
          <t>IV6811023</t>
        </is>
      </c>
      <c r="L2139" s="8" t="inlineStr">
        <is>
          <t>ราคาที่ระบุ ยังไม่รวม VAT7%</t>
        </is>
      </c>
      <c r="N2139" s="6">
        <f>SUM(E2139*F2139)</f>
        <v/>
      </c>
    </row>
    <row r="2141">
      <c r="B2141" s="6" t="inlineStr">
        <is>
          <t>แม่สี Matrix  M-180</t>
        </is>
      </c>
      <c r="C2141" s="8" t="inlineStr">
        <is>
          <t>2กป.</t>
        </is>
      </c>
      <c r="D2141" s="9" t="n">
        <v>850</v>
      </c>
      <c r="F2141" s="8" t="n">
        <v>10</v>
      </c>
      <c r="H2141" s="9" t="n">
        <v>1700</v>
      </c>
      <c r="I2141" s="10" t="inlineStr">
        <is>
          <t>ทรัพย์สินไทย</t>
        </is>
      </c>
      <c r="J2141" s="161" t="n">
        <v>23062</v>
      </c>
      <c r="L2141" s="8" t="inlineStr">
        <is>
          <t>ราคาที่ระบุเป็นก่อนหักส่วนลด</t>
        </is>
      </c>
    </row>
    <row r="2142">
      <c r="B2142" s="6" t="inlineStr">
        <is>
          <t>แม่สี Matrix  M-180</t>
        </is>
      </c>
      <c r="C2142" s="8" t="inlineStr">
        <is>
          <t>1กป.</t>
        </is>
      </c>
      <c r="D2142" s="9" t="n">
        <v>850</v>
      </c>
      <c r="F2142" s="8" t="n">
        <v>10</v>
      </c>
      <c r="H2142" s="9" t="n">
        <v>850</v>
      </c>
      <c r="I2142" s="10" t="inlineStr">
        <is>
          <t>ทรัพย์สินไทย</t>
        </is>
      </c>
      <c r="J2142" s="161" t="n">
        <v>23676</v>
      </c>
      <c r="K2142" s="8" t="inlineStr">
        <is>
          <t>IV6410364</t>
        </is>
      </c>
      <c r="L2142" s="8" t="inlineStr">
        <is>
          <t>ราคาที่ระบุเป็นก่อนหักส่วนลด</t>
        </is>
      </c>
    </row>
    <row r="2143">
      <c r="B2143" s="6" t="inlineStr">
        <is>
          <t>แม่สี เหลืองโปร่งใส Hybrid S180</t>
        </is>
      </c>
      <c r="C2143" s="8" t="n">
        <v>1</v>
      </c>
      <c r="D2143" s="9" t="n">
        <v>750</v>
      </c>
      <c r="H2143" s="9">
        <f>SUM(D2143*C2143)</f>
        <v/>
      </c>
      <c r="I2143" s="10" t="inlineStr">
        <is>
          <t>บจก. วีที คัลเลอร์ โปร</t>
        </is>
      </c>
      <c r="J2143" s="161" t="n">
        <v>24515</v>
      </c>
      <c r="K2143" s="8" t="inlineStr">
        <is>
          <t>IV6702047</t>
        </is>
      </c>
      <c r="L2143" s="8" t="inlineStr">
        <is>
          <t>ราคาที่ระบุ ยังไม่รวมVAT7%</t>
        </is>
      </c>
    </row>
    <row r="2144">
      <c r="B2144" s="6" t="inlineStr">
        <is>
          <t>แม่สี เหลืองโปร่งใส Hybrid S180</t>
        </is>
      </c>
      <c r="C2144" s="8" t="n">
        <v>2</v>
      </c>
      <c r="D2144" s="9" t="n">
        <v>750</v>
      </c>
      <c r="E2144" s="9">
        <f>SUM(D2144*C2144)</f>
        <v/>
      </c>
      <c r="F2144" s="8" t="n">
        <v>0.07000000000000001</v>
      </c>
      <c r="G2144" s="10" t="inlineStr">
        <is>
          <t>รวม VAT =</t>
        </is>
      </c>
      <c r="H2144" s="9">
        <f>SUM(E2144+N2144)</f>
        <v/>
      </c>
      <c r="I2144" s="10" t="inlineStr">
        <is>
          <t>บจก. วีที คัลเลอร์ โปร</t>
        </is>
      </c>
      <c r="J2144" s="161" t="n">
        <v>25145</v>
      </c>
      <c r="K2144" s="8" t="inlineStr">
        <is>
          <t>IV6811023</t>
        </is>
      </c>
      <c r="L2144" s="8" t="inlineStr">
        <is>
          <t>ราคาที่ระบุ ยังไม่รวม VAT7%</t>
        </is>
      </c>
      <c r="N2144" s="6">
        <f>SUM(E2144*F2144)</f>
        <v/>
      </c>
    </row>
    <row r="2146">
      <c r="B2146" s="6" t="inlineStr">
        <is>
          <t>แม่สี Matrix  M-181</t>
        </is>
      </c>
      <c r="C2146" s="8" t="inlineStr">
        <is>
          <t>2กป.</t>
        </is>
      </c>
      <c r="D2146" s="9" t="n">
        <v>850</v>
      </c>
      <c r="F2146" s="8" t="n">
        <v>10</v>
      </c>
      <c r="H2146" s="9" t="n">
        <v>1700</v>
      </c>
      <c r="I2146" s="10" t="inlineStr">
        <is>
          <t>ทรัพย์สินไทย</t>
        </is>
      </c>
      <c r="J2146" s="161" t="n">
        <v>22429</v>
      </c>
      <c r="L2146" s="8" t="inlineStr">
        <is>
          <t>ราคาที่ระบุเป็นก่อนหักส่วนลด</t>
        </is>
      </c>
    </row>
    <row r="2147">
      <c r="B2147" s="6" t="inlineStr">
        <is>
          <t>แม่สี Matrix  M-181</t>
        </is>
      </c>
      <c r="C2147" s="8" t="inlineStr">
        <is>
          <t>2กป.</t>
        </is>
      </c>
      <c r="D2147" s="9" t="n">
        <v>850</v>
      </c>
      <c r="F2147" s="8" t="n">
        <v>10</v>
      </c>
      <c r="H2147" s="9" t="n">
        <v>1700</v>
      </c>
      <c r="I2147" s="10" t="inlineStr">
        <is>
          <t>ทรัพย์สินไทย</t>
        </is>
      </c>
      <c r="J2147" s="161" t="n">
        <v>22851</v>
      </c>
      <c r="L2147" s="8" t="inlineStr">
        <is>
          <t>ราคาที่ระบุเป็นก่อนหักส่วนลด</t>
        </is>
      </c>
    </row>
    <row r="2148">
      <c r="B2148" s="6" t="inlineStr">
        <is>
          <t>แม่สี Matrix  M-181</t>
        </is>
      </c>
      <c r="C2148" s="8" t="inlineStr">
        <is>
          <t>2กป.</t>
        </is>
      </c>
      <c r="D2148" s="9" t="n">
        <v>850</v>
      </c>
      <c r="F2148" s="8" t="n">
        <v>10</v>
      </c>
      <c r="H2148" s="9" t="n">
        <v>1700</v>
      </c>
      <c r="I2148" s="10" t="inlineStr">
        <is>
          <t>ทรัพย์สินไทย</t>
        </is>
      </c>
      <c r="J2148" s="161" t="n">
        <v>22916</v>
      </c>
      <c r="L2148" s="8" t="inlineStr">
        <is>
          <t>ราคาที่ระบุเป็นก่อนหักส่วนลด</t>
        </is>
      </c>
    </row>
    <row r="2149">
      <c r="B2149" s="6" t="inlineStr">
        <is>
          <t>แม่สี Matrix  M-181</t>
        </is>
      </c>
      <c r="C2149" s="8" t="inlineStr">
        <is>
          <t>2กป.</t>
        </is>
      </c>
      <c r="D2149" s="9" t="n">
        <v>850</v>
      </c>
      <c r="F2149" s="8" t="n">
        <v>10</v>
      </c>
      <c r="H2149" s="9" t="n">
        <v>1700</v>
      </c>
      <c r="I2149" s="10" t="inlineStr">
        <is>
          <t>ทรัพย์สินไทย</t>
        </is>
      </c>
      <c r="J2149" s="161" t="n">
        <v>23081</v>
      </c>
      <c r="L2149" s="8" t="inlineStr">
        <is>
          <t>ราคาที่ระบุเป็นก่อนหักส่วนลด</t>
        </is>
      </c>
    </row>
    <row r="2150">
      <c r="B2150" s="6" t="inlineStr">
        <is>
          <t>แม่สี Matrix  M-181</t>
        </is>
      </c>
      <c r="C2150" s="8" t="inlineStr">
        <is>
          <t>3กป.</t>
        </is>
      </c>
      <c r="D2150" s="9" t="n">
        <v>850</v>
      </c>
      <c r="F2150" s="8" t="n">
        <v>10</v>
      </c>
      <c r="H2150" s="9" t="n">
        <v>2550</v>
      </c>
      <c r="I2150" s="10" t="inlineStr">
        <is>
          <t>ทรัพย์สินไทย</t>
        </is>
      </c>
      <c r="J2150" s="161" t="n">
        <v>23216</v>
      </c>
      <c r="L2150" s="8" t="inlineStr">
        <is>
          <t>ราคาที่ระบุเป็นก่อนหักส่วนลด</t>
        </is>
      </c>
    </row>
    <row r="2151">
      <c r="B2151" s="6" t="inlineStr">
        <is>
          <t>แม่สี Matrix  M-181</t>
        </is>
      </c>
      <c r="C2151" s="8" t="inlineStr">
        <is>
          <t>2กป.</t>
        </is>
      </c>
      <c r="D2151" s="9" t="n">
        <v>850</v>
      </c>
      <c r="F2151" s="8" t="n">
        <v>10</v>
      </c>
      <c r="H2151" s="9" t="n">
        <v>1700</v>
      </c>
      <c r="I2151" s="10" t="inlineStr">
        <is>
          <t>ทรัพย์สินไทย</t>
        </is>
      </c>
      <c r="J2151" s="161" t="n">
        <v>23277</v>
      </c>
      <c r="L2151" s="8" t="inlineStr">
        <is>
          <t>ราคาที่ระบุเป็นก่อนหักส่วนลด</t>
        </is>
      </c>
    </row>
    <row r="2152">
      <c r="B2152" s="6" t="inlineStr">
        <is>
          <t>แม่สี Matrix  M-181</t>
        </is>
      </c>
      <c r="C2152" s="8" t="inlineStr">
        <is>
          <t>2กป.</t>
        </is>
      </c>
      <c r="D2152" s="9" t="n">
        <v>850</v>
      </c>
      <c r="F2152" s="8" t="n">
        <v>10</v>
      </c>
      <c r="H2152" s="9" t="n">
        <v>1700</v>
      </c>
      <c r="I2152" s="10" t="inlineStr">
        <is>
          <t>ทรัพย์สินไทย</t>
        </is>
      </c>
      <c r="J2152" s="161" t="n">
        <v>23398</v>
      </c>
      <c r="L2152" s="8" t="inlineStr">
        <is>
          <t>ราคาที่ระบุเป็นก่อนหักส่วนลด</t>
        </is>
      </c>
    </row>
    <row r="2153">
      <c r="B2153" s="6" t="inlineStr">
        <is>
          <t>แม่สี Matrix  M-181</t>
        </is>
      </c>
      <c r="C2153" s="8" t="inlineStr">
        <is>
          <t>2กป.</t>
        </is>
      </c>
      <c r="D2153" s="9" t="n">
        <v>850</v>
      </c>
      <c r="F2153" s="8" t="n">
        <v>10</v>
      </c>
      <c r="H2153" s="9" t="n">
        <v>1700</v>
      </c>
      <c r="I2153" s="10" t="inlineStr">
        <is>
          <t>ทรัพย์สินไทย</t>
        </is>
      </c>
      <c r="J2153" s="161" t="n">
        <v>23493</v>
      </c>
      <c r="L2153" s="8" t="inlineStr">
        <is>
          <t>ราคาที่ระบุเป็นก่อนหักส่วนลด</t>
        </is>
      </c>
    </row>
    <row r="2154">
      <c r="B2154" s="6" t="inlineStr">
        <is>
          <t>แม่สี Matrix  M-181</t>
        </is>
      </c>
      <c r="C2154" s="8" t="inlineStr">
        <is>
          <t>2กป.</t>
        </is>
      </c>
      <c r="D2154" s="9" t="n">
        <v>850</v>
      </c>
      <c r="F2154" s="8" t="n">
        <v>10</v>
      </c>
      <c r="H2154" s="9" t="n">
        <v>1700</v>
      </c>
      <c r="I2154" s="10" t="inlineStr">
        <is>
          <t>ทรัพย์สินไทย</t>
        </is>
      </c>
      <c r="J2154" s="161" t="n">
        <v>23546</v>
      </c>
      <c r="L2154" s="8" t="inlineStr">
        <is>
          <t>ราคาที่ระบุเป็นก่อนหักส่วนลด</t>
        </is>
      </c>
    </row>
    <row r="2155">
      <c r="B2155" s="6" t="inlineStr">
        <is>
          <t>แม่สี Matrix  M-181</t>
        </is>
      </c>
      <c r="C2155" s="8" t="inlineStr">
        <is>
          <t>2กป.</t>
        </is>
      </c>
      <c r="D2155" s="9" t="n">
        <v>850</v>
      </c>
      <c r="F2155" s="8" t="n">
        <v>10</v>
      </c>
      <c r="H2155" s="9" t="n">
        <v>1700</v>
      </c>
      <c r="I2155" s="10" t="inlineStr">
        <is>
          <t>ทรัพย์สินไทย</t>
        </is>
      </c>
      <c r="J2155" s="161" t="n">
        <v>23613</v>
      </c>
      <c r="L2155" s="8" t="inlineStr">
        <is>
          <t>ราคาที่ระบุเป็นก่อนหักส่วนลด</t>
        </is>
      </c>
    </row>
    <row r="2156">
      <c r="B2156" s="6" t="inlineStr">
        <is>
          <t>แม่สี Matrix  M-181</t>
        </is>
      </c>
      <c r="C2156" s="8" t="inlineStr">
        <is>
          <t>1กป.</t>
        </is>
      </c>
      <c r="D2156" s="9" t="n">
        <v>850</v>
      </c>
      <c r="F2156" s="8" t="n">
        <v>10</v>
      </c>
      <c r="H2156" s="9" t="n">
        <v>850</v>
      </c>
      <c r="I2156" s="10" t="inlineStr">
        <is>
          <t>ทรัพย์สินไทย</t>
        </is>
      </c>
      <c r="J2156" s="161" t="n">
        <v>23733</v>
      </c>
      <c r="K2156" s="8" t="inlineStr">
        <is>
          <t>IV6412302</t>
        </is>
      </c>
      <c r="L2156" s="8" t="inlineStr">
        <is>
          <t>ราคาที่ระบุเป็นก่อนหักส่วนลด</t>
        </is>
      </c>
    </row>
    <row r="2157">
      <c r="B2157" s="6" t="inlineStr">
        <is>
          <t>แม่สี Matrix  M-181</t>
        </is>
      </c>
      <c r="C2157" s="8" t="inlineStr">
        <is>
          <t>2กป.</t>
        </is>
      </c>
      <c r="D2157" s="9" t="n">
        <v>850</v>
      </c>
      <c r="F2157" s="8" t="n">
        <v>10</v>
      </c>
      <c r="H2157" s="9" t="n">
        <v>1700</v>
      </c>
      <c r="I2157" s="10" t="inlineStr">
        <is>
          <t>ทรัพย์สินไทย</t>
        </is>
      </c>
      <c r="J2157" s="161" t="n">
        <v>23795</v>
      </c>
      <c r="K2157" s="8" t="inlineStr">
        <is>
          <t>IV6502258</t>
        </is>
      </c>
      <c r="L2157" s="8" t="inlineStr">
        <is>
          <t>ราคาที่ระบุเป็นก่อนหักส่วนลด</t>
        </is>
      </c>
    </row>
    <row r="2158">
      <c r="B2158" s="6" t="inlineStr">
        <is>
          <t>แม่สี Matrix  M-181</t>
        </is>
      </c>
      <c r="C2158" s="8" t="inlineStr">
        <is>
          <t>1กป.</t>
        </is>
      </c>
      <c r="D2158" s="9" t="n">
        <v>850</v>
      </c>
      <c r="F2158" s="8" t="n">
        <v>10</v>
      </c>
      <c r="H2158" s="9" t="n">
        <v>850</v>
      </c>
      <c r="I2158" s="10" t="inlineStr">
        <is>
          <t>ทรัพย์สินไทย</t>
        </is>
      </c>
      <c r="J2158" s="161" t="n">
        <v>23887</v>
      </c>
      <c r="K2158" s="8" t="inlineStr">
        <is>
          <t>IV6505290</t>
        </is>
      </c>
      <c r="L2158" s="8" t="inlineStr">
        <is>
          <t>ราคาที่ระบุเป็นก่อนหักส่วนลด</t>
        </is>
      </c>
    </row>
    <row r="2159">
      <c r="B2159" s="6" t="inlineStr">
        <is>
          <t>แม่สี เหลืองทองโปร่งใส SC-181</t>
        </is>
      </c>
      <c r="C2159" s="8" t="inlineStr">
        <is>
          <t>1กป.</t>
        </is>
      </c>
      <c r="D2159" s="9" t="n">
        <v>750</v>
      </c>
      <c r="H2159" s="9" t="n">
        <v>750</v>
      </c>
      <c r="I2159" s="10" t="inlineStr">
        <is>
          <t>บจก. วีที คัลเลอร์ โปร</t>
        </is>
      </c>
      <c r="J2159" s="161" t="n">
        <v>23956</v>
      </c>
      <c r="K2159" s="8" t="inlineStr">
        <is>
          <t>IV116-65</t>
        </is>
      </c>
      <c r="L2159" s="8" t="inlineStr">
        <is>
          <t>ราคาที่ระบุ ยังไม่รวมVAT7%</t>
        </is>
      </c>
    </row>
    <row r="2160">
      <c r="B2160" s="6" t="inlineStr">
        <is>
          <t>แม่สี เหลืองทองโปร่งใส SC-181</t>
        </is>
      </c>
      <c r="C2160" s="8" t="inlineStr">
        <is>
          <t>1กป.</t>
        </is>
      </c>
      <c r="D2160" s="9" t="n">
        <v>750</v>
      </c>
      <c r="H2160" s="9" t="n">
        <v>750</v>
      </c>
      <c r="I2160" s="10" t="inlineStr">
        <is>
          <t>บจก. วีที คัลเลอร์ โปร</t>
        </is>
      </c>
      <c r="J2160" s="161" t="n">
        <v>24030</v>
      </c>
      <c r="K2160" s="8" t="inlineStr">
        <is>
          <t>IV214-65</t>
        </is>
      </c>
      <c r="L2160" s="8" t="inlineStr">
        <is>
          <t>ราคาที่ระบุ ยังไม่รวมVAT7%</t>
        </is>
      </c>
    </row>
    <row r="2161">
      <c r="B2161" s="6" t="inlineStr">
        <is>
          <t>แม่สี เหลืองทองโปร่งใส SC-181</t>
        </is>
      </c>
      <c r="C2161" s="8" t="inlineStr">
        <is>
          <t>1กป.</t>
        </is>
      </c>
      <c r="D2161" s="9" t="n">
        <v>750</v>
      </c>
      <c r="H2161" s="9" t="n">
        <v>750</v>
      </c>
      <c r="I2161" s="10" t="inlineStr">
        <is>
          <t>บจก. วีที คัลเลอร์ โปร</t>
        </is>
      </c>
      <c r="J2161" s="161" t="n">
        <v>24040</v>
      </c>
      <c r="K2161" s="8" t="inlineStr">
        <is>
          <t>IV228-65</t>
        </is>
      </c>
      <c r="L2161" s="8" t="inlineStr">
        <is>
          <t>ราคาที่ระบุ ยังไม่รวมVAT7%</t>
        </is>
      </c>
    </row>
    <row r="2162">
      <c r="B2162" s="6" t="inlineStr">
        <is>
          <t>แม่สี เหลืองทองโปร่งใส SC-181</t>
        </is>
      </c>
      <c r="C2162" s="8" t="inlineStr">
        <is>
          <t>2กป.</t>
        </is>
      </c>
      <c r="D2162" s="9" t="n">
        <v>750</v>
      </c>
      <c r="H2162" s="9" t="n">
        <v>1500</v>
      </c>
      <c r="I2162" s="10" t="inlineStr">
        <is>
          <t>บจก. วีที คัลเลอร์ โปร</t>
        </is>
      </c>
      <c r="J2162" s="161" t="n">
        <v>24189</v>
      </c>
      <c r="K2162" s="8" t="inlineStr">
        <is>
          <t>IV178-66</t>
        </is>
      </c>
      <c r="L2162" s="8" t="inlineStr">
        <is>
          <t>ราคาที่ระบุ ยังไม่รวมVAT7%</t>
        </is>
      </c>
    </row>
    <row r="2163">
      <c r="B2163" s="6" t="inlineStr">
        <is>
          <t>แม่สี เหลืองทองโปร่งใส SC-181</t>
        </is>
      </c>
      <c r="C2163" s="8" t="inlineStr">
        <is>
          <t>1กป.</t>
        </is>
      </c>
      <c r="D2163" s="9" t="n">
        <v>750</v>
      </c>
      <c r="H2163" s="9" t="n">
        <v>750</v>
      </c>
      <c r="I2163" s="10" t="inlineStr">
        <is>
          <t>บจก. วีที คัลเลอร์ โปร</t>
        </is>
      </c>
      <c r="J2163" s="161" t="n">
        <v>24282</v>
      </c>
      <c r="K2163" s="8" t="inlineStr">
        <is>
          <t>IV352-66</t>
        </is>
      </c>
      <c r="L2163" s="8" t="inlineStr">
        <is>
          <t>ราคาที่ระบุ ยังไม่รวมVAT7%</t>
        </is>
      </c>
    </row>
    <row r="2165">
      <c r="B2165" s="6" t="inlineStr">
        <is>
          <t>แม่สี น้ำตาลโปร่งใส SC-182</t>
        </is>
      </c>
      <c r="C2165" s="8" t="inlineStr">
        <is>
          <t>1กป.</t>
        </is>
      </c>
      <c r="D2165" s="9" t="n">
        <v>750</v>
      </c>
      <c r="H2165" s="9" t="n">
        <v>750</v>
      </c>
      <c r="I2165" s="10" t="inlineStr">
        <is>
          <t>บจก. วีที คัลเลอร์ โปร</t>
        </is>
      </c>
      <c r="J2165" s="161" t="n">
        <v>24189</v>
      </c>
      <c r="K2165" s="8" t="inlineStr">
        <is>
          <t>IV178-66</t>
        </is>
      </c>
      <c r="L2165" s="8" t="inlineStr">
        <is>
          <t>ราคาที่ระบุ ยังไม่รวมVAT7%</t>
        </is>
      </c>
    </row>
    <row r="2166">
      <c r="B2166" s="6" t="inlineStr">
        <is>
          <t>แม่สี น้ำตาลโปร่งใส SC-182</t>
        </is>
      </c>
      <c r="C2166" s="8" t="inlineStr">
        <is>
          <t>1กป.</t>
        </is>
      </c>
      <c r="D2166" s="9" t="n">
        <v>750</v>
      </c>
      <c r="H2166" s="9" t="n">
        <v>750</v>
      </c>
      <c r="I2166" s="10" t="inlineStr">
        <is>
          <t>บจก. วีที คัลเลอร์ โปร</t>
        </is>
      </c>
      <c r="J2166" s="161" t="n">
        <v>24282</v>
      </c>
      <c r="K2166" s="8" t="inlineStr">
        <is>
          <t>IV352-66</t>
        </is>
      </c>
      <c r="L2166" s="8" t="inlineStr">
        <is>
          <t>ราคาที่ระบุ ยังไม่รวมVAT7%</t>
        </is>
      </c>
    </row>
    <row r="2168">
      <c r="B2168" s="6" t="inlineStr">
        <is>
          <t>แม่สี Matrix  M-182</t>
        </is>
      </c>
      <c r="C2168" s="8" t="inlineStr">
        <is>
          <t>1กป.</t>
        </is>
      </c>
      <c r="D2168" s="9" t="n">
        <v>850</v>
      </c>
      <c r="F2168" s="8" t="n">
        <v>10</v>
      </c>
      <c r="H2168" s="9" t="n">
        <v>850</v>
      </c>
      <c r="I2168" s="10" t="inlineStr">
        <is>
          <t>ทรัพย์สินไทย</t>
        </is>
      </c>
      <c r="J2168" s="161" t="n">
        <v>22916</v>
      </c>
      <c r="L2168" s="8" t="inlineStr">
        <is>
          <t>ราคาที่ระบุเป็นก่อนหักส่วนลด</t>
        </is>
      </c>
    </row>
    <row r="2169">
      <c r="B2169" s="6" t="inlineStr">
        <is>
          <t>แม่สี Matrix  M-182</t>
        </is>
      </c>
      <c r="C2169" s="8" t="inlineStr">
        <is>
          <t>1กป.</t>
        </is>
      </c>
      <c r="D2169" s="9" t="n">
        <v>850</v>
      </c>
      <c r="F2169" s="8" t="n">
        <v>10</v>
      </c>
      <c r="H2169" s="9" t="n">
        <v>850</v>
      </c>
      <c r="I2169" s="10" t="inlineStr">
        <is>
          <t>ทรัพย์สินไทย</t>
        </is>
      </c>
      <c r="J2169" s="161" t="n">
        <v>23465</v>
      </c>
      <c r="L2169" s="8" t="inlineStr">
        <is>
          <t>ราคาที่ระบุเป็นก่อนหักส่วนลด</t>
        </is>
      </c>
    </row>
    <row r="2170">
      <c r="B2170" s="6" t="inlineStr">
        <is>
          <t>แม่สี Matrix  M-182</t>
        </is>
      </c>
      <c r="C2170" s="8" t="inlineStr">
        <is>
          <t>2กป.</t>
        </is>
      </c>
      <c r="D2170" s="9" t="n">
        <v>850</v>
      </c>
      <c r="F2170" s="8" t="n">
        <v>10</v>
      </c>
      <c r="H2170" s="9" t="n">
        <v>1700</v>
      </c>
      <c r="I2170" s="10" t="inlineStr">
        <is>
          <t>ทรัพย์สินไทย</t>
        </is>
      </c>
      <c r="J2170" s="161" t="n">
        <v>23613</v>
      </c>
      <c r="L2170" s="8" t="inlineStr">
        <is>
          <t>ราคาที่ระบุเป็นก่อนหักส่วนลด</t>
        </is>
      </c>
    </row>
    <row r="2172">
      <c r="B2172" s="6" t="inlineStr">
        <is>
          <t>แม่สี Matrix  M-183</t>
        </is>
      </c>
      <c r="C2172" s="8" t="inlineStr">
        <is>
          <t>1กป.</t>
        </is>
      </c>
      <c r="D2172" s="9" t="n">
        <v>850</v>
      </c>
      <c r="F2172" s="8" t="n">
        <v>10</v>
      </c>
      <c r="H2172" s="9" t="n">
        <v>850</v>
      </c>
      <c r="I2172" s="10" t="inlineStr">
        <is>
          <t>ทรัพย์สินไทย</t>
        </is>
      </c>
      <c r="J2172" s="161" t="n">
        <v>23230</v>
      </c>
      <c r="L2172" s="8" t="inlineStr">
        <is>
          <t>ราคาที่ระบุเป็นก่อนหักส่วนลด</t>
        </is>
      </c>
    </row>
    <row r="2173">
      <c r="B2173" s="6" t="inlineStr">
        <is>
          <t>แม่สี Matrix  M-183</t>
        </is>
      </c>
      <c r="C2173" s="8" t="inlineStr">
        <is>
          <t>1กป.</t>
        </is>
      </c>
      <c r="D2173" s="9" t="n">
        <v>850</v>
      </c>
      <c r="F2173" s="8" t="n">
        <v>10</v>
      </c>
      <c r="H2173" s="9" t="n">
        <v>850</v>
      </c>
      <c r="I2173" s="10" t="inlineStr">
        <is>
          <t>ทรัพย์สินไทย</t>
        </is>
      </c>
      <c r="J2173" s="161" t="n">
        <v>23763</v>
      </c>
      <c r="K2173" s="8" t="inlineStr">
        <is>
          <t>IV6501224</t>
        </is>
      </c>
      <c r="L2173" s="8" t="inlineStr">
        <is>
          <t>ราคาที่ระบุเป็นก่อนหักส่วนลด</t>
        </is>
      </c>
    </row>
    <row r="2175">
      <c r="B2175" s="6" t="inlineStr">
        <is>
          <t>แม่สี Matrix  M-185</t>
        </is>
      </c>
      <c r="C2175" s="8" t="inlineStr">
        <is>
          <t>1กป.</t>
        </is>
      </c>
      <c r="D2175" s="9" t="n">
        <v>850</v>
      </c>
      <c r="F2175" s="8" t="n">
        <v>10</v>
      </c>
      <c r="H2175" s="9" t="n">
        <v>850</v>
      </c>
      <c r="I2175" s="10" t="inlineStr">
        <is>
          <t>ทรัพย์สินไทย</t>
        </is>
      </c>
      <c r="J2175" s="161" t="n">
        <v>22884</v>
      </c>
      <c r="L2175" s="8" t="inlineStr">
        <is>
          <t>ราคาที่ระบุเป็นก่อนหักส่วนลด</t>
        </is>
      </c>
    </row>
    <row r="2176">
      <c r="B2176" s="6" t="inlineStr">
        <is>
          <t>แม่สี Matrix  M-185</t>
        </is>
      </c>
      <c r="C2176" s="8" t="inlineStr">
        <is>
          <t>1กป.</t>
        </is>
      </c>
      <c r="D2176" s="9" t="n">
        <v>850</v>
      </c>
      <c r="F2176" s="8" t="n">
        <v>10</v>
      </c>
      <c r="H2176" s="9" t="n">
        <v>850</v>
      </c>
      <c r="I2176" s="10" t="inlineStr">
        <is>
          <t>ทรัพย์สินไทย</t>
        </is>
      </c>
      <c r="J2176" s="161" t="n">
        <v>22916</v>
      </c>
      <c r="L2176" s="8" t="inlineStr">
        <is>
          <t>ราคาที่ระบุเป็นก่อนหักส่วนลด</t>
        </is>
      </c>
    </row>
    <row r="2177">
      <c r="B2177" s="6" t="inlineStr">
        <is>
          <t>แม่สี Matrix  M-185</t>
        </is>
      </c>
      <c r="C2177" s="8" t="inlineStr">
        <is>
          <t>2กป.</t>
        </is>
      </c>
      <c r="D2177" s="9" t="n">
        <v>850</v>
      </c>
      <c r="F2177" s="8" t="n">
        <v>10</v>
      </c>
      <c r="H2177" s="9" t="n">
        <v>1700</v>
      </c>
      <c r="I2177" s="10" t="inlineStr">
        <is>
          <t>ทรัพย์สินไทย</t>
        </is>
      </c>
      <c r="J2177" s="161" t="n">
        <v>23062</v>
      </c>
      <c r="L2177" s="8" t="inlineStr">
        <is>
          <t>ราคาที่ระบุเป็นก่อนหักส่วนลด</t>
        </is>
      </c>
    </row>
    <row r="2178">
      <c r="B2178" s="6" t="inlineStr">
        <is>
          <t>แม่สี Matrix  M-185</t>
        </is>
      </c>
      <c r="C2178" s="8" t="inlineStr">
        <is>
          <t>1กป.</t>
        </is>
      </c>
      <c r="D2178" s="9" t="n">
        <v>850</v>
      </c>
      <c r="F2178" s="8" t="n">
        <v>10</v>
      </c>
      <c r="H2178" s="9" t="n">
        <v>850</v>
      </c>
      <c r="I2178" s="10" t="inlineStr">
        <is>
          <t>ทรัพย์สินไทย</t>
        </is>
      </c>
      <c r="J2178" s="161" t="n">
        <v>23230</v>
      </c>
      <c r="L2178" s="8" t="inlineStr">
        <is>
          <t>ราคาที่ระบุเป็นก่อนหักส่วนลด</t>
        </is>
      </c>
    </row>
    <row r="2179">
      <c r="B2179" s="6" t="inlineStr">
        <is>
          <t>แม่สี Matrix  M-185</t>
        </is>
      </c>
      <c r="C2179" s="8" t="inlineStr">
        <is>
          <t>2กป.</t>
        </is>
      </c>
      <c r="D2179" s="9" t="n">
        <v>850</v>
      </c>
      <c r="F2179" s="8" t="n">
        <v>10</v>
      </c>
      <c r="H2179" s="9" t="n">
        <v>1700</v>
      </c>
      <c r="I2179" s="10" t="inlineStr">
        <is>
          <t>ทรัพย์สินไทย</t>
        </is>
      </c>
      <c r="J2179" s="161" t="n">
        <v>23613</v>
      </c>
      <c r="L2179" s="8" t="inlineStr">
        <is>
          <t>ราคาที่ระบุเป็นก่อนหักส่วนลด</t>
        </is>
      </c>
    </row>
    <row r="2180">
      <c r="B2180" s="6" t="inlineStr">
        <is>
          <t>แม่สีน้ำเงินอมม่วง Hybrid S185</t>
        </is>
      </c>
      <c r="C2180" s="8" t="n">
        <v>2</v>
      </c>
      <c r="D2180" s="9" t="n">
        <v>750</v>
      </c>
      <c r="H2180" s="9">
        <f>SUM(D2180*C2180)</f>
        <v/>
      </c>
      <c r="I2180" s="10" t="inlineStr">
        <is>
          <t>บจก. วีที คัลเลอร์ โปร</t>
        </is>
      </c>
      <c r="J2180" s="161" t="n">
        <v>24515</v>
      </c>
      <c r="K2180" s="8" t="inlineStr">
        <is>
          <t>IV6702047</t>
        </is>
      </c>
      <c r="L2180" s="8" t="inlineStr">
        <is>
          <t>ราคาที่ระบุเป็นก่อนหักส่วนลด</t>
        </is>
      </c>
    </row>
    <row r="2181">
      <c r="B2181" s="6" t="inlineStr">
        <is>
          <t>แม่สีน้ำเงินอมม่วง Hybrid S185</t>
        </is>
      </c>
      <c r="C2181" s="8" t="n">
        <v>1</v>
      </c>
      <c r="D2181" s="9" t="n">
        <v>750</v>
      </c>
      <c r="H2181" s="9">
        <f>SUM(D2181*C2181)</f>
        <v/>
      </c>
      <c r="I2181" s="10" t="inlineStr">
        <is>
          <t>บจก. วีที คัลเลอร์ โปร</t>
        </is>
      </c>
      <c r="J2181" s="161" t="n">
        <v>24698</v>
      </c>
      <c r="K2181" s="8" t="inlineStr">
        <is>
          <t>IV6708064</t>
        </is>
      </c>
      <c r="L2181" s="8" t="inlineStr">
        <is>
          <t>ราคาที่ระบุเป็นก่อนหักส่วนลด</t>
        </is>
      </c>
    </row>
    <row r="2182">
      <c r="B2182" s="6" t="inlineStr">
        <is>
          <t>แม่สีน้ำเงินอมม่วง Hybrid S185</t>
        </is>
      </c>
      <c r="C2182" s="8" t="n">
        <v>1</v>
      </c>
      <c r="D2182" s="9" t="n">
        <v>750</v>
      </c>
      <c r="H2182" s="9">
        <f>SUM(D2182*C2182)</f>
        <v/>
      </c>
      <c r="I2182" s="10" t="inlineStr">
        <is>
          <t>บจก. วีที คัลเลอร์ โปร</t>
        </is>
      </c>
      <c r="J2182" s="161" t="n">
        <v>24824</v>
      </c>
      <c r="K2182" s="8" t="inlineStr">
        <is>
          <t>IV6712085</t>
        </is>
      </c>
      <c r="L2182" s="8" t="inlineStr">
        <is>
          <t>ราคาที่ระบุเป็นก่อนหักส่วนลด</t>
        </is>
      </c>
    </row>
    <row r="2183">
      <c r="B2183" s="6" t="inlineStr">
        <is>
          <t>แม่สีน้ำเงินอมม่วง Hybrid S185</t>
        </is>
      </c>
      <c r="C2183" s="8" t="n">
        <v>1</v>
      </c>
      <c r="D2183" s="9" t="n">
        <v>750</v>
      </c>
      <c r="E2183" s="9">
        <f>SUM(D2183*C2183)</f>
        <v/>
      </c>
      <c r="F2183" s="8" t="n">
        <v>0.07000000000000001</v>
      </c>
      <c r="G2183" s="10" t="inlineStr">
        <is>
          <t>รวม VAT =</t>
        </is>
      </c>
      <c r="H2183" s="9">
        <f>SUM(E2183+N2183)</f>
        <v/>
      </c>
      <c r="I2183" s="10" t="inlineStr">
        <is>
          <t>บจก. วีที คัลเลอร์ โปร</t>
        </is>
      </c>
      <c r="J2183" s="161" t="n">
        <v>25042</v>
      </c>
      <c r="K2183" s="8" t="inlineStr">
        <is>
          <t>IV6807180</t>
        </is>
      </c>
      <c r="L2183" s="8" t="inlineStr">
        <is>
          <t>ราคาที่ระบุ ยังไม่รวม VAT7%</t>
        </is>
      </c>
      <c r="N2183" s="6">
        <f>SUM(E2183*F2183)</f>
        <v/>
      </c>
    </row>
    <row r="2185">
      <c r="B2185" s="6" t="inlineStr">
        <is>
          <t>แม่สี Matrix  M-186</t>
        </is>
      </c>
      <c r="C2185" s="8" t="inlineStr">
        <is>
          <t>1กป.</t>
        </is>
      </c>
      <c r="D2185" s="9" t="n">
        <v>850</v>
      </c>
      <c r="F2185" s="8" t="n">
        <v>10</v>
      </c>
      <c r="H2185" s="9" t="n">
        <v>850</v>
      </c>
      <c r="I2185" s="10" t="inlineStr">
        <is>
          <t>ทรัพย์สินไทย</t>
        </is>
      </c>
      <c r="J2185" s="161" t="n">
        <v>22920</v>
      </c>
      <c r="L2185" s="8" t="inlineStr">
        <is>
          <t>ราคาที่ระบุเป็นก่อนหักส่วนลด</t>
        </is>
      </c>
    </row>
    <row r="2186">
      <c r="B2186" s="6" t="inlineStr">
        <is>
          <t>แม่สี Matrix  M-186</t>
        </is>
      </c>
      <c r="C2186" s="8" t="inlineStr">
        <is>
          <t>1กป.</t>
        </is>
      </c>
      <c r="D2186" s="9" t="n">
        <v>850</v>
      </c>
      <c r="F2186" s="8" t="n">
        <v>10</v>
      </c>
      <c r="H2186" s="9" t="n">
        <v>850</v>
      </c>
      <c r="I2186" s="10" t="inlineStr">
        <is>
          <t>ทรัพย์สินไทย</t>
        </is>
      </c>
      <c r="J2186" s="161" t="n">
        <v>23230</v>
      </c>
      <c r="L2186" s="8" t="inlineStr">
        <is>
          <t>ราคาที่ระบุเป็นก่อนหักส่วนลด</t>
        </is>
      </c>
    </row>
    <row r="2187">
      <c r="B2187" s="6" t="inlineStr">
        <is>
          <t>แม่สี Matrix  M-186</t>
        </is>
      </c>
      <c r="C2187" s="8" t="inlineStr">
        <is>
          <t>1กป.</t>
        </is>
      </c>
      <c r="D2187" s="9" t="n">
        <v>850</v>
      </c>
      <c r="F2187" s="8" t="n">
        <v>10</v>
      </c>
      <c r="H2187" s="9" t="n">
        <v>850</v>
      </c>
      <c r="I2187" s="10" t="inlineStr">
        <is>
          <t>ทรัพย์สินไทย</t>
        </is>
      </c>
      <c r="J2187" s="161" t="n">
        <v>23277</v>
      </c>
      <c r="L2187" s="8" t="inlineStr">
        <is>
          <t>ราคาที่ระบุเป็นก่อนหักส่วนลด</t>
        </is>
      </c>
    </row>
    <row r="2188">
      <c r="B2188" s="6" t="inlineStr">
        <is>
          <t>แม่สี Matrix  M-186</t>
        </is>
      </c>
      <c r="C2188" s="8" t="inlineStr">
        <is>
          <t>2กป.</t>
        </is>
      </c>
      <c r="D2188" s="9" t="n">
        <v>850</v>
      </c>
      <c r="F2188" s="8" t="n">
        <v>10</v>
      </c>
      <c r="H2188" s="9" t="n">
        <v>850</v>
      </c>
      <c r="I2188" s="10" t="inlineStr">
        <is>
          <t>ทรัพย์สินไทย</t>
        </is>
      </c>
      <c r="J2188" s="161" t="n">
        <v>23398</v>
      </c>
      <c r="L2188" s="8" t="inlineStr">
        <is>
          <t>ราคาที่ระบุเป็นก่อนหักส่วนลด</t>
        </is>
      </c>
    </row>
    <row r="2189">
      <c r="B2189" s="6" t="inlineStr">
        <is>
          <t>แม่สี Matrix  M-186</t>
        </is>
      </c>
      <c r="C2189" s="8" t="inlineStr">
        <is>
          <t>1กป.</t>
        </is>
      </c>
      <c r="D2189" s="9" t="n">
        <v>850</v>
      </c>
      <c r="F2189" s="8" t="n">
        <v>10</v>
      </c>
      <c r="H2189" s="9" t="n">
        <v>850</v>
      </c>
      <c r="I2189" s="10" t="inlineStr">
        <is>
          <t>ทรัพย์สินไทย</t>
        </is>
      </c>
      <c r="J2189" s="161" t="n">
        <v>23704</v>
      </c>
      <c r="K2189" s="8" t="inlineStr">
        <is>
          <t>IV6411319</t>
        </is>
      </c>
      <c r="L2189" s="8" t="inlineStr">
        <is>
          <t>ราคาที่ระบุเป็นก่อนหักส่วนลด</t>
        </is>
      </c>
    </row>
    <row r="2190">
      <c r="B2190" s="6" t="inlineStr">
        <is>
          <t>แม่สี Matrix  M-186</t>
        </is>
      </c>
      <c r="C2190" s="8" t="inlineStr">
        <is>
          <t>1กป.</t>
        </is>
      </c>
      <c r="D2190" s="9" t="n">
        <v>850</v>
      </c>
      <c r="F2190" s="8" t="n">
        <v>10</v>
      </c>
      <c r="H2190" s="9" t="n">
        <v>850</v>
      </c>
      <c r="I2190" s="10" t="inlineStr">
        <is>
          <t>ทรัพย์สินไทย</t>
        </is>
      </c>
      <c r="J2190" s="161" t="n">
        <v>23887</v>
      </c>
      <c r="K2190" s="8" t="inlineStr">
        <is>
          <t>IV6505290</t>
        </is>
      </c>
      <c r="L2190" s="8" t="inlineStr">
        <is>
          <t>ราคาที่ระบุเป็นก่อนหักส่วนลด</t>
        </is>
      </c>
    </row>
    <row r="2192">
      <c r="B2192" s="6" t="inlineStr">
        <is>
          <t>แม่สี Matrix  M-187</t>
        </is>
      </c>
      <c r="C2192" s="8" t="inlineStr">
        <is>
          <t>1กป.</t>
        </is>
      </c>
      <c r="D2192" s="9" t="n">
        <v>850</v>
      </c>
      <c r="F2192" s="8" t="n">
        <v>10</v>
      </c>
      <c r="H2192" s="9" t="n">
        <v>850</v>
      </c>
      <c r="I2192" s="10" t="inlineStr">
        <is>
          <t>ทรัพย์สินไทย</t>
        </is>
      </c>
      <c r="J2192" s="161" t="n">
        <v>22913</v>
      </c>
      <c r="L2192" s="8" t="inlineStr">
        <is>
          <t>ราคาที่ระบุเป็นก่อนหักส่วนลด</t>
        </is>
      </c>
    </row>
    <row r="2193">
      <c r="B2193" s="6" t="inlineStr">
        <is>
          <t>แม่สี Matrix  M-187</t>
        </is>
      </c>
      <c r="C2193" s="8" t="inlineStr">
        <is>
          <t>2กป.</t>
        </is>
      </c>
      <c r="D2193" s="9" t="n">
        <v>850</v>
      </c>
      <c r="F2193" s="8" t="n">
        <v>10</v>
      </c>
      <c r="H2193" s="9" t="n">
        <v>1700</v>
      </c>
      <c r="I2193" s="10" t="inlineStr">
        <is>
          <t>ทรัพย์สินไทย</t>
        </is>
      </c>
      <c r="J2193" s="161" t="n">
        <v>23124</v>
      </c>
      <c r="L2193" s="8" t="inlineStr">
        <is>
          <t>ราคาที่ระบุเป็นก่อนหักส่วนลด</t>
        </is>
      </c>
    </row>
    <row r="2194">
      <c r="B2194" s="6" t="inlineStr">
        <is>
          <t>แม่สี Matrix  M-187</t>
        </is>
      </c>
      <c r="C2194" s="8" t="inlineStr">
        <is>
          <t>2กป.</t>
        </is>
      </c>
      <c r="D2194" s="9" t="n">
        <v>850</v>
      </c>
      <c r="F2194" s="8" t="n">
        <v>10</v>
      </c>
      <c r="H2194" s="9" t="n">
        <v>1700</v>
      </c>
      <c r="I2194" s="10" t="inlineStr">
        <is>
          <t>ทรัพย์สินไทย</t>
        </is>
      </c>
      <c r="J2194" s="161" t="n">
        <v>23613</v>
      </c>
      <c r="L2194" s="8" t="inlineStr">
        <is>
          <t>ราคาที่ระบุเป็นก่อนหักส่วนลด</t>
        </is>
      </c>
    </row>
    <row r="2195">
      <c r="B2195" s="6" t="inlineStr">
        <is>
          <t>แม่สี Matrix  M-187</t>
        </is>
      </c>
      <c r="C2195" s="8" t="inlineStr">
        <is>
          <t>1กป.</t>
        </is>
      </c>
      <c r="D2195" s="9" t="n">
        <v>850</v>
      </c>
      <c r="F2195" s="8" t="n">
        <v>10</v>
      </c>
      <c r="H2195" s="9" t="n">
        <v>850</v>
      </c>
      <c r="I2195" s="10" t="inlineStr">
        <is>
          <t>ทรัพย์สินไทย</t>
        </is>
      </c>
      <c r="J2195" s="161" t="n">
        <v>23887</v>
      </c>
      <c r="K2195" s="8" t="inlineStr">
        <is>
          <t>IV6505290</t>
        </is>
      </c>
      <c r="L2195" s="8" t="inlineStr">
        <is>
          <t>ราคาที่ระบุเป็นก่อนหักส่วนลด</t>
        </is>
      </c>
    </row>
    <row r="2197">
      <c r="B2197" s="6" t="inlineStr">
        <is>
          <t>แม่สี Matrix  M-188</t>
        </is>
      </c>
      <c r="C2197" s="8" t="inlineStr">
        <is>
          <t>1กป.</t>
        </is>
      </c>
      <c r="D2197" s="9" t="n">
        <v>850</v>
      </c>
      <c r="F2197" s="8" t="n">
        <v>10</v>
      </c>
      <c r="H2197" s="9" t="n">
        <v>850</v>
      </c>
      <c r="I2197" s="10" t="inlineStr">
        <is>
          <t>ทรัพย์สินไทย</t>
        </is>
      </c>
      <c r="J2197" s="161" t="n">
        <v>22822</v>
      </c>
      <c r="L2197" s="8" t="inlineStr">
        <is>
          <t>ราคาที่ระบุเป็นก่อนหักส่วนลด</t>
        </is>
      </c>
    </row>
    <row r="2198">
      <c r="B2198" s="6" t="inlineStr">
        <is>
          <t>แม่สี Matrix  M-188</t>
        </is>
      </c>
      <c r="C2198" s="8" t="inlineStr">
        <is>
          <t>1กป.</t>
        </is>
      </c>
      <c r="D2198" s="9" t="n">
        <v>850</v>
      </c>
      <c r="F2198" s="8" t="n">
        <v>10</v>
      </c>
      <c r="H2198" s="9" t="n">
        <v>850</v>
      </c>
      <c r="I2198" s="10" t="inlineStr">
        <is>
          <t>ทรัพย์สินไทย</t>
        </is>
      </c>
      <c r="J2198" s="161" t="n">
        <v>22913</v>
      </c>
      <c r="L2198" s="8" t="inlineStr">
        <is>
          <t>ราคาที่ระบุเป็นก่อนหักส่วนลด</t>
        </is>
      </c>
    </row>
    <row r="2199">
      <c r="B2199" s="6" t="inlineStr">
        <is>
          <t>แม่สี Matrix  M-188</t>
        </is>
      </c>
      <c r="C2199" s="8" t="inlineStr">
        <is>
          <t>2กป.</t>
        </is>
      </c>
      <c r="D2199" s="9" t="n">
        <v>850</v>
      </c>
      <c r="F2199" s="8" t="n">
        <v>10</v>
      </c>
      <c r="H2199" s="9" t="n">
        <v>1700</v>
      </c>
      <c r="I2199" s="10" t="inlineStr">
        <is>
          <t>ทรัพย์สินไทย</t>
        </is>
      </c>
      <c r="J2199" s="161" t="n">
        <v>23221</v>
      </c>
      <c r="L2199" s="8" t="inlineStr">
        <is>
          <t>ราคาที่ระบุเป็นก่อนหักส่วนลด</t>
        </is>
      </c>
    </row>
    <row r="2200">
      <c r="B2200" s="6" t="inlineStr">
        <is>
          <t>แม่สี Matrix  M-188</t>
        </is>
      </c>
      <c r="C2200" s="8" t="inlineStr">
        <is>
          <t>2กป.</t>
        </is>
      </c>
      <c r="D2200" s="9" t="n">
        <v>850</v>
      </c>
      <c r="F2200" s="8" t="n">
        <v>10</v>
      </c>
      <c r="H2200" s="9" t="n">
        <v>1700</v>
      </c>
      <c r="I2200" s="10" t="inlineStr">
        <is>
          <t>ทรัพย์สินไทย</t>
        </is>
      </c>
      <c r="J2200" s="161" t="n">
        <v>23430</v>
      </c>
      <c r="L2200" s="8" t="inlineStr">
        <is>
          <t>ราคาที่ระบุเป็นก่อนหักส่วนลด</t>
        </is>
      </c>
    </row>
    <row r="2201">
      <c r="B2201" s="6" t="inlineStr">
        <is>
          <t>แม่สี Matrix  M-188</t>
        </is>
      </c>
      <c r="C2201" s="8" t="inlineStr">
        <is>
          <t>1กป.</t>
        </is>
      </c>
      <c r="D2201" s="9" t="n">
        <v>850</v>
      </c>
      <c r="F2201" s="8" t="n">
        <v>10</v>
      </c>
      <c r="H2201" s="9" t="n">
        <v>850</v>
      </c>
      <c r="I2201" s="10" t="inlineStr">
        <is>
          <t>ทรัพย์สินไทย</t>
        </is>
      </c>
      <c r="J2201" s="161" t="n">
        <v>23676</v>
      </c>
      <c r="K2201" s="8" t="inlineStr">
        <is>
          <t>IV6410364</t>
        </is>
      </c>
      <c r="L2201" s="8" t="inlineStr">
        <is>
          <t>ราคาที่ระบุเป็นก่อนหักส่วนลด</t>
        </is>
      </c>
    </row>
    <row r="2202">
      <c r="B2202" s="6" t="inlineStr">
        <is>
          <t>แม่สี Matrix  M-188</t>
        </is>
      </c>
      <c r="C2202" s="8" t="inlineStr">
        <is>
          <t>1กป.</t>
        </is>
      </c>
      <c r="D2202" s="9" t="n">
        <v>850</v>
      </c>
      <c r="F2202" s="8" t="n">
        <v>10</v>
      </c>
      <c r="H2202" s="9" t="n">
        <v>850</v>
      </c>
      <c r="I2202" s="10" t="inlineStr">
        <is>
          <t>ทรัพย์สินไทย</t>
        </is>
      </c>
      <c r="J2202" s="161" t="n">
        <v>23887</v>
      </c>
      <c r="K2202" s="8" t="inlineStr">
        <is>
          <t>IV6505290</t>
        </is>
      </c>
      <c r="L2202" s="8" t="inlineStr">
        <is>
          <t>ราคาที่ระบุเป็นก่อนหักส่วนลด</t>
        </is>
      </c>
    </row>
    <row r="2203">
      <c r="B2203" s="6" t="inlineStr">
        <is>
          <t>แม่สีน้ำเงินฟ้า SC-188</t>
        </is>
      </c>
      <c r="C2203" s="8" t="inlineStr">
        <is>
          <t>2กป.</t>
        </is>
      </c>
      <c r="D2203" s="9" t="n">
        <v>750</v>
      </c>
      <c r="H2203" s="9" t="n">
        <v>1500</v>
      </c>
      <c r="I2203" s="10" t="inlineStr">
        <is>
          <t>บจก. วีที คัลเลอร์ โปร</t>
        </is>
      </c>
      <c r="J2203" s="161" t="n">
        <v>24040</v>
      </c>
      <c r="K2203" s="8" t="inlineStr">
        <is>
          <t>IV228-65</t>
        </is>
      </c>
      <c r="L2203" s="8" t="inlineStr">
        <is>
          <t>ราคาที่ระบุเป็นก่อนหักส่วนลด</t>
        </is>
      </c>
    </row>
    <row r="2204">
      <c r="B2204" s="6" t="inlineStr">
        <is>
          <t>แม่สีน้ำเงินฟ้า Hybrid S188</t>
        </is>
      </c>
      <c r="C2204" s="8" t="inlineStr">
        <is>
          <t>1กป.</t>
        </is>
      </c>
      <c r="D2204" s="9" t="n">
        <v>750</v>
      </c>
      <c r="H2204" s="9" t="n">
        <v>750</v>
      </c>
      <c r="I2204" s="10" t="inlineStr">
        <is>
          <t>บจก. วีที คัลเลอร์ โปร</t>
        </is>
      </c>
      <c r="J2204" s="161" t="n">
        <v>24315</v>
      </c>
      <c r="K2204" s="8" t="inlineStr">
        <is>
          <t>IV424-66</t>
        </is>
      </c>
      <c r="L2204" s="8" t="inlineStr">
        <is>
          <t>ราคาที่ระบุเป็นก่อนหักส่วนลด</t>
        </is>
      </c>
    </row>
    <row r="2205">
      <c r="B2205" s="6" t="inlineStr">
        <is>
          <t>แม่สีน้ำเงินฟ้า Hybrid S188</t>
        </is>
      </c>
      <c r="C2205" s="8" t="n">
        <v>2</v>
      </c>
      <c r="D2205" s="9" t="n">
        <v>750</v>
      </c>
      <c r="H2205" s="9">
        <f>SUM(D2205*C2205)</f>
        <v/>
      </c>
      <c r="I2205" s="10" t="inlineStr">
        <is>
          <t>บจก. วีที คัลเลอร์ โปร</t>
        </is>
      </c>
      <c r="J2205" s="161" t="n">
        <v>24515</v>
      </c>
      <c r="K2205" s="8" t="inlineStr">
        <is>
          <t>IV6702047</t>
        </is>
      </c>
      <c r="L2205" s="8" t="inlineStr">
        <is>
          <t>ราคาที่ระบุเป็นก่อนหักส่วนลด</t>
        </is>
      </c>
    </row>
    <row r="2206">
      <c r="B2206" s="6" t="inlineStr">
        <is>
          <t>แม่สีน้ำเงินฟ้า Hybrid S188</t>
        </is>
      </c>
      <c r="C2206" s="8" t="n">
        <v>2</v>
      </c>
      <c r="D2206" s="9" t="n">
        <v>750</v>
      </c>
      <c r="E2206" s="9">
        <f>SUM(D2206*C2206)</f>
        <v/>
      </c>
      <c r="F2206" s="8" t="n">
        <v>0.07000000000000001</v>
      </c>
      <c r="G2206" s="10" t="inlineStr">
        <is>
          <t>รวม VAT =</t>
        </is>
      </c>
      <c r="H2206" s="9">
        <f>SUM(E2206+N2206)</f>
        <v/>
      </c>
      <c r="I2206" s="10" t="inlineStr">
        <is>
          <t>บจก. วีที คัลเลอร์ โปร</t>
        </is>
      </c>
      <c r="J2206" s="161" t="n">
        <v>25042</v>
      </c>
      <c r="K2206" s="8" t="inlineStr">
        <is>
          <t>IV6807180</t>
        </is>
      </c>
      <c r="N2206" s="6">
        <f>SUM(E2206*F2206)</f>
        <v/>
      </c>
    </row>
    <row r="2207">
      <c r="B2207" s="6" t="inlineStr">
        <is>
          <t>แม่สีน้ำเงินฟ้า Hybrid S188</t>
        </is>
      </c>
      <c r="C2207" s="8" t="n">
        <v>2</v>
      </c>
      <c r="D2207" s="9" t="n">
        <v>750</v>
      </c>
      <c r="E2207" s="9">
        <f>SUM(D2207*C2207)</f>
        <v/>
      </c>
      <c r="F2207" s="8" t="n">
        <v>0.07000000000000001</v>
      </c>
      <c r="G2207" s="10" t="inlineStr">
        <is>
          <t>รวม VAT =</t>
        </is>
      </c>
      <c r="H2207" s="9">
        <f>SUM(E2207+N2207)</f>
        <v/>
      </c>
      <c r="I2207" s="10" t="inlineStr">
        <is>
          <t>บจก. วีที คัลเลอร์ โปร</t>
        </is>
      </c>
      <c r="J2207" s="161" t="n">
        <v>25073</v>
      </c>
      <c r="K2207" s="8" t="inlineStr">
        <is>
          <t>IV6808151</t>
        </is>
      </c>
      <c r="N2207" s="6">
        <f>SUM(E2207*F2207)</f>
        <v/>
      </c>
    </row>
    <row r="2209">
      <c r="B2209" s="6" t="inlineStr">
        <is>
          <t>แม่สี Matrix  M-189</t>
        </is>
      </c>
      <c r="C2209" s="8" t="inlineStr">
        <is>
          <t>1กป.</t>
        </is>
      </c>
      <c r="D2209" s="9" t="n">
        <v>850</v>
      </c>
      <c r="F2209" s="8" t="n">
        <v>10</v>
      </c>
      <c r="H2209" s="9" t="n">
        <v>850</v>
      </c>
      <c r="I2209" s="10" t="inlineStr">
        <is>
          <t>ทรัพย์สินไทย</t>
        </is>
      </c>
      <c r="J2209" s="161" t="n">
        <v>22822</v>
      </c>
      <c r="L2209" s="8" t="inlineStr">
        <is>
          <t>ราคาที่ระบุเป็นก่อนหักส่วนลด</t>
        </is>
      </c>
    </row>
    <row r="2210">
      <c r="B2210" s="6" t="inlineStr">
        <is>
          <t>แม่สี Matrix  M-189</t>
        </is>
      </c>
      <c r="C2210" s="8" t="inlineStr">
        <is>
          <t>2กป.</t>
        </is>
      </c>
      <c r="D2210" s="9" t="n">
        <v>850</v>
      </c>
      <c r="F2210" s="8" t="n">
        <v>10</v>
      </c>
      <c r="H2210" s="9" t="n">
        <v>1700</v>
      </c>
      <c r="I2210" s="10" t="inlineStr">
        <is>
          <t>ทรัพย์สินไทย</t>
        </is>
      </c>
      <c r="J2210" s="161" t="n">
        <v>23366</v>
      </c>
      <c r="L2210" s="8" t="inlineStr">
        <is>
          <t>ราคาที่ระบุเป็นก่อนหักส่วนลด</t>
        </is>
      </c>
    </row>
    <row r="2211">
      <c r="B2211" s="6" t="inlineStr">
        <is>
          <t>แม่สี Matrix  M-189</t>
        </is>
      </c>
      <c r="C2211" s="8" t="inlineStr">
        <is>
          <t>1กป.</t>
        </is>
      </c>
      <c r="D2211" s="9" t="n">
        <v>850</v>
      </c>
      <c r="F2211" s="8" t="n">
        <v>10</v>
      </c>
      <c r="H2211" s="9" t="n">
        <v>850</v>
      </c>
      <c r="I2211" s="10" t="inlineStr">
        <is>
          <t>ทรัพย์สินไทย</t>
        </is>
      </c>
      <c r="J2211" s="161" t="n">
        <v>23642</v>
      </c>
      <c r="K2211" s="8" t="inlineStr">
        <is>
          <t>IV6409285</t>
        </is>
      </c>
      <c r="L2211" s="8" t="inlineStr">
        <is>
          <t>ราคาที่ระบุเป็นก่อนหักส่วนลด</t>
        </is>
      </c>
    </row>
    <row r="2212">
      <c r="B2212" s="6" t="inlineStr">
        <is>
          <t>แม่สี Matrix  M-189</t>
        </is>
      </c>
      <c r="C2212" s="8" t="inlineStr">
        <is>
          <t>1กป.</t>
        </is>
      </c>
      <c r="D2212" s="9" t="n">
        <v>850</v>
      </c>
      <c r="F2212" s="8" t="n">
        <v>10</v>
      </c>
      <c r="H2212" s="9" t="n">
        <v>850</v>
      </c>
      <c r="I2212" s="10" t="inlineStr">
        <is>
          <t>ทรัพย์สินไทย</t>
        </is>
      </c>
      <c r="J2212" s="161" t="n">
        <v>23887</v>
      </c>
      <c r="K2212" s="8" t="inlineStr">
        <is>
          <t>IV6505290</t>
        </is>
      </c>
      <c r="L2212" s="8" t="inlineStr">
        <is>
          <t>ราคาที่ระบุเป็นก่อนหักส่วนลด</t>
        </is>
      </c>
    </row>
    <row r="2213">
      <c r="B2213" s="6" t="inlineStr">
        <is>
          <t>แม่สีเขียวอมน้ำเงิน Hybrid S189</t>
        </is>
      </c>
      <c r="C2213" s="8" t="n">
        <v>1</v>
      </c>
      <c r="D2213" s="9" t="n">
        <v>750</v>
      </c>
      <c r="H2213" s="9">
        <f>SUM(D2213*C2213)</f>
        <v/>
      </c>
      <c r="I2213" s="10" t="inlineStr">
        <is>
          <t>บจก. วีที คัลเลอร์ โปร</t>
        </is>
      </c>
      <c r="J2213" s="161" t="n">
        <v>24647</v>
      </c>
      <c r="K2213" s="8" t="inlineStr">
        <is>
          <t>IV6706130</t>
        </is>
      </c>
      <c r="L2213" s="8" t="inlineStr">
        <is>
          <t>ราคาที่ระบุเป็นก่อนหักส่วนลด</t>
        </is>
      </c>
    </row>
    <row r="2214">
      <c r="B2214" s="6" t="inlineStr">
        <is>
          <t>แม่สีเขียวอมน้ำเงิน Hybrid S189</t>
        </is>
      </c>
      <c r="C2214" s="8" t="n">
        <v>2</v>
      </c>
      <c r="D2214" s="9" t="n">
        <v>750</v>
      </c>
      <c r="E2214" s="9">
        <f>SUM(D2214*C2214)</f>
        <v/>
      </c>
      <c r="F2214" s="8" t="n">
        <v>0.07000000000000001</v>
      </c>
      <c r="G2214" s="10" t="inlineStr">
        <is>
          <t>รวม VAT =</t>
        </is>
      </c>
      <c r="H2214" s="9">
        <f>SUM(E2214+N2214)</f>
        <v/>
      </c>
      <c r="I2214" s="10" t="inlineStr">
        <is>
          <t>บจก. วีที คัลเลอร์ โปร</t>
        </is>
      </c>
      <c r="J2214" s="161" t="n">
        <v>25093</v>
      </c>
      <c r="K2214" s="8" t="inlineStr">
        <is>
          <t>IV6809088</t>
        </is>
      </c>
      <c r="N2214" s="6">
        <f>SUM(E2214*F2214)</f>
        <v/>
      </c>
    </row>
    <row r="2216">
      <c r="B2216" s="6" t="inlineStr">
        <is>
          <t>แม่สี Matrix  M-190</t>
        </is>
      </c>
      <c r="C2216" s="8" t="inlineStr">
        <is>
          <t>3กล.</t>
        </is>
      </c>
      <c r="D2216" s="9" t="n">
        <v>2950</v>
      </c>
      <c r="F2216" s="8" t="n">
        <v>10</v>
      </c>
      <c r="H2216" s="9" t="n">
        <v>8850</v>
      </c>
      <c r="I2216" s="10" t="inlineStr">
        <is>
          <t>ทรัพย์สินไทย</t>
        </is>
      </c>
      <c r="J2216" s="161" t="n">
        <v>22429</v>
      </c>
      <c r="L2216" s="8" t="inlineStr">
        <is>
          <t>ราคาที่ระบุเป็นก่อนหักส่วนลด</t>
        </is>
      </c>
    </row>
    <row r="2217">
      <c r="B2217" s="6" t="inlineStr">
        <is>
          <t>แม่สี Matrix  M-190</t>
        </is>
      </c>
      <c r="C2217" s="8" t="inlineStr">
        <is>
          <t>3กล.</t>
        </is>
      </c>
      <c r="D2217" s="9" t="n">
        <v>2950</v>
      </c>
      <c r="F2217" s="8" t="n">
        <v>10</v>
      </c>
      <c r="H2217" s="9" t="n">
        <v>8850</v>
      </c>
      <c r="I2217" s="10" t="inlineStr">
        <is>
          <t>ทรัพย์สินไทย</t>
        </is>
      </c>
      <c r="J2217" s="161" t="n">
        <v>22821</v>
      </c>
      <c r="L2217" s="8" t="inlineStr">
        <is>
          <t>ราคาที่ระบุเป็นก่อนหักส่วนลด</t>
        </is>
      </c>
    </row>
    <row r="2218">
      <c r="B2218" s="6" t="inlineStr">
        <is>
          <t>แม่สี Matrix  M-190</t>
        </is>
      </c>
      <c r="C2218" s="8" t="inlineStr">
        <is>
          <t>2กล.</t>
        </is>
      </c>
      <c r="D2218" s="9" t="n">
        <v>2950</v>
      </c>
      <c r="F2218" s="8" t="n">
        <v>10</v>
      </c>
      <c r="H2218" s="9" t="n">
        <v>5900</v>
      </c>
      <c r="I2218" s="10" t="inlineStr">
        <is>
          <t>ทรัพย์สินไทย</t>
        </is>
      </c>
      <c r="J2218" s="161" t="n">
        <v>22884</v>
      </c>
      <c r="L2218" s="8" t="inlineStr">
        <is>
          <t>ราคาที่ระบุเป็นก่อนหักส่วนลด</t>
        </is>
      </c>
    </row>
    <row r="2219">
      <c r="B2219" s="6" t="inlineStr">
        <is>
          <t>แม่สี Matrix  M-190</t>
        </is>
      </c>
      <c r="C2219" s="8" t="inlineStr">
        <is>
          <t>2กล.</t>
        </is>
      </c>
      <c r="D2219" s="9" t="n">
        <v>2950</v>
      </c>
      <c r="F2219" s="8" t="n">
        <v>10</v>
      </c>
      <c r="H2219" s="9" t="n">
        <v>5900</v>
      </c>
      <c r="I2219" s="10" t="inlineStr">
        <is>
          <t>ทรัพย์สินไทย</t>
        </is>
      </c>
      <c r="J2219" s="161" t="n">
        <v>23094</v>
      </c>
      <c r="L2219" s="8" t="inlineStr">
        <is>
          <t>ราคาที่ระบุเป็นก่อนหักส่วนลด</t>
        </is>
      </c>
    </row>
    <row r="2220">
      <c r="B2220" s="6" t="inlineStr">
        <is>
          <t>แม่สี Matrix  M-190</t>
        </is>
      </c>
      <c r="C2220" s="8" t="inlineStr">
        <is>
          <t>2กล.</t>
        </is>
      </c>
      <c r="D2220" s="9" t="n">
        <v>2950</v>
      </c>
      <c r="F2220" s="8" t="n">
        <v>10</v>
      </c>
      <c r="H2220" s="9" t="n">
        <v>5900</v>
      </c>
      <c r="I2220" s="10" t="inlineStr">
        <is>
          <t>ทรัพย์สินไทย</t>
        </is>
      </c>
      <c r="J2220" s="161" t="n">
        <v>23216</v>
      </c>
      <c r="L2220" s="8" t="inlineStr">
        <is>
          <t>ราคาที่ระบุเป็นก่อนหักส่วนลด</t>
        </is>
      </c>
    </row>
    <row r="2221">
      <c r="B2221" s="6" t="inlineStr">
        <is>
          <t>แม่สี Matrix  M-190</t>
        </is>
      </c>
      <c r="C2221" s="8" t="inlineStr">
        <is>
          <t>2กล.</t>
        </is>
      </c>
      <c r="D2221" s="9" t="n">
        <v>2950</v>
      </c>
      <c r="F2221" s="8" t="n">
        <v>10</v>
      </c>
      <c r="H2221" s="9" t="n">
        <v>5900</v>
      </c>
      <c r="I2221" s="10" t="inlineStr">
        <is>
          <t>ทรัพย์สินไทย</t>
        </is>
      </c>
      <c r="J2221" s="161" t="n">
        <v>23277</v>
      </c>
      <c r="L2221" s="8" t="inlineStr">
        <is>
          <t>ราคาที่ระบุเป็นก่อนหักส่วนลด</t>
        </is>
      </c>
    </row>
    <row r="2222">
      <c r="B2222" s="6" t="inlineStr">
        <is>
          <t>แม่สี Matrix  M-190</t>
        </is>
      </c>
      <c r="C2222" s="8" t="inlineStr">
        <is>
          <t>2กล.</t>
        </is>
      </c>
      <c r="D2222" s="9" t="n">
        <v>2950</v>
      </c>
      <c r="F2222" s="8" t="n">
        <v>10</v>
      </c>
      <c r="H2222" s="9" t="n">
        <v>5900</v>
      </c>
      <c r="I2222" s="10" t="inlineStr">
        <is>
          <t>ทรัพย์สินไทย</t>
        </is>
      </c>
      <c r="J2222" s="161" t="n">
        <v>23355</v>
      </c>
      <c r="L2222" s="8" t="inlineStr">
        <is>
          <t>ราคาที่ระบุเป็นก่อนหักส่วนลด</t>
        </is>
      </c>
    </row>
    <row r="2223">
      <c r="B2223" s="6" t="inlineStr">
        <is>
          <t>แม่สี Matrix  M-190</t>
        </is>
      </c>
      <c r="C2223" s="8" t="inlineStr">
        <is>
          <t>2กล.</t>
        </is>
      </c>
      <c r="D2223" s="9" t="n">
        <v>2950</v>
      </c>
      <c r="F2223" s="8" t="n">
        <v>10</v>
      </c>
      <c r="H2223" s="9" t="n">
        <v>5900</v>
      </c>
      <c r="I2223" s="10" t="inlineStr">
        <is>
          <t>ทรัพย์สินไทย</t>
        </is>
      </c>
      <c r="J2223" s="161" t="n">
        <v>23366</v>
      </c>
      <c r="L2223" s="8" t="inlineStr">
        <is>
          <t>ราคาที่ระบุเป็นก่อนหักส่วนลด</t>
        </is>
      </c>
    </row>
    <row r="2224">
      <c r="B2224" s="6" t="inlineStr">
        <is>
          <t>แม่สี Matrix  M-190</t>
        </is>
      </c>
      <c r="C2224" s="8" t="inlineStr">
        <is>
          <t>2กล.</t>
        </is>
      </c>
      <c r="D2224" s="9" t="n">
        <v>2950</v>
      </c>
      <c r="F2224" s="8" t="n">
        <v>10</v>
      </c>
      <c r="H2224" s="9" t="n">
        <v>5900</v>
      </c>
      <c r="I2224" s="10" t="inlineStr">
        <is>
          <t>ทรัพย์สินไทย</t>
        </is>
      </c>
      <c r="J2224" s="161" t="n">
        <v>23460</v>
      </c>
      <c r="L2224" s="8" t="inlineStr">
        <is>
          <t>ราคาที่ระบุเป็นก่อนหักส่วนลด</t>
        </is>
      </c>
    </row>
    <row r="2225">
      <c r="B2225" s="6" t="inlineStr">
        <is>
          <t>แม่สี Matrix  M-190</t>
        </is>
      </c>
      <c r="C2225" s="8" t="inlineStr">
        <is>
          <t>2กล.</t>
        </is>
      </c>
      <c r="D2225" s="9" t="n">
        <v>2950</v>
      </c>
      <c r="F2225" s="8" t="n">
        <v>10</v>
      </c>
      <c r="H2225" s="9" t="n">
        <v>5900</v>
      </c>
      <c r="I2225" s="10" t="inlineStr">
        <is>
          <t>ทรัพย์สินไทย</t>
        </is>
      </c>
      <c r="J2225" s="161" t="n">
        <v>23584</v>
      </c>
      <c r="L2225" s="8" t="inlineStr">
        <is>
          <t>ราคาที่ระบุเป็นก่อนหักส่วนลด</t>
        </is>
      </c>
    </row>
    <row r="2226">
      <c r="B2226" s="6" t="inlineStr">
        <is>
          <t>แม่สี Matrix  M-190</t>
        </is>
      </c>
      <c r="C2226" s="8" t="inlineStr">
        <is>
          <t>1กล.</t>
        </is>
      </c>
      <c r="D2226" s="9" t="n">
        <v>2950</v>
      </c>
      <c r="F2226" s="8" t="n">
        <v>10</v>
      </c>
      <c r="H2226" s="9" t="n">
        <v>2950</v>
      </c>
      <c r="I2226" s="10" t="inlineStr">
        <is>
          <t>ทรัพย์สินไทย</t>
        </is>
      </c>
      <c r="J2226" s="161" t="n">
        <v>23704</v>
      </c>
      <c r="K2226" s="8" t="inlineStr">
        <is>
          <t>IV6411319</t>
        </is>
      </c>
      <c r="L2226" s="8" t="inlineStr">
        <is>
          <t>ราคาที่ระบุเป็นก่อนหักส่วนลด</t>
        </is>
      </c>
    </row>
    <row r="2227">
      <c r="B2227" s="6" t="inlineStr">
        <is>
          <t>แม่สี Matrix  M-190</t>
        </is>
      </c>
      <c r="C2227" s="8" t="inlineStr">
        <is>
          <t>1กล.</t>
        </is>
      </c>
      <c r="D2227" s="9" t="n">
        <v>2950</v>
      </c>
      <c r="F2227" s="8" t="n">
        <v>10</v>
      </c>
      <c r="H2227" s="9" t="n">
        <v>2950</v>
      </c>
      <c r="I2227" s="10" t="inlineStr">
        <is>
          <t>ทรัพย์สินไทย</t>
        </is>
      </c>
      <c r="J2227" s="161" t="n">
        <v>23795</v>
      </c>
      <c r="K2227" s="8" t="inlineStr">
        <is>
          <t>IV6502258</t>
        </is>
      </c>
      <c r="L2227" s="8" t="inlineStr">
        <is>
          <t>ราคาที่ระบุเป็นก่อนหักส่วนลด</t>
        </is>
      </c>
    </row>
    <row r="2228">
      <c r="B2228" s="6" t="inlineStr">
        <is>
          <t>แม่สี Matrix  M-190</t>
        </is>
      </c>
      <c r="C2228" s="8" t="inlineStr">
        <is>
          <t>1กล.</t>
        </is>
      </c>
      <c r="D2228" s="9" t="n">
        <v>2950</v>
      </c>
      <c r="F2228" s="8" t="n">
        <v>10</v>
      </c>
      <c r="H2228" s="9" t="n">
        <v>2950</v>
      </c>
      <c r="I2228" s="10" t="inlineStr">
        <is>
          <t>ทรัพย์สินไทย</t>
        </is>
      </c>
      <c r="J2228" s="161" t="n">
        <v>23824</v>
      </c>
      <c r="K2228" s="8" t="inlineStr">
        <is>
          <t>IV6503300</t>
        </is>
      </c>
      <c r="L2228" s="8" t="inlineStr">
        <is>
          <t>ราคาที่ระบุเป็นก่อนหักส่วนลด</t>
        </is>
      </c>
    </row>
    <row r="2229">
      <c r="B2229" s="6" t="inlineStr">
        <is>
          <t>แม่สี Matrix  M-190</t>
        </is>
      </c>
      <c r="C2229" s="8" t="inlineStr">
        <is>
          <t>1กล.</t>
        </is>
      </c>
      <c r="D2229" s="9" t="n">
        <v>2950</v>
      </c>
      <c r="F2229" s="8" t="n">
        <v>10</v>
      </c>
      <c r="H2229" s="9" t="n">
        <v>2950</v>
      </c>
      <c r="I2229" s="10" t="inlineStr">
        <is>
          <t>ทรัพย์สินไทย</t>
        </is>
      </c>
      <c r="J2229" s="161" t="n">
        <v>23887</v>
      </c>
      <c r="K2229" s="8" t="inlineStr">
        <is>
          <t>IV6505290</t>
        </is>
      </c>
      <c r="L2229" s="8" t="inlineStr">
        <is>
          <t>ราคาที่ระบุเป็นก่อนหักส่วนลด</t>
        </is>
      </c>
    </row>
    <row r="2230">
      <c r="B2230" s="6" t="inlineStr">
        <is>
          <t>แม่สี Matrix  M-190</t>
        </is>
      </c>
      <c r="C2230" s="8" t="inlineStr">
        <is>
          <t>2กล.</t>
        </is>
      </c>
      <c r="D2230" s="9" t="n">
        <v>2950</v>
      </c>
      <c r="F2230" s="8" t="n">
        <v>10</v>
      </c>
      <c r="H2230" s="9" t="n">
        <v>5900</v>
      </c>
      <c r="I2230" s="10" t="inlineStr">
        <is>
          <t>ทรัพย์สินไทย</t>
        </is>
      </c>
      <c r="J2230" s="161" t="n">
        <v>23920</v>
      </c>
      <c r="K2230" s="8" t="inlineStr">
        <is>
          <t>IV6506336</t>
        </is>
      </c>
      <c r="L2230" s="8" t="inlineStr">
        <is>
          <t>ราคาที่ระบุเป็นก่อนหักส่วนลด</t>
        </is>
      </c>
    </row>
    <row r="2231">
      <c r="B2231" s="6" t="inlineStr">
        <is>
          <t>แม่สี บรอนซ์กลาง SC-190</t>
        </is>
      </c>
      <c r="C2231" s="8" t="inlineStr">
        <is>
          <t>1กล.</t>
        </is>
      </c>
      <c r="D2231" s="9" t="n">
        <v>2450</v>
      </c>
      <c r="H2231" s="9" t="n">
        <v>2450</v>
      </c>
      <c r="I2231" s="10" t="inlineStr">
        <is>
          <t>บจก. วีที คัลเลอร์ โปร</t>
        </is>
      </c>
      <c r="J2231" s="161" t="n">
        <v>23978</v>
      </c>
      <c r="K2231" s="8" t="inlineStr">
        <is>
          <t>IV148-65</t>
        </is>
      </c>
      <c r="L2231" s="8" t="inlineStr">
        <is>
          <t>ราคาที่ระบุ ยังไม่รวม VAT7%</t>
        </is>
      </c>
    </row>
    <row r="2232">
      <c r="B2232" s="6" t="inlineStr">
        <is>
          <t>แม่สี บรอนซ์กลาง SC-190</t>
        </is>
      </c>
      <c r="C2232" s="8" t="inlineStr">
        <is>
          <t>1กล.</t>
        </is>
      </c>
      <c r="D2232" s="9" t="n">
        <v>2450</v>
      </c>
      <c r="H2232" s="9" t="n">
        <v>2450</v>
      </c>
      <c r="I2232" s="10" t="inlineStr">
        <is>
          <t>บจก. วีที คัลเลอร์ โปร</t>
        </is>
      </c>
      <c r="J2232" s="161" t="n">
        <v>24040</v>
      </c>
      <c r="K2232" s="8" t="inlineStr">
        <is>
          <t>IV228-65</t>
        </is>
      </c>
      <c r="L2232" s="8" t="inlineStr">
        <is>
          <t>ราคาที่ระบุ ยังไม่รวม VAT7%</t>
        </is>
      </c>
    </row>
    <row r="2233">
      <c r="B2233" s="6" t="inlineStr">
        <is>
          <t>แม่สี บรอนซ์กลาง SC-190</t>
        </is>
      </c>
      <c r="C2233" s="8" t="inlineStr">
        <is>
          <t>1กล.</t>
        </is>
      </c>
      <c r="D2233" s="9" t="n">
        <v>2450</v>
      </c>
      <c r="H2233" s="9" t="n">
        <v>2450</v>
      </c>
      <c r="I2233" s="10" t="inlineStr">
        <is>
          <t>บจก. วีที คัลเลอร์ โปร</t>
        </is>
      </c>
      <c r="J2233" s="161" t="n">
        <v>24071</v>
      </c>
      <c r="K2233" s="8" t="inlineStr">
        <is>
          <t>IV283-65</t>
        </is>
      </c>
      <c r="L2233" s="8" t="inlineStr">
        <is>
          <t>ราคาที่ระบุ ยังไม่รวม VAT7%</t>
        </is>
      </c>
    </row>
    <row r="2234">
      <c r="B2234" s="6" t="inlineStr">
        <is>
          <t>แม่สี บรอนซ์กลาง SC-190</t>
        </is>
      </c>
      <c r="C2234" s="8" t="inlineStr">
        <is>
          <t>1กล.</t>
        </is>
      </c>
      <c r="D2234" s="9" t="n">
        <v>2450</v>
      </c>
      <c r="H2234" s="9" t="n">
        <v>2450</v>
      </c>
      <c r="I2234" s="10" t="inlineStr">
        <is>
          <t>บจก. วีที คัลเลอร์ โปร</t>
        </is>
      </c>
      <c r="J2234" s="161" t="n">
        <v>24098</v>
      </c>
      <c r="K2234" s="8" t="inlineStr">
        <is>
          <t>IV328-65</t>
        </is>
      </c>
      <c r="L2234" s="8" t="inlineStr">
        <is>
          <t>ราคาที่ระบุ ยังไม่รวม VAT7%</t>
        </is>
      </c>
    </row>
    <row r="2235">
      <c r="B2235" s="6" t="inlineStr">
        <is>
          <t>แม่สี บรอนซ์กลาง SC-190</t>
        </is>
      </c>
      <c r="C2235" s="8" t="inlineStr">
        <is>
          <t>2กล.</t>
        </is>
      </c>
      <c r="D2235" s="9" t="n">
        <v>2450</v>
      </c>
      <c r="H2235" s="9" t="n">
        <v>4900</v>
      </c>
      <c r="I2235" s="10" t="inlineStr">
        <is>
          <t>บจก. วีที คัลเลอร์ โปร</t>
        </is>
      </c>
      <c r="J2235" s="161" t="n">
        <v>24127</v>
      </c>
      <c r="K2235" s="8" t="inlineStr">
        <is>
          <t>IV041-66</t>
        </is>
      </c>
      <c r="L2235" s="8" t="inlineStr">
        <is>
          <t>ราคาที่ระบุ ยังไม่รวม VAT7%</t>
        </is>
      </c>
    </row>
    <row r="2236">
      <c r="B2236" s="6" t="inlineStr">
        <is>
          <t>แม่สี บรอนซ์กลาง SC-190</t>
        </is>
      </c>
      <c r="C2236" s="8" t="inlineStr">
        <is>
          <t>3กล.</t>
        </is>
      </c>
      <c r="D2236" s="9" t="n">
        <v>2450</v>
      </c>
      <c r="H2236" s="9" t="n">
        <v>7350</v>
      </c>
      <c r="I2236" s="10" t="inlineStr">
        <is>
          <t>บจก. วีที คัลเลอร์ โปร</t>
        </is>
      </c>
      <c r="J2236" s="161" t="n">
        <v>24282</v>
      </c>
      <c r="K2236" s="8" t="inlineStr">
        <is>
          <t>IV352-66</t>
        </is>
      </c>
      <c r="L2236" s="8" t="inlineStr">
        <is>
          <t>ราคาที่ระบุ ยังไม่รวม VAT7%</t>
        </is>
      </c>
    </row>
    <row r="2237">
      <c r="B2237" s="6" t="inlineStr">
        <is>
          <t>แม่สี บรอนซ์กลาง Hybrid S190</t>
        </is>
      </c>
      <c r="C2237" s="8" t="inlineStr">
        <is>
          <t>1กล.</t>
        </is>
      </c>
      <c r="D2237" s="9" t="n">
        <v>2450</v>
      </c>
      <c r="H2237" s="9" t="n">
        <v>2450</v>
      </c>
      <c r="I2237" s="10" t="inlineStr">
        <is>
          <t>บจก. วีที คัลเลอร์ โปร</t>
        </is>
      </c>
      <c r="J2237" s="161" t="n">
        <v>24401</v>
      </c>
      <c r="K2237" s="8" t="inlineStr">
        <is>
          <t>IV684-66</t>
        </is>
      </c>
      <c r="L2237" s="8" t="inlineStr">
        <is>
          <t>ราคาที่ระบุ ยังไม่รวม VAT7%</t>
        </is>
      </c>
    </row>
    <row r="2238">
      <c r="B2238" s="6" t="inlineStr">
        <is>
          <t>แม่สี บรอนซ์กลาง Hybrid S190</t>
        </is>
      </c>
      <c r="C2238" s="8" t="n">
        <v>1</v>
      </c>
      <c r="D2238" s="9" t="n">
        <v>2450</v>
      </c>
      <c r="H2238" s="9">
        <f>SUM(D2238*C2238)</f>
        <v/>
      </c>
      <c r="I2238" s="10" t="inlineStr">
        <is>
          <t>บจก. วีที คัลเลอร์ โปร</t>
        </is>
      </c>
      <c r="J2238" s="161" t="n">
        <v>24462</v>
      </c>
      <c r="K2238" s="8" t="inlineStr">
        <is>
          <t>IV765-66</t>
        </is>
      </c>
      <c r="L2238" s="8" t="inlineStr">
        <is>
          <t>ราคาที่ระบุ ยังไม่รวม VAT7%</t>
        </is>
      </c>
    </row>
    <row r="2239">
      <c r="B2239" s="6" t="inlineStr">
        <is>
          <t>แม่สี บรอนซ์กลาง Hybrid S190</t>
        </is>
      </c>
      <c r="C2239" s="8" t="n">
        <v>1</v>
      </c>
      <c r="D2239" s="9" t="n">
        <v>2450</v>
      </c>
      <c r="H2239" s="9">
        <f>SUM(D2239*C2239)</f>
        <v/>
      </c>
      <c r="I2239" s="10" t="inlineStr">
        <is>
          <t>บจก. วีที คัลเลอร์ โปร</t>
        </is>
      </c>
      <c r="J2239" s="161" t="n">
        <v>24539</v>
      </c>
      <c r="K2239" s="8" t="inlineStr">
        <is>
          <t>IV6703040</t>
        </is>
      </c>
      <c r="L2239" s="8" t="inlineStr">
        <is>
          <t>ราคาที่ระบุ ยังไม่รวม VAT7%</t>
        </is>
      </c>
    </row>
    <row r="2240">
      <c r="B2240" s="6" t="inlineStr">
        <is>
          <t>แม่สี บรอนซ์กลาง Hybrid S190</t>
        </is>
      </c>
      <c r="C2240" s="8" t="n">
        <v>1</v>
      </c>
      <c r="D2240" s="9" t="n">
        <v>2450</v>
      </c>
      <c r="H2240" s="9">
        <f>SUM(D2240*C2240)</f>
        <v/>
      </c>
      <c r="I2240" s="10" t="inlineStr">
        <is>
          <t>บจก. วีที คัลเลอร์ โปร</t>
        </is>
      </c>
      <c r="J2240" s="161" t="n">
        <v>24613</v>
      </c>
      <c r="K2240" s="8" t="inlineStr">
        <is>
          <t>IV6705104</t>
        </is>
      </c>
      <c r="L2240" s="8" t="inlineStr">
        <is>
          <t>ราคาที่ระบุ ยังไม่รวม VAT7%</t>
        </is>
      </c>
    </row>
    <row r="2241">
      <c r="B2241" s="6" t="inlineStr">
        <is>
          <t>แม่สี บรอนซ์กลาง Hybrid S190</t>
        </is>
      </c>
      <c r="C2241" s="8" t="n">
        <v>1</v>
      </c>
      <c r="D2241" s="9" t="n">
        <v>2450</v>
      </c>
      <c r="H2241" s="9">
        <f>SUM(D2241*C2241)</f>
        <v/>
      </c>
      <c r="I2241" s="10" t="inlineStr">
        <is>
          <t>บจก. วีที คัลเลอร์ โปร</t>
        </is>
      </c>
      <c r="J2241" s="161" t="n">
        <v>24550</v>
      </c>
      <c r="K2241" s="8" t="inlineStr">
        <is>
          <t>IV6703088</t>
        </is>
      </c>
      <c r="L2241" s="8" t="inlineStr">
        <is>
          <t>ราคาที่ระบุ ยังไม่รวม VAT7%</t>
        </is>
      </c>
    </row>
    <row r="2242">
      <c r="B2242" s="6" t="inlineStr">
        <is>
          <t>แม่สี บรอนซ์กลาง Hybrid S190</t>
        </is>
      </c>
      <c r="C2242" s="8" t="n">
        <v>1</v>
      </c>
      <c r="D2242" s="9" t="n">
        <v>2450</v>
      </c>
      <c r="H2242" s="9">
        <f>SUM(D2242*C2242)</f>
        <v/>
      </c>
      <c r="I2242" s="10" t="inlineStr">
        <is>
          <t>บจก. วีที คัลเลอร์ โปร</t>
        </is>
      </c>
      <c r="J2242" s="161" t="n">
        <v>24644</v>
      </c>
      <c r="K2242" s="8" t="inlineStr">
        <is>
          <t>IV6706124</t>
        </is>
      </c>
      <c r="L2242" s="8" t="inlineStr">
        <is>
          <t>ราคาที่ระบุ ยังไม่รวม VAT7%</t>
        </is>
      </c>
    </row>
    <row r="2243">
      <c r="B2243" s="6" t="inlineStr">
        <is>
          <t>แม่สี บรอนซ์กลาง Hybrid S190</t>
        </is>
      </c>
      <c r="C2243" s="8" t="n">
        <v>1</v>
      </c>
      <c r="D2243" s="9" t="n">
        <v>2450</v>
      </c>
      <c r="H2243" s="9">
        <f>SUM(D2243*C2243)</f>
        <v/>
      </c>
      <c r="I2243" s="10" t="inlineStr">
        <is>
          <t>บจก. วีที คัลเลอร์ โปร</t>
        </is>
      </c>
      <c r="J2243" s="161" t="n">
        <v>24676</v>
      </c>
      <c r="K2243" s="8" t="inlineStr">
        <is>
          <t>IV6707130</t>
        </is>
      </c>
      <c r="L2243" s="8" t="inlineStr">
        <is>
          <t>ราคาที่ระบุ ยังไม่รวม VAT7%</t>
        </is>
      </c>
    </row>
    <row r="2244">
      <c r="B2244" s="6" t="inlineStr">
        <is>
          <t>แม่สี บรอนซ์กลาง Hybrid S190</t>
        </is>
      </c>
      <c r="C2244" s="8" t="n">
        <v>1</v>
      </c>
      <c r="D2244" s="9" t="n">
        <v>2450</v>
      </c>
      <c r="H2244" s="9">
        <f>SUM(D2244*C2244)</f>
        <v/>
      </c>
      <c r="I2244" s="10" t="inlineStr">
        <is>
          <t>บจก. วีที คัลเลอร์ โปร</t>
        </is>
      </c>
      <c r="J2244" s="161" t="n">
        <v>24766</v>
      </c>
      <c r="K2244" s="8" t="inlineStr">
        <is>
          <t>IV6710109</t>
        </is>
      </c>
      <c r="L2244" s="8" t="inlineStr">
        <is>
          <t>ราคาที่ระบุ ยังไม่รวม VAT7%</t>
        </is>
      </c>
    </row>
    <row r="2245">
      <c r="B2245" s="6" t="inlineStr">
        <is>
          <t>แม่สี บรอนซ์กลาง Hybrid S190</t>
        </is>
      </c>
      <c r="C2245" s="8" t="n">
        <v>1</v>
      </c>
      <c r="D2245" s="9" t="n">
        <v>2450</v>
      </c>
      <c r="H2245" s="9">
        <f>SUM(D2245*C2245)</f>
        <v/>
      </c>
      <c r="I2245" s="10" t="inlineStr">
        <is>
          <t>บจก. วีที คัลเลอร์ โปร</t>
        </is>
      </c>
      <c r="J2245" s="161" t="n">
        <v>24795</v>
      </c>
      <c r="K2245" s="8" t="inlineStr">
        <is>
          <t>IV6711134</t>
        </is>
      </c>
      <c r="L2245" s="8" t="inlineStr">
        <is>
          <t>ราคาที่ระบุ ยังไม่รวม VAT7%</t>
        </is>
      </c>
    </row>
    <row r="2246">
      <c r="B2246" s="6" t="inlineStr">
        <is>
          <t>แม่สี บรอนซ์กลาง Hybrid S190</t>
        </is>
      </c>
      <c r="C2246" s="8" t="n">
        <v>1</v>
      </c>
      <c r="D2246" s="9" t="n">
        <v>2621.5</v>
      </c>
      <c r="H2246" s="9">
        <f>SUM(D2246*C2246)</f>
        <v/>
      </c>
      <c r="I2246" s="10" t="inlineStr">
        <is>
          <t>บจก. วีที คัลเลอร์ โปร</t>
        </is>
      </c>
      <c r="J2246" s="161" t="n">
        <v>24892</v>
      </c>
      <c r="K2246" s="8" t="inlineStr">
        <is>
          <t>IV6802144</t>
        </is>
      </c>
      <c r="L2246" s="8" t="inlineStr">
        <is>
          <t>ราคารวม VAT แล้ว</t>
        </is>
      </c>
    </row>
    <row r="2247">
      <c r="B2247" s="6" t="inlineStr">
        <is>
          <t>แม่สี บรอนซ์กลาง Hybrid S190</t>
        </is>
      </c>
      <c r="C2247" s="8" t="n">
        <v>1</v>
      </c>
      <c r="D2247" s="9" t="n">
        <v>2450</v>
      </c>
      <c r="E2247" s="9">
        <f>SUM(D2247*C2247)</f>
        <v/>
      </c>
      <c r="F2247" s="8" t="n">
        <v>0.07000000000000001</v>
      </c>
      <c r="G2247" s="10" t="inlineStr">
        <is>
          <t>รวม VAT =</t>
        </is>
      </c>
      <c r="H2247" s="9">
        <f>SUM(E2247+N2247)</f>
        <v/>
      </c>
      <c r="I2247" s="10" t="inlineStr">
        <is>
          <t>บจก. วีที คัลเลอร์ โปร</t>
        </is>
      </c>
      <c r="J2247" s="161" t="n">
        <v>25040</v>
      </c>
      <c r="K2247" s="8" t="inlineStr">
        <is>
          <t>IV6807158</t>
        </is>
      </c>
      <c r="N2247" s="6">
        <f>SUM(E2247*F2247)</f>
        <v/>
      </c>
    </row>
    <row r="2248">
      <c r="B2248" s="6" t="inlineStr">
        <is>
          <t>แม่สี บรอนซ์กลาง Hybrid S190</t>
        </is>
      </c>
      <c r="C2248" s="8" t="n">
        <v>1</v>
      </c>
      <c r="D2248" s="9" t="n">
        <v>2450</v>
      </c>
      <c r="E2248" s="9">
        <f>SUM(D2248*C2248)</f>
        <v/>
      </c>
      <c r="F2248" s="8" t="n">
        <v>0.07000000000000001</v>
      </c>
      <c r="G2248" s="10" t="inlineStr">
        <is>
          <t>รวม VAT =</t>
        </is>
      </c>
      <c r="H2248" s="9">
        <f>SUM(E2248+N2248)</f>
        <v/>
      </c>
      <c r="I2248" s="10" t="inlineStr">
        <is>
          <t>บจก. วีที คัลเลอร์ โปร</t>
        </is>
      </c>
      <c r="J2248" s="161" t="n">
        <v>25042</v>
      </c>
      <c r="K2248" s="8" t="inlineStr">
        <is>
          <t>IV6807180</t>
        </is>
      </c>
      <c r="N2248" s="6">
        <f>SUM(E2248*F2248)</f>
        <v/>
      </c>
    </row>
    <row r="2249">
      <c r="B2249" s="6" t="inlineStr">
        <is>
          <t>แม่สี บรอนซ์กลาง Hybrid S190</t>
        </is>
      </c>
      <c r="C2249" s="8" t="n">
        <v>2</v>
      </c>
      <c r="D2249" s="9" t="n">
        <v>2450</v>
      </c>
      <c r="E2249" s="9">
        <f>SUM(D2249*C2249)</f>
        <v/>
      </c>
      <c r="F2249" s="8" t="n">
        <v>0.07000000000000001</v>
      </c>
      <c r="G2249" s="10" t="inlineStr">
        <is>
          <t>รวม VAT =</t>
        </is>
      </c>
      <c r="H2249" s="9">
        <f>SUM(E2249+N2249)</f>
        <v/>
      </c>
      <c r="I2249" s="10" t="inlineStr">
        <is>
          <t>บจก. วีที คัลเลอร์ โปร</t>
        </is>
      </c>
      <c r="J2249" s="161" t="n">
        <v>25073</v>
      </c>
      <c r="K2249" s="8" t="inlineStr">
        <is>
          <t>IV6808151</t>
        </is>
      </c>
      <c r="N2249" s="6">
        <f>SUM(E2249*F2249)</f>
        <v/>
      </c>
    </row>
    <row r="2250">
      <c r="B2250" s="6" t="inlineStr">
        <is>
          <t>แม่สี บรอนซ์กลาง Hybrid S190</t>
        </is>
      </c>
      <c r="C2250" s="8" t="n">
        <v>1</v>
      </c>
      <c r="D2250" s="9" t="n">
        <v>2450</v>
      </c>
      <c r="E2250" s="9">
        <f>SUM(D2250*C2250)</f>
        <v/>
      </c>
      <c r="F2250" s="8" t="n">
        <v>0.07000000000000001</v>
      </c>
      <c r="G2250" s="10" t="inlineStr">
        <is>
          <t>รวม VAT =</t>
        </is>
      </c>
      <c r="H2250" s="9">
        <f>SUM(E2250+N2250)</f>
        <v/>
      </c>
      <c r="I2250" s="10" t="inlineStr">
        <is>
          <t>บจก. วีที คัลเลอร์ โปร</t>
        </is>
      </c>
      <c r="J2250" s="161" t="n">
        <v>25180</v>
      </c>
      <c r="K2250" s="8" t="inlineStr">
        <is>
          <t>IV6812065</t>
        </is>
      </c>
      <c r="N2250" s="6">
        <f>SUM(E2250*F2250)</f>
        <v/>
      </c>
    </row>
    <row r="2252">
      <c r="B2252" s="6" t="inlineStr">
        <is>
          <t>แม่สี Matrix  M-193</t>
        </is>
      </c>
      <c r="C2252" s="8" t="inlineStr">
        <is>
          <t>2กล.</t>
        </is>
      </c>
      <c r="D2252" s="9" t="n">
        <v>2950</v>
      </c>
      <c r="F2252" s="8" t="n">
        <v>10</v>
      </c>
      <c r="H2252" s="9" t="n">
        <v>5900</v>
      </c>
      <c r="I2252" s="10" t="inlineStr">
        <is>
          <t>ทรัพย์สินไทย</t>
        </is>
      </c>
      <c r="J2252" s="161" t="n">
        <v>22781</v>
      </c>
      <c r="L2252" s="8" t="inlineStr">
        <is>
          <t>ราคาที่ระบุเป็นก่อนหักส่วนลด</t>
        </is>
      </c>
    </row>
    <row r="2253">
      <c r="B2253" s="6" t="inlineStr">
        <is>
          <t>แม่สี Matrix  M-193</t>
        </is>
      </c>
      <c r="C2253" s="8" t="inlineStr">
        <is>
          <t>3กล.</t>
        </is>
      </c>
      <c r="D2253" s="9" t="n">
        <v>2950</v>
      </c>
      <c r="F2253" s="8" t="n">
        <v>10</v>
      </c>
      <c r="H2253" s="9" t="n">
        <v>8850</v>
      </c>
      <c r="I2253" s="10" t="inlineStr">
        <is>
          <t>ทรัพย์สินไทย</t>
        </is>
      </c>
      <c r="J2253" s="161" t="n">
        <v>22790</v>
      </c>
      <c r="L2253" s="8" t="inlineStr">
        <is>
          <t>ราคาที่ระบุเป็นก่อนหักส่วนลด</t>
        </is>
      </c>
    </row>
    <row r="2254">
      <c r="B2254" s="6" t="inlineStr">
        <is>
          <t>แม่สี Matrix  M-193</t>
        </is>
      </c>
      <c r="C2254" s="8" t="inlineStr">
        <is>
          <t>5กล.</t>
        </is>
      </c>
      <c r="D2254" s="9" t="n">
        <v>2950</v>
      </c>
      <c r="F2254" s="8" t="n">
        <v>10</v>
      </c>
      <c r="H2254" s="9" t="n">
        <v>14750</v>
      </c>
      <c r="I2254" s="10" t="inlineStr">
        <is>
          <t>ทรัพย์สินไทย</t>
        </is>
      </c>
      <c r="J2254" s="161" t="n">
        <v>22821</v>
      </c>
      <c r="L2254" s="8" t="inlineStr">
        <is>
          <t>ราคาที่ระบุเป็นก่อนหักส่วนลด</t>
        </is>
      </c>
    </row>
    <row r="2255">
      <c r="B2255" s="6" t="inlineStr">
        <is>
          <t>แม่สี Matrix  M-193</t>
        </is>
      </c>
      <c r="C2255" s="8" t="inlineStr">
        <is>
          <t>6กล.</t>
        </is>
      </c>
      <c r="D2255" s="9" t="n">
        <v>2950</v>
      </c>
      <c r="F2255" s="8" t="n">
        <v>10</v>
      </c>
      <c r="H2255" s="9" t="n">
        <v>17700</v>
      </c>
      <c r="I2255" s="10" t="inlineStr">
        <is>
          <t>ทรัพย์สินไทย</t>
        </is>
      </c>
      <c r="J2255" s="161" t="n">
        <v>22851</v>
      </c>
      <c r="L2255" s="8" t="inlineStr">
        <is>
          <t>ราคาที่ระบุเป็นก่อนหักส่วนลด</t>
        </is>
      </c>
    </row>
    <row r="2256">
      <c r="B2256" s="6" t="inlineStr">
        <is>
          <t>แม่สี Matrix  M-193</t>
        </is>
      </c>
      <c r="C2256" s="8" t="inlineStr">
        <is>
          <t>3กล.</t>
        </is>
      </c>
      <c r="D2256" s="9" t="n">
        <v>2950</v>
      </c>
      <c r="F2256" s="8" t="n">
        <v>10</v>
      </c>
      <c r="H2256" s="9" t="n">
        <v>8850</v>
      </c>
      <c r="I2256" s="10" t="inlineStr">
        <is>
          <t>ทรัพย์สินไทย</t>
        </is>
      </c>
      <c r="J2256" s="161" t="n">
        <v>22884</v>
      </c>
      <c r="L2256" s="8" t="inlineStr">
        <is>
          <t>ราคาที่ระบุเป็นก่อนหักส่วนลด</t>
        </is>
      </c>
    </row>
    <row r="2257">
      <c r="B2257" s="6" t="inlineStr">
        <is>
          <t>แม่สี Matrix  M-193</t>
        </is>
      </c>
      <c r="C2257" s="8" t="inlineStr">
        <is>
          <t>3กล.</t>
        </is>
      </c>
      <c r="D2257" s="9" t="n">
        <v>2950</v>
      </c>
      <c r="F2257" s="8" t="n">
        <v>10</v>
      </c>
      <c r="H2257" s="9" t="n">
        <v>8850</v>
      </c>
      <c r="I2257" s="10" t="inlineStr">
        <is>
          <t>ทรัพย์สินไทย</t>
        </is>
      </c>
      <c r="J2257" s="161" t="n">
        <v>22899</v>
      </c>
      <c r="L2257" s="8" t="inlineStr">
        <is>
          <t>ราคาที่ระบุเป็นก่อนหักส่วนลด</t>
        </is>
      </c>
    </row>
    <row r="2258">
      <c r="B2258" s="6" t="inlineStr">
        <is>
          <t>แม่สี Matrix  M-193</t>
        </is>
      </c>
      <c r="C2258" s="8" t="inlineStr">
        <is>
          <t>6กล.</t>
        </is>
      </c>
      <c r="D2258" s="9" t="n">
        <v>2950</v>
      </c>
      <c r="F2258" s="8" t="n">
        <v>10</v>
      </c>
      <c r="H2258" s="9" t="n">
        <v>17700</v>
      </c>
      <c r="I2258" s="10" t="inlineStr">
        <is>
          <t>ทรัพย์สินไทย</t>
        </is>
      </c>
      <c r="J2258" s="161" t="n">
        <v>22913</v>
      </c>
      <c r="L2258" s="8" t="inlineStr">
        <is>
          <t>ราคาที่ระบุเป็นก่อนหักส่วนลด</t>
        </is>
      </c>
    </row>
    <row r="2259">
      <c r="B2259" s="6" t="inlineStr">
        <is>
          <t>แม่สี Matrix  M-193</t>
        </is>
      </c>
      <c r="C2259" s="8" t="inlineStr">
        <is>
          <t>2กล.</t>
        </is>
      </c>
      <c r="D2259" s="9" t="n">
        <v>2950</v>
      </c>
      <c r="F2259" s="8" t="n">
        <v>10</v>
      </c>
      <c r="H2259" s="9" t="n">
        <v>5900</v>
      </c>
      <c r="I2259" s="10" t="inlineStr">
        <is>
          <t>ทรัพย์สินไทย</t>
        </is>
      </c>
      <c r="J2259" s="161" t="n">
        <v>23062</v>
      </c>
      <c r="L2259" s="8" t="inlineStr">
        <is>
          <t>ราคาที่ระบุเป็นก่อนหักส่วนลด</t>
        </is>
      </c>
    </row>
    <row r="2260">
      <c r="B2260" s="6" t="inlineStr">
        <is>
          <t>แม่สี Matrix  M-193</t>
        </is>
      </c>
      <c r="C2260" s="8" t="inlineStr">
        <is>
          <t>2กล.</t>
        </is>
      </c>
      <c r="D2260" s="9" t="n">
        <v>2950</v>
      </c>
      <c r="F2260" s="8" t="n">
        <v>10</v>
      </c>
      <c r="H2260" s="9" t="n">
        <v>5900</v>
      </c>
      <c r="I2260" s="10" t="inlineStr">
        <is>
          <t>ทรัพย์สินไทย</t>
        </is>
      </c>
      <c r="J2260" s="161" t="n">
        <v>23094</v>
      </c>
      <c r="L2260" s="8" t="inlineStr">
        <is>
          <t>ราคาที่ระบุเป็นก่อนหักส่วนลด</t>
        </is>
      </c>
    </row>
    <row r="2261">
      <c r="B2261" s="6" t="inlineStr">
        <is>
          <t>แม่สี Matrix  M-193</t>
        </is>
      </c>
      <c r="C2261" s="8" t="inlineStr">
        <is>
          <t>3กล.</t>
        </is>
      </c>
      <c r="D2261" s="9" t="n">
        <v>2950</v>
      </c>
      <c r="F2261" s="8" t="n">
        <v>10</v>
      </c>
      <c r="H2261" s="9" t="n">
        <v>8850</v>
      </c>
      <c r="I2261" s="10" t="inlineStr">
        <is>
          <t>ทรัพย์สินไทย</t>
        </is>
      </c>
      <c r="J2261" s="161" t="n">
        <v>23247</v>
      </c>
      <c r="L2261" s="8" t="inlineStr">
        <is>
          <t>ราคาที่ระบุเป็นก่อนหักส่วนลด</t>
        </is>
      </c>
    </row>
    <row r="2262">
      <c r="B2262" s="6" t="inlineStr">
        <is>
          <t>แม่สี Matrix  M-193</t>
        </is>
      </c>
      <c r="C2262" s="8" t="inlineStr">
        <is>
          <t>2กล.</t>
        </is>
      </c>
      <c r="D2262" s="9" t="n">
        <v>2950</v>
      </c>
      <c r="F2262" s="8" t="n">
        <v>10</v>
      </c>
      <c r="H2262" s="9" t="n">
        <v>5900</v>
      </c>
      <c r="I2262" s="10" t="inlineStr">
        <is>
          <t>ทรัพย์สินไทย</t>
        </is>
      </c>
      <c r="J2262" s="161" t="n">
        <v>23277</v>
      </c>
      <c r="L2262" s="8" t="inlineStr">
        <is>
          <t>ราคาที่ระบุเป็นก่อนหักส่วนลด</t>
        </is>
      </c>
    </row>
    <row r="2263">
      <c r="B2263" s="6" t="inlineStr">
        <is>
          <t>แม่สี Matrix  M-193</t>
        </is>
      </c>
      <c r="C2263" s="8" t="inlineStr">
        <is>
          <t>1กล.</t>
        </is>
      </c>
      <c r="D2263" s="9" t="n">
        <v>2950</v>
      </c>
      <c r="F2263" s="8" t="n">
        <v>10</v>
      </c>
      <c r="H2263" s="9" t="n">
        <v>2950</v>
      </c>
      <c r="I2263" s="10" t="inlineStr">
        <is>
          <t>ทรัพย์สินไทย</t>
        </is>
      </c>
      <c r="J2263" s="161" t="n">
        <v>23282</v>
      </c>
      <c r="L2263" s="8" t="inlineStr">
        <is>
          <t>ราคาที่ระบุเป็นก่อนหักส่วนลด</t>
        </is>
      </c>
    </row>
    <row r="2264">
      <c r="B2264" s="6" t="inlineStr">
        <is>
          <t>แม่สี Matrix  M-193</t>
        </is>
      </c>
      <c r="C2264" s="8" t="inlineStr">
        <is>
          <t>2กล.</t>
        </is>
      </c>
      <c r="D2264" s="9" t="n">
        <v>2950</v>
      </c>
      <c r="F2264" s="8" t="n">
        <v>10</v>
      </c>
      <c r="H2264" s="9" t="n">
        <v>5900</v>
      </c>
      <c r="I2264" s="10" t="inlineStr">
        <is>
          <t>ทรัพย์สินไทย</t>
        </is>
      </c>
      <c r="J2264" s="161" t="n">
        <v>23340</v>
      </c>
      <c r="L2264" s="8" t="inlineStr">
        <is>
          <t>ราคาที่ระบุเป็นก่อนหักส่วนลด</t>
        </is>
      </c>
    </row>
    <row r="2265">
      <c r="B2265" s="6" t="inlineStr">
        <is>
          <t>แม่สี Matrix  M-193</t>
        </is>
      </c>
      <c r="C2265" s="8" t="inlineStr">
        <is>
          <t>2กล.</t>
        </is>
      </c>
      <c r="D2265" s="9" t="n">
        <v>2950</v>
      </c>
      <c r="F2265" s="8" t="n">
        <v>10</v>
      </c>
      <c r="H2265" s="9" t="n">
        <v>5900</v>
      </c>
      <c r="I2265" s="10" t="inlineStr">
        <is>
          <t>ทรัพย์สินไทย</t>
        </is>
      </c>
      <c r="J2265" s="161" t="n">
        <v>23366</v>
      </c>
      <c r="L2265" s="8" t="inlineStr">
        <is>
          <t>ราคาที่ระบุเป็นก่อนหักส่วนลด</t>
        </is>
      </c>
    </row>
    <row r="2266">
      <c r="B2266" s="6" t="inlineStr">
        <is>
          <t>แม่สี Matrix  M-193</t>
        </is>
      </c>
      <c r="C2266" s="8" t="inlineStr">
        <is>
          <t>2กล.</t>
        </is>
      </c>
      <c r="D2266" s="9" t="n">
        <v>2950</v>
      </c>
      <c r="F2266" s="8" t="n">
        <v>10</v>
      </c>
      <c r="H2266" s="9" t="n">
        <v>5900</v>
      </c>
      <c r="I2266" s="10" t="inlineStr">
        <is>
          <t>ทรัพย์สินไทย</t>
        </is>
      </c>
      <c r="J2266" s="161" t="n">
        <v>23403</v>
      </c>
      <c r="L2266" s="8" t="inlineStr">
        <is>
          <t>ราคาที่ระบุเป็นก่อนหักส่วนลด</t>
        </is>
      </c>
    </row>
    <row r="2267">
      <c r="B2267" s="6" t="inlineStr">
        <is>
          <t>แม่สี Matrix  M-193</t>
        </is>
      </c>
      <c r="C2267" s="8" t="inlineStr">
        <is>
          <t>2กล.</t>
        </is>
      </c>
      <c r="D2267" s="9" t="n">
        <v>2950</v>
      </c>
      <c r="F2267" s="8" t="n">
        <v>10</v>
      </c>
      <c r="H2267" s="9" t="n">
        <v>5900</v>
      </c>
      <c r="I2267" s="10" t="inlineStr">
        <is>
          <t>ทรัพย์สินไทย</t>
        </is>
      </c>
      <c r="J2267" s="161" t="n">
        <v>23430</v>
      </c>
      <c r="L2267" s="8" t="inlineStr">
        <is>
          <t>ราคาที่ระบุเป็นก่อนหักส่วนลด</t>
        </is>
      </c>
    </row>
    <row r="2268">
      <c r="B2268" s="6" t="inlineStr">
        <is>
          <t>แม่สี Matrix  M-193</t>
        </is>
      </c>
      <c r="C2268" s="8" t="inlineStr">
        <is>
          <t>3กล.</t>
        </is>
      </c>
      <c r="D2268" s="9" t="n">
        <v>2950</v>
      </c>
      <c r="F2268" s="8" t="n">
        <v>10</v>
      </c>
      <c r="H2268" s="9" t="n">
        <v>8850</v>
      </c>
      <c r="I2268" s="10" t="inlineStr">
        <is>
          <t>ทรัพย์สินไทย</t>
        </is>
      </c>
      <c r="J2268" s="161" t="n">
        <v>23460</v>
      </c>
      <c r="L2268" s="8" t="inlineStr">
        <is>
          <t>ราคาที่ระบุเป็นก่อนหักส่วนลด</t>
        </is>
      </c>
    </row>
    <row r="2269">
      <c r="B2269" s="6" t="inlineStr">
        <is>
          <t>แม่สี Matrix  M-193</t>
        </is>
      </c>
      <c r="C2269" s="8" t="inlineStr">
        <is>
          <t>3กล.</t>
        </is>
      </c>
      <c r="D2269" s="9" t="n">
        <v>2950</v>
      </c>
      <c r="F2269" s="8" t="n">
        <v>10</v>
      </c>
      <c r="H2269" s="9" t="n">
        <v>8850</v>
      </c>
      <c r="I2269" s="10" t="inlineStr">
        <is>
          <t>ทรัพย์สินไทย</t>
        </is>
      </c>
      <c r="J2269" s="161" t="n">
        <v>23584</v>
      </c>
      <c r="L2269" s="8" t="inlineStr">
        <is>
          <t>ราคาที่ระบุเป็นก่อนหักส่วนลด</t>
        </is>
      </c>
    </row>
    <row r="2270">
      <c r="B2270" s="6" t="inlineStr">
        <is>
          <t>แม่สี Matrix  M-193</t>
        </is>
      </c>
      <c r="C2270" s="8" t="inlineStr">
        <is>
          <t>3กล.</t>
        </is>
      </c>
      <c r="D2270" s="9" t="n">
        <v>2950</v>
      </c>
      <c r="F2270" s="8" t="n">
        <v>10</v>
      </c>
      <c r="H2270" s="9" t="n">
        <v>8850</v>
      </c>
      <c r="I2270" s="10" t="inlineStr">
        <is>
          <t>ทรัพย์สินไทย</t>
        </is>
      </c>
      <c r="J2270" s="161" t="n">
        <v>23615</v>
      </c>
      <c r="L2270" s="8" t="inlineStr">
        <is>
          <t>ราคาที่ระบุเป็นก่อนหักส่วนลด</t>
        </is>
      </c>
    </row>
    <row r="2271">
      <c r="B2271" s="6" t="inlineStr">
        <is>
          <t>แม่สี Matrix  M-193</t>
        </is>
      </c>
      <c r="C2271" s="8" t="inlineStr">
        <is>
          <t>2กล.</t>
        </is>
      </c>
      <c r="D2271" s="9" t="n">
        <v>2950</v>
      </c>
      <c r="F2271" s="8" t="n">
        <v>10</v>
      </c>
      <c r="H2271" s="9" t="n">
        <v>5900</v>
      </c>
      <c r="I2271" s="10" t="inlineStr">
        <is>
          <t>ทรัพย์สินไทย</t>
        </is>
      </c>
      <c r="J2271" s="161" t="n">
        <v>23824</v>
      </c>
      <c r="K2271" s="8" t="inlineStr">
        <is>
          <t>IV6503300</t>
        </is>
      </c>
      <c r="L2271" s="8" t="inlineStr">
        <is>
          <t>ราคาที่ระบุเป็นก่อนหักส่วนลด</t>
        </is>
      </c>
    </row>
    <row r="2272">
      <c r="B2272" s="6" t="inlineStr">
        <is>
          <t>แม่สี บรอนซ์หยาบสว่าง SC-193</t>
        </is>
      </c>
      <c r="C2272" s="8" t="inlineStr">
        <is>
          <t>1กล.</t>
        </is>
      </c>
      <c r="D2272" s="9" t="n">
        <v>2450</v>
      </c>
      <c r="H2272" s="9" t="n">
        <v>2450</v>
      </c>
      <c r="I2272" s="10" t="inlineStr">
        <is>
          <t>บจก. วีที คัลเลอร์ โปร</t>
        </is>
      </c>
      <c r="J2272" s="161" t="n">
        <v>24040</v>
      </c>
      <c r="K2272" s="8" t="inlineStr">
        <is>
          <t>IV228-65</t>
        </is>
      </c>
      <c r="L2272" s="8" t="inlineStr">
        <is>
          <t>ราคาที่ระบุเป็นก่อนหักส่วนลด</t>
        </is>
      </c>
    </row>
    <row r="2273">
      <c r="B2273" s="6" t="inlineStr">
        <is>
          <t>แม่สี บรอนซ์หยาบสว่าง SC-193</t>
        </is>
      </c>
      <c r="C2273" s="8" t="inlineStr">
        <is>
          <t>2กล.</t>
        </is>
      </c>
      <c r="D2273" s="9" t="n">
        <v>2450</v>
      </c>
      <c r="H2273" s="9" t="n">
        <v>4900</v>
      </c>
      <c r="I2273" s="10" t="inlineStr">
        <is>
          <t>บจก. วีที คัลเลอร์ โปร</t>
        </is>
      </c>
      <c r="J2273" s="161" t="n">
        <v>24089</v>
      </c>
      <c r="K2273" s="8" t="inlineStr">
        <is>
          <t>IV308-65</t>
        </is>
      </c>
      <c r="L2273" s="8" t="inlineStr">
        <is>
          <t>ราคาที่ระบุเป็นก่อนหักส่วนลด</t>
        </is>
      </c>
    </row>
    <row r="2274">
      <c r="B2274" s="6" t="inlineStr">
        <is>
          <t>แม่สี บรอนซ์หยาบสว่าง SC-193</t>
        </is>
      </c>
      <c r="C2274" s="8" t="inlineStr">
        <is>
          <t>1กล.</t>
        </is>
      </c>
      <c r="D2274" s="9" t="n">
        <v>2450</v>
      </c>
      <c r="H2274" s="9" t="n">
        <v>2450</v>
      </c>
      <c r="I2274" s="10" t="inlineStr">
        <is>
          <t>บจก. วีที คัลเลอร์ โปร</t>
        </is>
      </c>
      <c r="J2274" s="161" t="n">
        <v>24160</v>
      </c>
      <c r="K2274" s="8" t="inlineStr">
        <is>
          <t>IV113-66</t>
        </is>
      </c>
      <c r="L2274" s="8" t="inlineStr">
        <is>
          <t>ราคาที่ระบุเป็นก่อนหักส่วนลด</t>
        </is>
      </c>
    </row>
    <row r="2275">
      <c r="B2275" s="6" t="inlineStr">
        <is>
          <t>แม่สี บรอนซ์หยาบสว่าง SC-193</t>
        </is>
      </c>
      <c r="C2275" s="8" t="inlineStr">
        <is>
          <t>1กล.</t>
        </is>
      </c>
      <c r="D2275" s="9" t="n">
        <v>2450</v>
      </c>
      <c r="H2275" s="9" t="n">
        <v>2450</v>
      </c>
      <c r="I2275" s="10" t="inlineStr">
        <is>
          <t>บจก. วีที คัลเลอร์ โปร</t>
        </is>
      </c>
      <c r="J2275" s="161" t="n">
        <v>24186</v>
      </c>
      <c r="K2275" s="8" t="inlineStr">
        <is>
          <t>IV168-66</t>
        </is>
      </c>
      <c r="L2275" s="8" t="inlineStr">
        <is>
          <t>ราคาที่ระบุเป็นก่อนหักส่วนลด</t>
        </is>
      </c>
    </row>
    <row r="2276">
      <c r="B2276" s="6" t="inlineStr">
        <is>
          <t>แม่สี บรอนซ์หยาบสว่าง SC-193</t>
        </is>
      </c>
      <c r="C2276" s="8" t="inlineStr">
        <is>
          <t>1กล.</t>
        </is>
      </c>
      <c r="D2276" s="9" t="n">
        <v>2450</v>
      </c>
      <c r="H2276" s="9" t="n">
        <v>2450</v>
      </c>
      <c r="I2276" s="10" t="inlineStr">
        <is>
          <t>บจก. วีที คัลเลอร์ โปร</t>
        </is>
      </c>
      <c r="J2276" s="161" t="n">
        <v>24221</v>
      </c>
      <c r="K2276" s="8" t="inlineStr">
        <is>
          <t>IV226-66</t>
        </is>
      </c>
      <c r="L2276" s="8" t="inlineStr">
        <is>
          <t>ราคาที่ระบุเป็นก่อนหักส่วนลด</t>
        </is>
      </c>
    </row>
    <row r="2277">
      <c r="B2277" s="6" t="inlineStr">
        <is>
          <t>แม่สี บรอนซ์หยาบสว่าง SC-193</t>
        </is>
      </c>
      <c r="C2277" s="8" t="inlineStr">
        <is>
          <t>1กล.</t>
        </is>
      </c>
      <c r="D2277" s="9" t="n">
        <v>2450</v>
      </c>
      <c r="H2277" s="9" t="n">
        <v>2450</v>
      </c>
      <c r="I2277" s="10" t="inlineStr">
        <is>
          <t>บจก. วีที คัลเลอร์ โปร</t>
        </is>
      </c>
      <c r="J2277" s="161" t="n">
        <v>24271</v>
      </c>
      <c r="K2277" s="8" t="inlineStr">
        <is>
          <t>IV329-66</t>
        </is>
      </c>
      <c r="L2277" s="8" t="inlineStr">
        <is>
          <t>ราคาที่ระบุเป็นก่อนหักส่วนลด</t>
        </is>
      </c>
    </row>
    <row r="2278">
      <c r="B2278" s="6" t="inlineStr">
        <is>
          <t>แม่สี บรอนซ์หยาบสว่าง SC-193</t>
        </is>
      </c>
      <c r="C2278" s="8" t="inlineStr">
        <is>
          <t>1กล.</t>
        </is>
      </c>
      <c r="D2278" s="9" t="n">
        <v>2450</v>
      </c>
      <c r="H2278" s="9" t="n">
        <v>2450</v>
      </c>
      <c r="I2278" s="10" t="inlineStr">
        <is>
          <t>บจก. วีที คัลเลอร์ โปร</t>
        </is>
      </c>
      <c r="J2278" s="161" t="n">
        <v>24282</v>
      </c>
      <c r="K2278" s="8" t="inlineStr">
        <is>
          <t>IV353-66</t>
        </is>
      </c>
      <c r="L2278" s="8" t="inlineStr">
        <is>
          <t>ราคาที่ระบุเป็นก่อนหักส่วนลด</t>
        </is>
      </c>
    </row>
    <row r="2280">
      <c r="B2280" s="6" t="inlineStr">
        <is>
          <t>แม่สี บรอนซ์หยาบสว่าง Hybrid S193</t>
        </is>
      </c>
      <c r="C2280" s="8" t="n">
        <v>1</v>
      </c>
      <c r="D2280" s="9" t="n">
        <v>2450</v>
      </c>
      <c r="H2280" s="9">
        <f>SUM(D2280*C2280)</f>
        <v/>
      </c>
      <c r="I2280" s="10" t="inlineStr">
        <is>
          <t>บจก. วีที คัลเลอร์ โปร</t>
        </is>
      </c>
      <c r="J2280" s="161" t="n">
        <v>24340</v>
      </c>
      <c r="K2280" s="8" t="inlineStr">
        <is>
          <t>IV469-66</t>
        </is>
      </c>
      <c r="L2280" s="8" t="inlineStr">
        <is>
          <t>ราคาที่ระบุ ยังไม่รวม VAT7%</t>
        </is>
      </c>
    </row>
    <row r="2281">
      <c r="B2281" s="6" t="inlineStr">
        <is>
          <t>แม่สี บรอนซ์หยาบสว่าง Hybrid S193</t>
        </is>
      </c>
      <c r="C2281" s="8" t="n">
        <v>1</v>
      </c>
      <c r="D2281" s="9" t="n">
        <v>2450</v>
      </c>
      <c r="H2281" s="9">
        <f>SUM(D2281*C2281)</f>
        <v/>
      </c>
      <c r="I2281" s="10" t="inlineStr">
        <is>
          <t>บจก. วีที คัลเลอร์ โปร</t>
        </is>
      </c>
      <c r="J2281" s="161" t="n">
        <v>24359</v>
      </c>
      <c r="K2281" s="8" t="inlineStr">
        <is>
          <t>IV517-66</t>
        </is>
      </c>
      <c r="L2281" s="8" t="inlineStr">
        <is>
          <t>ราคาที่ระบุ ยังไม่รวม VAT7%</t>
        </is>
      </c>
    </row>
    <row r="2282">
      <c r="B2282" s="6" t="inlineStr">
        <is>
          <t>แม่สี บรอนซ์หยาบสว่าง Hybrid S193</t>
        </is>
      </c>
      <c r="C2282" s="8" t="n">
        <v>2</v>
      </c>
      <c r="D2282" s="9" t="n">
        <v>2450</v>
      </c>
      <c r="H2282" s="9">
        <f>SUM(D2282*C2282)</f>
        <v/>
      </c>
      <c r="I2282" s="10" t="inlineStr">
        <is>
          <t>บจก. วีที คัลเลอร์ โปร</t>
        </is>
      </c>
      <c r="J2282" s="161" t="n">
        <v>24401</v>
      </c>
      <c r="K2282" s="8" t="inlineStr">
        <is>
          <t>IV684-66</t>
        </is>
      </c>
      <c r="L2282" s="8" t="inlineStr">
        <is>
          <t>ราคาที่ระบุ ยังไม่รวม VAT7%</t>
        </is>
      </c>
    </row>
    <row r="2283">
      <c r="B2283" s="6" t="inlineStr">
        <is>
          <t>แม่สี บรอนซ์หยาบสว่าง Hybrid S193</t>
        </is>
      </c>
      <c r="C2283" s="8" t="n">
        <v>2</v>
      </c>
      <c r="D2283" s="9" t="n">
        <v>2450</v>
      </c>
      <c r="H2283" s="9">
        <f>SUM(D2283*C2283)</f>
        <v/>
      </c>
      <c r="I2283" s="10" t="inlineStr">
        <is>
          <t>บจก. วีที คัลเลอร์ โปร</t>
        </is>
      </c>
      <c r="J2283" s="161" t="n">
        <v>24396</v>
      </c>
      <c r="K2283" s="8" t="inlineStr">
        <is>
          <t>IV591-66</t>
        </is>
      </c>
      <c r="L2283" s="8" t="inlineStr">
        <is>
          <t>ราคาที่ระบุ ยังไม่รวม VAT7%</t>
        </is>
      </c>
    </row>
    <row r="2284">
      <c r="B2284" s="6" t="inlineStr">
        <is>
          <t>แม่สี บรอนซ์หยาบสว่าง Hybrid S193</t>
        </is>
      </c>
      <c r="C2284" s="8" t="n">
        <v>3</v>
      </c>
      <c r="D2284" s="9" t="n">
        <v>2450</v>
      </c>
      <c r="H2284" s="9">
        <f>SUM(D2284*C2284)</f>
        <v/>
      </c>
      <c r="I2284" s="10" t="inlineStr">
        <is>
          <t>บจก. วีที คัลเลอร์ โปร</t>
        </is>
      </c>
      <c r="J2284" s="161" t="n">
        <v>24600</v>
      </c>
      <c r="K2284" s="8" t="inlineStr">
        <is>
          <t>IV6705049</t>
        </is>
      </c>
      <c r="L2284" s="8" t="inlineStr">
        <is>
          <t>ราคาที่ระบุ ยังไม่รวม VAT7%</t>
        </is>
      </c>
    </row>
    <row r="2285">
      <c r="B2285" s="6" t="inlineStr">
        <is>
          <t>แม่สี บรอนซ์หยาบสว่าง Hybrid S193</t>
        </is>
      </c>
      <c r="C2285" s="8" t="n">
        <v>2</v>
      </c>
      <c r="D2285" s="9" t="n">
        <v>2450</v>
      </c>
      <c r="H2285" s="9">
        <f>SUM(D2285*C2285)</f>
        <v/>
      </c>
      <c r="I2285" s="10" t="inlineStr">
        <is>
          <t>บจก. วีที คัลเลอร์ โปร</t>
        </is>
      </c>
      <c r="J2285" s="161" t="n">
        <v>24676</v>
      </c>
      <c r="K2285" s="8" t="inlineStr">
        <is>
          <t>IV6707130</t>
        </is>
      </c>
      <c r="L2285" s="8" t="inlineStr">
        <is>
          <t>ราคาที่ระบุ ยังไม่รวม VAT7%</t>
        </is>
      </c>
    </row>
    <row r="2286">
      <c r="B2286" s="6" t="inlineStr">
        <is>
          <t>แม่สี บรอนซ์หยาบสว่าง Hybrid S193</t>
        </is>
      </c>
      <c r="C2286" s="8" t="n">
        <v>1</v>
      </c>
      <c r="D2286" s="9" t="n">
        <v>2621.5</v>
      </c>
      <c r="H2286" s="9">
        <f>SUM(D2286*C2286)</f>
        <v/>
      </c>
      <c r="I2286" s="10" t="inlineStr">
        <is>
          <t>บจก. วีที คัลเลอร์ โปร</t>
        </is>
      </c>
      <c r="J2286" s="161" t="n">
        <v>24923</v>
      </c>
      <c r="K2286" s="8" t="inlineStr">
        <is>
          <t>IV6803171</t>
        </is>
      </c>
      <c r="L2286" s="8" t="inlineStr">
        <is>
          <t>ราคารวม VAT แล้ว</t>
        </is>
      </c>
    </row>
    <row r="2287">
      <c r="B2287" s="6" t="inlineStr">
        <is>
          <t>แม่สี บรอนซ์หยาบสว่าง Hybrid S193</t>
        </is>
      </c>
      <c r="C2287" s="8" t="n">
        <v>2</v>
      </c>
      <c r="D2287" s="9" t="n">
        <v>2450</v>
      </c>
      <c r="E2287" s="9">
        <f>SUM(C2287*D2287)</f>
        <v/>
      </c>
      <c r="H2287" s="9">
        <f>SUM(E2287*O2287/N2287)</f>
        <v/>
      </c>
      <c r="I2287" s="10" t="inlineStr">
        <is>
          <t>บจก. วีที คัลเลอร์ โปร</t>
        </is>
      </c>
      <c r="J2287" s="161" t="n">
        <v>24979</v>
      </c>
      <c r="K2287" s="8" t="inlineStr">
        <is>
          <t>IV6805147</t>
        </is>
      </c>
      <c r="N2287" s="6" t="n">
        <v>100</v>
      </c>
      <c r="O2287" s="6" t="n">
        <v>107</v>
      </c>
    </row>
    <row r="2288">
      <c r="B2288" s="6" t="inlineStr">
        <is>
          <t>แม่สี บรอนซ์หยาบสว่าง Hybrid S193</t>
        </is>
      </c>
      <c r="C2288" s="8" t="n">
        <v>1</v>
      </c>
      <c r="D2288" s="9" t="n">
        <v>2450</v>
      </c>
      <c r="E2288" s="9">
        <f>SUM(D2288*C2288)</f>
        <v/>
      </c>
      <c r="F2288" s="8" t="n">
        <v>0.07000000000000001</v>
      </c>
      <c r="G2288" s="10" t="inlineStr">
        <is>
          <t>รวม VAT =</t>
        </is>
      </c>
      <c r="H2288" s="9">
        <f>SUM(E2288+N2288)</f>
        <v/>
      </c>
      <c r="I2288" s="10" t="inlineStr">
        <is>
          <t>บจก. วีที คัลเลอร์ โปร</t>
        </is>
      </c>
      <c r="J2288" s="161" t="n">
        <v>25015</v>
      </c>
      <c r="K2288" s="8" t="inlineStr">
        <is>
          <t>IV6806175</t>
        </is>
      </c>
      <c r="N2288" s="6">
        <f>SUM(E2288*F2288)</f>
        <v/>
      </c>
    </row>
    <row r="2289">
      <c r="B2289" s="6" t="inlineStr">
        <is>
          <t>แม่สี บรอนซ์หยาบสว่าง Hybrid S193</t>
        </is>
      </c>
      <c r="C2289" s="8" t="n">
        <v>2</v>
      </c>
      <c r="D2289" s="9" t="n">
        <v>2450</v>
      </c>
      <c r="E2289" s="9">
        <f>SUM(D2289*C2289)</f>
        <v/>
      </c>
      <c r="F2289" s="8" t="n">
        <v>0.07000000000000001</v>
      </c>
      <c r="G2289" s="10" t="inlineStr">
        <is>
          <t>รวม VAT =</t>
        </is>
      </c>
      <c r="H2289" s="9">
        <f>SUM(E2289+N2289)</f>
        <v/>
      </c>
      <c r="I2289" s="10" t="inlineStr">
        <is>
          <t>บจก. วีที คัลเลอร์ โปร</t>
        </is>
      </c>
      <c r="J2289" s="161" t="n">
        <v>25042</v>
      </c>
      <c r="K2289" s="8" t="inlineStr">
        <is>
          <t>IV6807180</t>
        </is>
      </c>
      <c r="N2289" s="6">
        <f>SUM(E2289*F2289)</f>
        <v/>
      </c>
    </row>
    <row r="2290">
      <c r="B2290" s="6" t="inlineStr">
        <is>
          <t>แม่สี บรอนซ์หยาบสว่าง Hybrid S193</t>
        </is>
      </c>
      <c r="C2290" s="8" t="n">
        <v>2</v>
      </c>
      <c r="D2290" s="9" t="n">
        <v>2450</v>
      </c>
      <c r="E2290" s="9">
        <f>SUM(D2290*C2290)</f>
        <v/>
      </c>
      <c r="F2290" s="8" t="n">
        <v>0.07000000000000001</v>
      </c>
      <c r="G2290" s="10" t="inlineStr">
        <is>
          <t>รวม VAT =</t>
        </is>
      </c>
      <c r="H2290" s="9">
        <f>SUM(E2290+N2290)</f>
        <v/>
      </c>
      <c r="I2290" s="10" t="inlineStr">
        <is>
          <t>บจก. วีที คัลเลอร์ โปร</t>
        </is>
      </c>
      <c r="J2290" s="161" t="n">
        <v>25073</v>
      </c>
      <c r="K2290" s="8" t="inlineStr">
        <is>
          <t>IV6808151</t>
        </is>
      </c>
      <c r="N2290" s="6">
        <f>SUM(E2290*F2290)</f>
        <v/>
      </c>
    </row>
    <row r="2291">
      <c r="B2291" s="6" t="inlineStr">
        <is>
          <t>แม่สี บรอนซ์หยาบสว่าง Hybrid S193</t>
        </is>
      </c>
      <c r="C2291" s="8" t="n">
        <v>4</v>
      </c>
      <c r="D2291" s="9" t="n">
        <v>2450</v>
      </c>
      <c r="E2291" s="9">
        <f>SUM(D2291*C2291)</f>
        <v/>
      </c>
      <c r="F2291" s="8" t="n">
        <v>0.07000000000000001</v>
      </c>
      <c r="G2291" s="10" t="inlineStr">
        <is>
          <t>รวม VAT =</t>
        </is>
      </c>
      <c r="H2291" s="9">
        <f>SUM(E2291+N2291)</f>
        <v/>
      </c>
      <c r="I2291" s="10" t="inlineStr">
        <is>
          <t>บจก. วีที คัลเลอร์ โปร</t>
        </is>
      </c>
      <c r="J2291" s="161" t="n">
        <v>25112</v>
      </c>
      <c r="K2291" s="8" t="inlineStr">
        <is>
          <t>IV6810015</t>
        </is>
      </c>
      <c r="N2291" s="6">
        <f>SUM(E2291*F2291)</f>
        <v/>
      </c>
    </row>
    <row r="2292">
      <c r="B2292" s="6" t="inlineStr">
        <is>
          <t>แม่สี บรอนซ์หยาบสว่าง Hybrid S193</t>
        </is>
      </c>
      <c r="C2292" s="8" t="n">
        <v>2</v>
      </c>
      <c r="D2292" s="9" t="n">
        <v>2450</v>
      </c>
      <c r="E2292" s="9">
        <f>SUM(D2292*C2292)</f>
        <v/>
      </c>
      <c r="F2292" s="8" t="n">
        <v>0.07000000000000001</v>
      </c>
      <c r="G2292" s="10" t="inlineStr">
        <is>
          <t>รวม VAT =</t>
        </is>
      </c>
      <c r="H2292" s="9">
        <f>SUM(E2292+N2292)</f>
        <v/>
      </c>
      <c r="I2292" s="10" t="inlineStr">
        <is>
          <t>บจก. วีที คัลเลอร์ โปร</t>
        </is>
      </c>
      <c r="J2292" s="161" t="n">
        <v>25145</v>
      </c>
      <c r="K2292" s="8" t="inlineStr">
        <is>
          <t>IV6811023</t>
        </is>
      </c>
      <c r="L2292" s="8" t="inlineStr">
        <is>
          <t>ราคาที่ระบุ ยังไม่รวม VAT7%</t>
        </is>
      </c>
      <c r="N2292" s="6">
        <f>SUM(E2292*F2292)</f>
        <v/>
      </c>
    </row>
    <row r="2293">
      <c r="B2293" s="6" t="inlineStr">
        <is>
          <t>แม่สี บรอนซ์หยาบสว่าง Hybrid S193</t>
        </is>
      </c>
      <c r="C2293" s="8" t="n">
        <v>1</v>
      </c>
      <c r="D2293" s="9" t="n">
        <v>2450</v>
      </c>
      <c r="E2293" s="9">
        <f>SUM(D2293*C2293)</f>
        <v/>
      </c>
      <c r="F2293" s="8" t="n">
        <v>0.07000000000000001</v>
      </c>
      <c r="G2293" s="10" t="inlineStr">
        <is>
          <t>รวม VAT =</t>
        </is>
      </c>
      <c r="H2293" s="9">
        <f>SUM(E2293+N2293)</f>
        <v/>
      </c>
      <c r="I2293" s="10" t="inlineStr">
        <is>
          <t>บจก. วีที คัลเลอร์ โปร</t>
        </is>
      </c>
      <c r="J2293" s="161" t="n">
        <v>25180</v>
      </c>
      <c r="K2293" s="8" t="inlineStr">
        <is>
          <t>IV6812065</t>
        </is>
      </c>
      <c r="N2293" s="6">
        <f>SUM(E2293*F2293)</f>
        <v/>
      </c>
    </row>
    <row r="2296">
      <c r="B2296" s="6" t="inlineStr">
        <is>
          <t>แม่สี Matrix  M-194</t>
        </is>
      </c>
      <c r="C2296" s="8" t="inlineStr">
        <is>
          <t>2กล.</t>
        </is>
      </c>
      <c r="D2296" s="9" t="n">
        <v>2950</v>
      </c>
      <c r="F2296" s="8" t="n">
        <v>10</v>
      </c>
      <c r="H2296" s="9" t="n">
        <v>5900</v>
      </c>
      <c r="I2296" s="10" t="inlineStr">
        <is>
          <t>ทรัพย์สินไทย</t>
        </is>
      </c>
      <c r="J2296" s="161" t="n">
        <v>22821</v>
      </c>
      <c r="L2296" s="8" t="inlineStr">
        <is>
          <t>ราคาที่ระบุเป็นก่อนหักส่วนลด</t>
        </is>
      </c>
    </row>
    <row r="2297">
      <c r="B2297" s="6" t="inlineStr">
        <is>
          <t>แม่สี Matrix  M-194</t>
        </is>
      </c>
      <c r="C2297" s="8" t="inlineStr">
        <is>
          <t>2กล.</t>
        </is>
      </c>
      <c r="D2297" s="9" t="n">
        <v>2950</v>
      </c>
      <c r="F2297" s="8" t="n">
        <v>10</v>
      </c>
      <c r="H2297" s="9" t="n">
        <v>5900</v>
      </c>
      <c r="I2297" s="10" t="inlineStr">
        <is>
          <t>ทรัพย์สินไทย</t>
        </is>
      </c>
      <c r="J2297" s="161" t="n">
        <v>23062</v>
      </c>
      <c r="L2297" s="8" t="inlineStr">
        <is>
          <t>ราคาที่ระบุเป็นก่อนหักส่วนลด</t>
        </is>
      </c>
    </row>
    <row r="2298">
      <c r="B2298" s="6" t="inlineStr">
        <is>
          <t>แม่สี Matrix  M-194</t>
        </is>
      </c>
      <c r="C2298" s="8" t="inlineStr">
        <is>
          <t>2กล.</t>
        </is>
      </c>
      <c r="D2298" s="9" t="n">
        <v>2950</v>
      </c>
      <c r="F2298" s="8" t="n">
        <v>10</v>
      </c>
      <c r="H2298" s="9" t="n">
        <v>5900</v>
      </c>
      <c r="I2298" s="10" t="inlineStr">
        <is>
          <t>ทรัพย์สินไทย</t>
        </is>
      </c>
      <c r="J2298" s="161" t="n">
        <v>23094</v>
      </c>
      <c r="L2298" s="8" t="inlineStr">
        <is>
          <t>ราคาที่ระบุเป็นก่อนหักส่วนลด</t>
        </is>
      </c>
    </row>
    <row r="2299">
      <c r="B2299" s="6" t="inlineStr">
        <is>
          <t>แม่สี Matrix  M-194</t>
        </is>
      </c>
      <c r="C2299" s="8" t="inlineStr">
        <is>
          <t>2กล.</t>
        </is>
      </c>
      <c r="D2299" s="9" t="n">
        <v>2950</v>
      </c>
      <c r="F2299" s="8" t="n">
        <v>10</v>
      </c>
      <c r="H2299" s="9" t="n">
        <v>5900</v>
      </c>
      <c r="I2299" s="10" t="inlineStr">
        <is>
          <t>ทรัพย์สินไทย</t>
        </is>
      </c>
      <c r="J2299" s="161" t="n">
        <v>23340</v>
      </c>
      <c r="L2299" s="8" t="inlineStr">
        <is>
          <t>ราคาที่ระบุเป็นก่อนหักส่วนลด</t>
        </is>
      </c>
    </row>
    <row r="2300">
      <c r="B2300" s="6" t="inlineStr">
        <is>
          <t>แม่สี Matrix  M-194</t>
        </is>
      </c>
      <c r="C2300" s="8" t="inlineStr">
        <is>
          <t>2กล.</t>
        </is>
      </c>
      <c r="D2300" s="9" t="n">
        <v>2950</v>
      </c>
      <c r="F2300" s="8" t="n">
        <v>10</v>
      </c>
      <c r="H2300" s="9" t="n">
        <v>5900</v>
      </c>
      <c r="I2300" s="10" t="inlineStr">
        <is>
          <t>ทรัพย์สินไทย</t>
        </is>
      </c>
      <c r="J2300" s="161" t="n">
        <v>23366</v>
      </c>
      <c r="L2300" s="8" t="inlineStr">
        <is>
          <t>ราคาที่ระบุเป็นก่อนหักส่วนลด</t>
        </is>
      </c>
    </row>
    <row r="2301">
      <c r="B2301" s="6" t="inlineStr">
        <is>
          <t>แม่สี Matrix  M-194</t>
        </is>
      </c>
      <c r="C2301" s="8" t="inlineStr">
        <is>
          <t>2กล.</t>
        </is>
      </c>
      <c r="D2301" s="9" t="n">
        <v>2950</v>
      </c>
      <c r="F2301" s="8" t="n">
        <v>10</v>
      </c>
      <c r="H2301" s="9" t="n">
        <v>5900</v>
      </c>
      <c r="I2301" s="10" t="inlineStr">
        <is>
          <t>ทรัพย์สินไทย</t>
        </is>
      </c>
      <c r="J2301" s="161" t="n">
        <v>23763</v>
      </c>
      <c r="K2301" s="8" t="inlineStr">
        <is>
          <t>IV6501224</t>
        </is>
      </c>
      <c r="L2301" s="8" t="inlineStr">
        <is>
          <t>ราคาที่ระบุเป็นก่อนหักส่วนลด</t>
        </is>
      </c>
    </row>
    <row r="2302">
      <c r="B2302" s="6" t="inlineStr">
        <is>
          <t>แม่สี Matrix  M-194</t>
        </is>
      </c>
      <c r="C2302" s="8" t="inlineStr">
        <is>
          <t>1กล.</t>
        </is>
      </c>
      <c r="D2302" s="9" t="n">
        <v>2950</v>
      </c>
      <c r="F2302" s="8" t="n">
        <v>10</v>
      </c>
      <c r="H2302" s="9" t="n">
        <v>2950</v>
      </c>
      <c r="I2302" s="10" t="inlineStr">
        <is>
          <t>ทรัพย์สินไทย</t>
        </is>
      </c>
      <c r="J2302" s="161" t="n">
        <v>23887</v>
      </c>
      <c r="K2302" s="8" t="inlineStr">
        <is>
          <t>IV6505290</t>
        </is>
      </c>
      <c r="L2302" s="8" t="inlineStr">
        <is>
          <t>ราคาที่ระบุเป็นก่อนหักส่วนลด</t>
        </is>
      </c>
    </row>
    <row r="2303">
      <c r="B2303" s="6" t="inlineStr">
        <is>
          <t>แม่สี บรอนซ์ละเอียด SC-194</t>
        </is>
      </c>
      <c r="C2303" s="8" t="inlineStr">
        <is>
          <t>1กล.</t>
        </is>
      </c>
      <c r="D2303" s="9" t="n">
        <v>2450</v>
      </c>
      <c r="H2303" s="9" t="n">
        <v>2450</v>
      </c>
      <c r="I2303" s="10" t="inlineStr">
        <is>
          <t>บจก. วีที คัลเลอร์ โปร</t>
        </is>
      </c>
      <c r="J2303" s="161" t="n">
        <v>23978</v>
      </c>
      <c r="K2303" s="8" t="inlineStr">
        <is>
          <t>IV148-65</t>
        </is>
      </c>
      <c r="L2303" s="8" t="inlineStr">
        <is>
          <t>ราคาที่ระบุ ยังไม่รวม VAT7%</t>
        </is>
      </c>
    </row>
    <row r="2304">
      <c r="B2304" s="6" t="inlineStr">
        <is>
          <t>แม่สี บรอนซ์ละเอียด SC-194</t>
        </is>
      </c>
      <c r="C2304" s="8" t="inlineStr">
        <is>
          <t>2กล.</t>
        </is>
      </c>
      <c r="D2304" s="9" t="n">
        <v>2450</v>
      </c>
      <c r="H2304" s="9" t="n">
        <v>4900</v>
      </c>
      <c r="I2304" s="10" t="inlineStr">
        <is>
          <t>บจก. วีที คัลเลอร์ โปร</t>
        </is>
      </c>
      <c r="J2304" s="161" t="n">
        <v>24089</v>
      </c>
      <c r="K2304" s="8" t="inlineStr">
        <is>
          <t>IV308-65</t>
        </is>
      </c>
      <c r="L2304" s="8" t="inlineStr">
        <is>
          <t>ราคาที่ระบุ ยังไม่รวม VAT7%</t>
        </is>
      </c>
    </row>
    <row r="2305">
      <c r="B2305" s="6" t="inlineStr">
        <is>
          <t>แม่สี บรอนซ์ละเอียด SC-194</t>
        </is>
      </c>
      <c r="C2305" s="8" t="inlineStr">
        <is>
          <t>1กล.</t>
        </is>
      </c>
      <c r="D2305" s="9" t="n">
        <v>2450</v>
      </c>
      <c r="H2305" s="9" t="n">
        <v>2450</v>
      </c>
      <c r="I2305" s="10" t="inlineStr">
        <is>
          <t>บจก. วีที คัลเลอร์ โปร</t>
        </is>
      </c>
      <c r="J2305" s="161" t="n">
        <v>24221</v>
      </c>
      <c r="K2305" s="8" t="inlineStr">
        <is>
          <t>IV226-66</t>
        </is>
      </c>
      <c r="L2305" s="8" t="inlineStr">
        <is>
          <t>ราคาที่ระบุ ยังไม่รวม VAT7%</t>
        </is>
      </c>
    </row>
    <row r="2306">
      <c r="B2306" s="6" t="inlineStr">
        <is>
          <t>แม่สี บรอนซ์ละเอียด Hybrid S194</t>
        </is>
      </c>
      <c r="C2306" s="8" t="inlineStr">
        <is>
          <t>1กล.</t>
        </is>
      </c>
      <c r="D2306" s="9" t="n">
        <v>2450</v>
      </c>
      <c r="H2306" s="9" t="n">
        <v>2450</v>
      </c>
      <c r="I2306" s="10" t="inlineStr">
        <is>
          <t>บจก. วีที คัลเลอร์ โปร</t>
        </is>
      </c>
      <c r="J2306" s="161" t="n">
        <v>24298</v>
      </c>
      <c r="K2306" s="8" t="inlineStr">
        <is>
          <t>IV387-66</t>
        </is>
      </c>
      <c r="L2306" s="8" t="inlineStr">
        <is>
          <t>ราคาที่ระบุ ยังไม่รวม VAT7%</t>
        </is>
      </c>
    </row>
    <row r="2307">
      <c r="B2307" s="6" t="inlineStr">
        <is>
          <t>แม่สี บรอนซ์ละเอียด Hybrid S194</t>
        </is>
      </c>
      <c r="C2307" s="8" t="n">
        <v>1</v>
      </c>
      <c r="D2307" s="9" t="n">
        <v>2450</v>
      </c>
      <c r="H2307" s="9">
        <f>SUM(D2307*C2307)</f>
        <v/>
      </c>
      <c r="I2307" s="10" t="inlineStr">
        <is>
          <t>บจก. วีที คัลเลอร์ โปร</t>
        </is>
      </c>
      <c r="J2307" s="161" t="n">
        <v>24359</v>
      </c>
      <c r="K2307" s="8" t="inlineStr">
        <is>
          <t>IV517-66</t>
        </is>
      </c>
      <c r="L2307" s="8" t="inlineStr">
        <is>
          <t>ราคาที่ระบุ ยังไม่รวม VAT7%</t>
        </is>
      </c>
    </row>
    <row r="2308">
      <c r="B2308" s="6" t="inlineStr">
        <is>
          <t>แม่สี บรอนซ์ละเอียด Hybrid S194</t>
        </is>
      </c>
      <c r="C2308" s="8" t="n">
        <v>1</v>
      </c>
      <c r="D2308" s="9" t="n">
        <v>2450</v>
      </c>
      <c r="H2308" s="9">
        <f>SUM(D2308*C2308)</f>
        <v/>
      </c>
      <c r="I2308" s="10" t="inlineStr">
        <is>
          <t>บจก. วีที คัลเลอร์ โปร</t>
        </is>
      </c>
      <c r="J2308" s="161" t="n">
        <v>24396</v>
      </c>
      <c r="K2308" s="8" t="inlineStr">
        <is>
          <t>IV591-66</t>
        </is>
      </c>
      <c r="L2308" s="8" t="inlineStr">
        <is>
          <t>ราคาที่ระบุ ยังไม่รวม VAT7%</t>
        </is>
      </c>
    </row>
    <row r="2309">
      <c r="B2309" s="6" t="inlineStr">
        <is>
          <t>แม่สี บรอนซ์ละเอียด Hybrid S194</t>
        </is>
      </c>
      <c r="C2309" s="8" t="n">
        <v>2</v>
      </c>
      <c r="D2309" s="9" t="n">
        <v>2450</v>
      </c>
      <c r="H2309" s="9">
        <f>SUM(D2309*C2309)</f>
        <v/>
      </c>
      <c r="I2309" s="10" t="inlineStr">
        <is>
          <t>บจก. วีที คัลเลอร์ โปร</t>
        </is>
      </c>
      <c r="J2309" s="161" t="n">
        <v>24401</v>
      </c>
      <c r="K2309" s="8" t="inlineStr">
        <is>
          <t>IV684-66</t>
        </is>
      </c>
      <c r="L2309" s="8" t="inlineStr">
        <is>
          <t>ราคาที่ระบุ ยังไม่รวม VAT7%</t>
        </is>
      </c>
    </row>
    <row r="2310">
      <c r="B2310" s="6" t="inlineStr">
        <is>
          <t>แม่สี บรอนซ์ละเอียด Hybrid S194</t>
        </is>
      </c>
      <c r="C2310" s="8" t="n">
        <v>1</v>
      </c>
      <c r="D2310" s="9" t="n">
        <v>2450</v>
      </c>
      <c r="H2310" s="9">
        <f>SUM(D2310*C2310)</f>
        <v/>
      </c>
      <c r="I2310" s="10" t="inlineStr">
        <is>
          <t>บจก. วีที คัลเลอร์ โปร</t>
        </is>
      </c>
      <c r="J2310" s="161" t="n">
        <v>24529</v>
      </c>
      <c r="K2310" s="8" t="inlineStr">
        <is>
          <t>IV6702103</t>
        </is>
      </c>
      <c r="L2310" s="8" t="inlineStr">
        <is>
          <t>ราคาที่ระบุ ยังไม่รวม VAT7%</t>
        </is>
      </c>
    </row>
    <row r="2311">
      <c r="B2311" s="6" t="inlineStr">
        <is>
          <t>แม่สี บรอนซ์ละเอียด Hybrid S194</t>
        </is>
      </c>
      <c r="C2311" s="8" t="n">
        <v>1</v>
      </c>
      <c r="D2311" s="9" t="n">
        <v>2450</v>
      </c>
      <c r="H2311" s="9">
        <f>SUM(D2311*C2311)</f>
        <v/>
      </c>
      <c r="I2311" s="10" t="inlineStr">
        <is>
          <t>บจก. วีที คัลเลอร์ โปร</t>
        </is>
      </c>
      <c r="J2311" s="161" t="n">
        <v>24600</v>
      </c>
      <c r="K2311" s="8" t="inlineStr">
        <is>
          <t>IV6705049</t>
        </is>
      </c>
      <c r="L2311" s="8" t="inlineStr">
        <is>
          <t>ราคาที่ระบุ ยังไม่รวม VAT7%</t>
        </is>
      </c>
    </row>
    <row r="2312">
      <c r="B2312" s="6" t="inlineStr">
        <is>
          <t>แม่สี บรอนซ์ละเอียด Hybrid S194</t>
        </is>
      </c>
      <c r="C2312" s="8" t="n">
        <v>1</v>
      </c>
      <c r="D2312" s="9" t="n">
        <v>2450</v>
      </c>
      <c r="H2312" s="9">
        <f>SUM(D2312*C2312)</f>
        <v/>
      </c>
      <c r="I2312" s="10" t="inlineStr">
        <is>
          <t>บจก. วีที คัลเลอร์ โปร</t>
        </is>
      </c>
      <c r="J2312" s="161" t="n">
        <v>24550</v>
      </c>
      <c r="K2312" s="8" t="inlineStr">
        <is>
          <t>IV6703088</t>
        </is>
      </c>
      <c r="L2312" s="8" t="inlineStr">
        <is>
          <t>ราคาที่ระบุ ยังไม่รวม VAT7%</t>
        </is>
      </c>
    </row>
    <row r="2313">
      <c r="B2313" s="6" t="inlineStr">
        <is>
          <t>แม่สี บรอนซ์ละเอียด Hybrid S194</t>
        </is>
      </c>
      <c r="C2313" s="8" t="n">
        <v>2</v>
      </c>
      <c r="D2313" s="9" t="n">
        <v>2450</v>
      </c>
      <c r="H2313" s="9">
        <f>SUM(D2313*C2313)</f>
        <v/>
      </c>
      <c r="I2313" s="10" t="inlineStr">
        <is>
          <t>บจก. วีที คัลเลอร์ โปร</t>
        </is>
      </c>
      <c r="J2313" s="161" t="n">
        <v>24664</v>
      </c>
      <c r="K2313" s="8" t="inlineStr">
        <is>
          <t>IV6707082</t>
        </is>
      </c>
      <c r="L2313" s="8" t="inlineStr">
        <is>
          <t>ราคาที่ระบุ ยังไม่รวม VAT7%</t>
        </is>
      </c>
    </row>
    <row r="2314">
      <c r="B2314" s="6" t="inlineStr">
        <is>
          <t>แม่สี บรอนซ์ละเอียด Hybrid S194</t>
        </is>
      </c>
      <c r="C2314" s="8" t="n">
        <v>1</v>
      </c>
      <c r="D2314" s="9" t="n">
        <v>2450</v>
      </c>
      <c r="H2314" s="9">
        <f>SUM(D2314*C2314)</f>
        <v/>
      </c>
      <c r="I2314" s="10" t="inlineStr">
        <is>
          <t>บจก. วีที คัลเลอร์ โปร</t>
        </is>
      </c>
      <c r="J2314" s="161" t="n">
        <v>24707</v>
      </c>
      <c r="K2314" s="8" t="inlineStr">
        <is>
          <t>IV6708116</t>
        </is>
      </c>
      <c r="L2314" s="8" t="inlineStr">
        <is>
          <t>ราคาที่ระบุ ยังไม่รวม VAT7%</t>
        </is>
      </c>
    </row>
    <row r="2315">
      <c r="B2315" s="6" t="inlineStr">
        <is>
          <t>แม่สี บรอนซ์ละเอียด Hybrid S194</t>
        </is>
      </c>
      <c r="C2315" s="8" t="n">
        <v>2</v>
      </c>
      <c r="D2315" s="9" t="n">
        <v>2450</v>
      </c>
      <c r="H2315" s="9">
        <f>SUM(D2315*C2315)</f>
        <v/>
      </c>
      <c r="I2315" s="10" t="inlineStr">
        <is>
          <t>บจก. วีที คัลเลอร์ โปร</t>
        </is>
      </c>
      <c r="J2315" s="161" t="n">
        <v>24795</v>
      </c>
      <c r="K2315" s="8" t="inlineStr">
        <is>
          <t>IV6711103</t>
        </is>
      </c>
      <c r="L2315" s="8" t="inlineStr">
        <is>
          <t>ราคาที่ระบุ ยังไม่รวม VAT7%</t>
        </is>
      </c>
    </row>
    <row r="2316">
      <c r="B2316" s="6" t="inlineStr">
        <is>
          <t>แม่สี บรอนซ์ละเอียด Hybrid S194</t>
        </is>
      </c>
      <c r="C2316" s="8" t="n">
        <v>1</v>
      </c>
      <c r="D2316" s="9" t="n">
        <v>2450</v>
      </c>
      <c r="H2316" s="9">
        <f>SUM(D2316*C2316)</f>
        <v/>
      </c>
      <c r="I2316" s="10" t="inlineStr">
        <is>
          <t>บจก. วีที คัลเลอร์ โปร</t>
        </is>
      </c>
      <c r="J2316" s="161" t="n">
        <v>24824</v>
      </c>
      <c r="K2316" s="8" t="inlineStr">
        <is>
          <t>IV6712085</t>
        </is>
      </c>
      <c r="L2316" s="8" t="inlineStr">
        <is>
          <t>ราคาที่ระบุ ยังไม่รวม VAT7%</t>
        </is>
      </c>
    </row>
    <row r="2317">
      <c r="B2317" s="6" t="inlineStr">
        <is>
          <t>แม่สี บรอนซ์ละเอียด Hybrid S194</t>
        </is>
      </c>
      <c r="C2317" s="8" t="n">
        <v>2</v>
      </c>
      <c r="D2317" s="9" t="n">
        <v>2450</v>
      </c>
      <c r="E2317" s="9">
        <f>SUM(C2317*D2317)</f>
        <v/>
      </c>
      <c r="H2317" s="9">
        <f>SUM(E2317*O2317/N2317)</f>
        <v/>
      </c>
      <c r="I2317" s="10" t="inlineStr">
        <is>
          <t>บจก. วีที คัลเลอร์ โปร</t>
        </is>
      </c>
      <c r="J2317" s="161" t="n">
        <v>24979</v>
      </c>
      <c r="K2317" s="8" t="inlineStr">
        <is>
          <t>IV6805147</t>
        </is>
      </c>
      <c r="N2317" s="6" t="n">
        <v>100</v>
      </c>
      <c r="O2317" s="6" t="n">
        <v>107</v>
      </c>
    </row>
    <row r="2318">
      <c r="B2318" s="6" t="inlineStr">
        <is>
          <t>แม่สี บรอนซ์ละเอียด Hybrid S194</t>
        </is>
      </c>
      <c r="C2318" s="8" t="n">
        <v>1</v>
      </c>
      <c r="D2318" s="9" t="n">
        <v>2450</v>
      </c>
      <c r="E2318" s="9">
        <f>SUM(D2318*C2318)</f>
        <v/>
      </c>
      <c r="F2318" s="8" t="n">
        <v>0.07000000000000001</v>
      </c>
      <c r="G2318" s="10" t="inlineStr">
        <is>
          <t>รวม VAT =</t>
        </is>
      </c>
      <c r="H2318" s="9">
        <f>SUM(E2318+N2318)</f>
        <v/>
      </c>
      <c r="I2318" s="10" t="inlineStr">
        <is>
          <t>บจก. วีที คัลเลอร์ โปร</t>
        </is>
      </c>
      <c r="J2318" s="161" t="n">
        <v>25015</v>
      </c>
      <c r="K2318" s="8" t="inlineStr">
        <is>
          <t>IV6806175</t>
        </is>
      </c>
      <c r="N2318" s="6">
        <f>SUM(E2318*F2318)</f>
        <v/>
      </c>
    </row>
    <row r="2319">
      <c r="B2319" s="6" t="inlineStr">
        <is>
          <t>แม่สี บรอนซ์ละเอียด Hybrid S194</t>
        </is>
      </c>
      <c r="C2319" s="8" t="n">
        <v>1</v>
      </c>
      <c r="D2319" s="9" t="n">
        <v>2450</v>
      </c>
      <c r="E2319" s="9">
        <f>SUM(D2319*C2319)</f>
        <v/>
      </c>
      <c r="F2319" s="8" t="n">
        <v>0.07000000000000001</v>
      </c>
      <c r="G2319" s="10" t="inlineStr">
        <is>
          <t>รวม VAT =</t>
        </is>
      </c>
      <c r="H2319" s="9">
        <f>SUM(E2319+N2319)</f>
        <v/>
      </c>
      <c r="I2319" s="10" t="inlineStr">
        <is>
          <t>บจก. วีที คัลเลอร์ โปร</t>
        </is>
      </c>
      <c r="J2319" s="161" t="n">
        <v>25042</v>
      </c>
      <c r="K2319" s="8" t="inlineStr">
        <is>
          <t>IV6807180</t>
        </is>
      </c>
      <c r="N2319" s="6">
        <f>SUM(E2319*F2319)</f>
        <v/>
      </c>
    </row>
    <row r="2320">
      <c r="B2320" s="6" t="inlineStr">
        <is>
          <t>แม่สี บรอนซ์ละเอียด Hybrid S194</t>
        </is>
      </c>
      <c r="C2320" s="8" t="n">
        <v>1</v>
      </c>
      <c r="D2320" s="9" t="n">
        <v>2450</v>
      </c>
      <c r="E2320" s="9">
        <f>SUM(D2320*C2320)</f>
        <v/>
      </c>
      <c r="F2320" s="8" t="n">
        <v>0.07000000000000001</v>
      </c>
      <c r="G2320" s="10" t="inlineStr">
        <is>
          <t>รวม VAT =</t>
        </is>
      </c>
      <c r="H2320" s="9">
        <f>SUM(E2320+N2320)</f>
        <v/>
      </c>
      <c r="I2320" s="10" t="inlineStr">
        <is>
          <t>บจก. วีที คัลเลอร์ โปร</t>
        </is>
      </c>
      <c r="J2320" s="161" t="n">
        <v>25073</v>
      </c>
      <c r="K2320" s="8" t="inlineStr">
        <is>
          <t>IV6808151</t>
        </is>
      </c>
      <c r="N2320" s="6">
        <f>SUM(E2320*F2320)</f>
        <v/>
      </c>
    </row>
    <row r="2321">
      <c r="B2321" s="6" t="inlineStr">
        <is>
          <t>แม่สี บรอนซ์ละเอียด Hybrid S194</t>
        </is>
      </c>
      <c r="C2321" s="8" t="n">
        <v>1</v>
      </c>
      <c r="D2321" s="9" t="n">
        <v>2450</v>
      </c>
      <c r="E2321" s="9">
        <f>SUM(D2321*C2321)</f>
        <v/>
      </c>
      <c r="F2321" s="8" t="n">
        <v>0.07000000000000001</v>
      </c>
      <c r="G2321" s="10" t="inlineStr">
        <is>
          <t>รวม VAT =</t>
        </is>
      </c>
      <c r="H2321" s="9">
        <f>SUM(E2321+N2321)</f>
        <v/>
      </c>
      <c r="I2321" s="10" t="inlineStr">
        <is>
          <t>บจก. วีที คัลเลอร์ โปร</t>
        </is>
      </c>
      <c r="J2321" s="161" t="n">
        <v>25112</v>
      </c>
      <c r="K2321" s="8" t="inlineStr">
        <is>
          <t>IV6810015</t>
        </is>
      </c>
      <c r="N2321" s="6">
        <f>SUM(E2321*F2321)</f>
        <v/>
      </c>
    </row>
    <row r="2322">
      <c r="B2322" s="6" t="inlineStr">
        <is>
          <t>แม่สี บรอนซ์ละเอียด Hybrid S194</t>
        </is>
      </c>
      <c r="C2322" s="8" t="n">
        <v>2</v>
      </c>
      <c r="D2322" s="9" t="n">
        <v>2450</v>
      </c>
      <c r="E2322" s="9">
        <f>SUM(D2322*C2322)</f>
        <v/>
      </c>
      <c r="F2322" s="8" t="n">
        <v>0.07000000000000001</v>
      </c>
      <c r="G2322" s="10" t="inlineStr">
        <is>
          <t>รวม VAT =</t>
        </is>
      </c>
      <c r="H2322" s="9">
        <f>SUM(E2322+N2322)</f>
        <v/>
      </c>
      <c r="I2322" s="10" t="inlineStr">
        <is>
          <t>บจก. วีที คัลเลอร์ โปร</t>
        </is>
      </c>
      <c r="J2322" s="161" t="n">
        <v>25180</v>
      </c>
      <c r="K2322" s="8" t="inlineStr">
        <is>
          <t>IV6812065</t>
        </is>
      </c>
      <c r="N2322" s="6">
        <f>SUM(E2322*F2322)</f>
        <v/>
      </c>
    </row>
    <row r="2324">
      <c r="B2324" s="6" t="inlineStr">
        <is>
          <t>แม่สี บรอนซ์ละเอียดพิเศษ Hybrid S195</t>
        </is>
      </c>
      <c r="C2324" s="8" t="n">
        <v>1</v>
      </c>
      <c r="D2324" s="9" t="n">
        <v>750</v>
      </c>
      <c r="H2324" s="9">
        <f>SUM(D2324*C2324)</f>
        <v/>
      </c>
      <c r="I2324" s="10" t="inlineStr">
        <is>
          <t>บจก. วีที คัลเลอร์ โปร</t>
        </is>
      </c>
      <c r="J2324" s="161" t="n">
        <v>24372</v>
      </c>
      <c r="K2324" s="8" t="inlineStr">
        <is>
          <t>IV541-66</t>
        </is>
      </c>
      <c r="L2324" s="8" t="inlineStr">
        <is>
          <t>ราคาที่ระบุ ยังไม่รวม VAT7%</t>
        </is>
      </c>
    </row>
    <row r="2325">
      <c r="B2325" s="6" t="inlineStr">
        <is>
          <t>แม่สี บรอนซ์ละเอียดพิเศษ Hybrid S195</t>
        </is>
      </c>
      <c r="C2325" s="8" t="n">
        <v>1</v>
      </c>
      <c r="D2325" s="9" t="n">
        <v>750</v>
      </c>
      <c r="E2325" s="9">
        <f>SUM(D2325*C2325)</f>
        <v/>
      </c>
      <c r="F2325" s="8" t="n">
        <v>0.07000000000000001</v>
      </c>
      <c r="G2325" s="10" t="inlineStr">
        <is>
          <t>รวม VAT =</t>
        </is>
      </c>
      <c r="H2325" s="9">
        <f>SUM(E2325+N2325)</f>
        <v/>
      </c>
      <c r="I2325" s="10" t="inlineStr">
        <is>
          <t>บจก. วีที คัลเลอร์ โปร</t>
        </is>
      </c>
      <c r="J2325" s="161" t="n">
        <v>25042</v>
      </c>
      <c r="K2325" s="8" t="inlineStr">
        <is>
          <t>IV6807180</t>
        </is>
      </c>
      <c r="L2325" s="8" t="inlineStr">
        <is>
          <t>ราคาที่ระบุ ยังไม่รวม VAT7%</t>
        </is>
      </c>
      <c r="N2325" s="6">
        <f>SUM(E2325*F2325)</f>
        <v/>
      </c>
    </row>
    <row r="2327">
      <c r="B2327" s="6" t="inlineStr">
        <is>
          <t>แม่สี Matrix  M-195</t>
        </is>
      </c>
      <c r="C2327" s="8" t="inlineStr">
        <is>
          <t>1กล.</t>
        </is>
      </c>
      <c r="D2327" s="9" t="n">
        <v>850</v>
      </c>
      <c r="F2327" s="8" t="n">
        <v>10</v>
      </c>
      <c r="H2327" s="9" t="n">
        <v>850</v>
      </c>
      <c r="I2327" s="10" t="inlineStr">
        <is>
          <t>ทรัพย์สินไทย</t>
        </is>
      </c>
      <c r="J2327" s="161" t="n">
        <v>22884</v>
      </c>
      <c r="L2327" s="8" t="inlineStr">
        <is>
          <t>ราคาที่ระบุเป็นก่อนหักส่วนลด</t>
        </is>
      </c>
    </row>
    <row r="2329">
      <c r="B2329" s="6" t="inlineStr">
        <is>
          <t>แม่สี Matrix  M-198</t>
        </is>
      </c>
      <c r="C2329" s="8" t="inlineStr">
        <is>
          <t>2กล.</t>
        </is>
      </c>
      <c r="D2329" s="9" t="n">
        <v>850</v>
      </c>
      <c r="F2329" s="8" t="n">
        <v>10</v>
      </c>
      <c r="H2329" s="9" t="n">
        <v>1700</v>
      </c>
      <c r="I2329" s="10" t="inlineStr">
        <is>
          <t>ทรัพย์สินไทย</t>
        </is>
      </c>
      <c r="J2329" s="161" t="n">
        <v>22884</v>
      </c>
      <c r="L2329" s="8" t="inlineStr">
        <is>
          <t>ราคาที่ระบุเป็นก่อนหักส่วนลด</t>
        </is>
      </c>
    </row>
    <row r="2330">
      <c r="B2330" s="6" t="inlineStr">
        <is>
          <t>แม่สี Matrix  M-198</t>
        </is>
      </c>
      <c r="C2330" s="8" t="inlineStr">
        <is>
          <t>2กล.</t>
        </is>
      </c>
      <c r="D2330" s="9" t="n">
        <v>850</v>
      </c>
      <c r="F2330" s="8" t="n">
        <v>10</v>
      </c>
      <c r="H2330" s="9" t="n">
        <v>1700</v>
      </c>
      <c r="I2330" s="10" t="inlineStr">
        <is>
          <t>ทรัพย์สินไทย</t>
        </is>
      </c>
      <c r="J2330" s="161" t="n">
        <v>23081</v>
      </c>
      <c r="L2330" s="8" t="inlineStr">
        <is>
          <t>ราคาที่ระบุเป็นก่อนหักส่วนลด</t>
        </is>
      </c>
    </row>
    <row r="2331">
      <c r="B2331" s="6" t="inlineStr">
        <is>
          <t>แม่สี Matrix  M-198</t>
        </is>
      </c>
      <c r="C2331" s="8" t="inlineStr">
        <is>
          <t>2กล.</t>
        </is>
      </c>
      <c r="D2331" s="9" t="n">
        <v>850</v>
      </c>
      <c r="F2331" s="8" t="n">
        <v>10</v>
      </c>
      <c r="H2331" s="9" t="n">
        <v>1700</v>
      </c>
      <c r="I2331" s="10" t="inlineStr">
        <is>
          <t>ทรัพย์สินไทย</t>
        </is>
      </c>
      <c r="J2331" s="161" t="n">
        <v>23094</v>
      </c>
      <c r="L2331" s="8" t="inlineStr">
        <is>
          <t>ราคาที่ระบุเป็นก่อนหักส่วนลด</t>
        </is>
      </c>
    </row>
    <row r="2332">
      <c r="B2332" s="6" t="inlineStr">
        <is>
          <t>แม่สี Matrix  M-198</t>
        </is>
      </c>
      <c r="C2332" s="8" t="inlineStr">
        <is>
          <t>2กล.</t>
        </is>
      </c>
      <c r="D2332" s="9" t="n">
        <v>850</v>
      </c>
      <c r="F2332" s="8" t="n">
        <v>10</v>
      </c>
      <c r="H2332" s="9" t="n">
        <v>1700</v>
      </c>
      <c r="I2332" s="10" t="inlineStr">
        <is>
          <t>ทรัพย์สินไทย</t>
        </is>
      </c>
      <c r="J2332" s="161" t="n">
        <v>23230</v>
      </c>
      <c r="L2332" s="8" t="inlineStr">
        <is>
          <t>ราคาที่ระบุเป็นก่อนหักส่วนลด</t>
        </is>
      </c>
    </row>
    <row r="2333">
      <c r="B2333" s="6" t="inlineStr">
        <is>
          <t>แม่สี Matrix  M-198</t>
        </is>
      </c>
      <c r="C2333" s="8" t="inlineStr">
        <is>
          <t>2กล.</t>
        </is>
      </c>
      <c r="D2333" s="9" t="n">
        <v>850</v>
      </c>
      <c r="F2333" s="8" t="n">
        <v>10</v>
      </c>
      <c r="H2333" s="9" t="n">
        <v>1700</v>
      </c>
      <c r="I2333" s="10" t="inlineStr">
        <is>
          <t>ทรัพย์สินไทย</t>
        </is>
      </c>
      <c r="J2333" s="161" t="n">
        <v>23460</v>
      </c>
      <c r="L2333" s="8" t="inlineStr">
        <is>
          <t>ราคาที่ระบุเป็นก่อนหักส่วนลด</t>
        </is>
      </c>
    </row>
    <row r="2334">
      <c r="B2334" s="6" t="inlineStr">
        <is>
          <t>แม่สี Matrix  M-198</t>
        </is>
      </c>
      <c r="C2334" s="8" t="inlineStr">
        <is>
          <t>2กล.</t>
        </is>
      </c>
      <c r="D2334" s="9" t="n">
        <v>850</v>
      </c>
      <c r="F2334" s="8" t="n">
        <v>10</v>
      </c>
      <c r="H2334" s="9" t="n">
        <v>1700</v>
      </c>
      <c r="I2334" s="10" t="inlineStr">
        <is>
          <t>ทรัพย์สินไทย</t>
        </is>
      </c>
      <c r="J2334" s="161" t="n">
        <v>23584</v>
      </c>
      <c r="L2334" s="8" t="inlineStr">
        <is>
          <t>ราคาที่ระบุเป็นก่อนหักส่วนลด</t>
        </is>
      </c>
    </row>
    <row r="2335">
      <c r="B2335" s="6" t="inlineStr">
        <is>
          <t>แม่สี Matrix  M-198</t>
        </is>
      </c>
      <c r="C2335" s="8" t="inlineStr">
        <is>
          <t>1กล.</t>
        </is>
      </c>
      <c r="D2335" s="9" t="n">
        <v>850</v>
      </c>
      <c r="F2335" s="8" t="n">
        <v>10</v>
      </c>
      <c r="H2335" s="9" t="n">
        <v>850</v>
      </c>
      <c r="I2335" s="10" t="inlineStr">
        <is>
          <t>ทรัพย์สินไทย</t>
        </is>
      </c>
      <c r="J2335" s="161" t="n">
        <v>23795</v>
      </c>
      <c r="K2335" s="8" t="inlineStr">
        <is>
          <t>IV6502259</t>
        </is>
      </c>
      <c r="L2335" s="8" t="inlineStr">
        <is>
          <t>ราคาที่ระบุเป็นก่อนหักส่วนลด</t>
        </is>
      </c>
    </row>
    <row r="2336">
      <c r="B2336" s="6" t="inlineStr">
        <is>
          <t>แม่สี บรอนซ์หยาบลอยพิเศษ SC-198</t>
        </is>
      </c>
      <c r="C2336" s="8" t="inlineStr">
        <is>
          <t>1กล.</t>
        </is>
      </c>
      <c r="D2336" s="9" t="n">
        <v>750</v>
      </c>
      <c r="H2336" s="9" t="n">
        <v>750</v>
      </c>
      <c r="I2336" s="10" t="inlineStr">
        <is>
          <t>บจก. วีที คัลเลอร์ โปร</t>
        </is>
      </c>
      <c r="J2336" s="161" t="n">
        <v>23978</v>
      </c>
      <c r="K2336" s="8" t="inlineStr">
        <is>
          <t>IV148-65</t>
        </is>
      </c>
      <c r="L2336" s="8" t="inlineStr">
        <is>
          <t>ราคาที่ระบุ ยังไม่รวมภาษี</t>
        </is>
      </c>
    </row>
    <row r="2337">
      <c r="B2337" s="6" t="inlineStr">
        <is>
          <t>แม่สี บรอนซ์หยาบลอยพิเศษ SC-198</t>
        </is>
      </c>
      <c r="C2337" s="8" t="inlineStr">
        <is>
          <t>1กล.</t>
        </is>
      </c>
      <c r="D2337" s="9" t="n">
        <v>750</v>
      </c>
      <c r="H2337" s="9" t="n">
        <v>750</v>
      </c>
      <c r="I2337" s="10" t="inlineStr">
        <is>
          <t>บจก. วีที คัลเลอร์ โปร</t>
        </is>
      </c>
      <c r="J2337" s="161" t="n">
        <v>24071</v>
      </c>
      <c r="K2337" s="8" t="inlineStr">
        <is>
          <t>IV283-65</t>
        </is>
      </c>
      <c r="L2337" s="8" t="inlineStr">
        <is>
          <t>ราคาที่ระบุ ยังไม่รวมภาษี</t>
        </is>
      </c>
    </row>
    <row r="2338">
      <c r="B2338" s="6" t="inlineStr">
        <is>
          <t>แม่สี บรอนซ์หยาบลอยพิเศษ SC-198</t>
        </is>
      </c>
      <c r="C2338" s="8" t="inlineStr">
        <is>
          <t>1กล.</t>
        </is>
      </c>
      <c r="D2338" s="9" t="n">
        <v>750</v>
      </c>
      <c r="H2338" s="9" t="n">
        <v>750</v>
      </c>
      <c r="I2338" s="10" t="inlineStr">
        <is>
          <t>บจก. วีที คัลเลอร์ โปร</t>
        </is>
      </c>
      <c r="J2338" s="161" t="n">
        <v>24057</v>
      </c>
      <c r="K2338" s="8" t="inlineStr">
        <is>
          <t>IV259-65</t>
        </is>
      </c>
      <c r="L2338" s="8" t="inlineStr">
        <is>
          <t>ราคาที่ระบุ ยังไม่รวมภาษี</t>
        </is>
      </c>
    </row>
    <row r="2339">
      <c r="B2339" s="6" t="inlineStr">
        <is>
          <t>แม่สี บรอนซ์หยาบลอยพิเศษ SC-198</t>
        </is>
      </c>
      <c r="C2339" s="8" t="inlineStr">
        <is>
          <t>1กล.</t>
        </is>
      </c>
      <c r="D2339" s="9" t="n">
        <v>750</v>
      </c>
      <c r="H2339" s="9" t="n">
        <v>750</v>
      </c>
      <c r="I2339" s="10" t="inlineStr">
        <is>
          <t>บจก. วีที คัลเลอร์ โปร</t>
        </is>
      </c>
      <c r="J2339" s="161" t="n">
        <v>24282</v>
      </c>
      <c r="K2339" s="8" t="inlineStr">
        <is>
          <t>IV352-66</t>
        </is>
      </c>
      <c r="L2339" s="8" t="inlineStr">
        <is>
          <t>ราคาที่ระบุ ยังไม่รวมภาษี</t>
        </is>
      </c>
    </row>
    <row r="2340">
      <c r="B2340" s="6" t="inlineStr">
        <is>
          <t>แม่สี บรอนซ์หยาบลอยพิเศษ Hybrid S198</t>
        </is>
      </c>
      <c r="C2340" s="8" t="inlineStr">
        <is>
          <t>1กล.</t>
        </is>
      </c>
      <c r="D2340" s="9" t="n">
        <v>750</v>
      </c>
      <c r="H2340" s="9" t="n">
        <v>750</v>
      </c>
      <c r="I2340" s="10" t="inlineStr">
        <is>
          <t>บจก. วีที คัลเลอร์ โปร</t>
        </is>
      </c>
      <c r="J2340" s="161" t="n">
        <v>24315</v>
      </c>
      <c r="K2340" s="8" t="inlineStr">
        <is>
          <t>IV424-66</t>
        </is>
      </c>
      <c r="L2340" s="8" t="inlineStr">
        <is>
          <t>ราคาที่ระบุ ยังไม่รวมภาษี</t>
        </is>
      </c>
    </row>
    <row r="2341">
      <c r="B2341" s="6" t="inlineStr">
        <is>
          <t>แม่สี บรอนซ์หยาบลอยพิเศษ Hybrid S198</t>
        </is>
      </c>
      <c r="C2341" s="8" t="n">
        <v>1</v>
      </c>
      <c r="D2341" s="9" t="n">
        <v>750</v>
      </c>
      <c r="H2341" s="9">
        <f>SUM(D2341*C2341)</f>
        <v/>
      </c>
      <c r="I2341" s="10" t="inlineStr">
        <is>
          <t>บจก. วีที คัลเลอร์ โปร</t>
        </is>
      </c>
      <c r="J2341" s="161" t="n">
        <v>24340</v>
      </c>
      <c r="K2341" s="8" t="inlineStr">
        <is>
          <t>IV469-66</t>
        </is>
      </c>
      <c r="L2341" s="8" t="inlineStr">
        <is>
          <t>ราคาที่ระบุ ยังไม่รวมภาษี</t>
        </is>
      </c>
    </row>
    <row r="2342">
      <c r="B2342" s="6" t="inlineStr">
        <is>
          <t>แม่สี บรอนซ์หยาบลอยพิเศษ Hybrid S198</t>
        </is>
      </c>
      <c r="C2342" s="8" t="n">
        <v>1</v>
      </c>
      <c r="D2342" s="9" t="n">
        <v>750</v>
      </c>
      <c r="H2342" s="9">
        <f>SUM(D2342*C2342)</f>
        <v/>
      </c>
      <c r="I2342" s="10" t="inlineStr">
        <is>
          <t>บจก. วีที คัลเลอร์ โปร</t>
        </is>
      </c>
      <c r="J2342" s="161" t="n">
        <v>24550</v>
      </c>
      <c r="K2342" s="8" t="inlineStr">
        <is>
          <t>IV6703088</t>
        </is>
      </c>
      <c r="L2342" s="8" t="inlineStr">
        <is>
          <t>ราคาที่ระบุ ยังไม่รวมภาษี</t>
        </is>
      </c>
    </row>
    <row r="2343">
      <c r="B2343" s="6" t="inlineStr">
        <is>
          <t>แม่สี บรอนซ์หยาบลอยพิเศษ Hybrid S198</t>
        </is>
      </c>
      <c r="C2343" s="8" t="n">
        <v>2</v>
      </c>
      <c r="D2343" s="9" t="n">
        <v>750</v>
      </c>
      <c r="H2343" s="9">
        <f>SUM(D2343*C2343)</f>
        <v/>
      </c>
      <c r="I2343" s="10" t="inlineStr">
        <is>
          <t>บจก. วีที คัลเลอร์ โปร</t>
        </is>
      </c>
      <c r="J2343" s="161" t="n">
        <v>24698</v>
      </c>
      <c r="K2343" s="8" t="inlineStr">
        <is>
          <t>IV6708064</t>
        </is>
      </c>
      <c r="L2343" s="8" t="inlineStr">
        <is>
          <t>ราคาที่ระบุ ยังไม่รวมภาษี</t>
        </is>
      </c>
    </row>
    <row r="2344">
      <c r="B2344" s="6" t="inlineStr">
        <is>
          <t>แม่สี บรอนซ์หยาบลอยพิเศษ Hybrid S198</t>
        </is>
      </c>
      <c r="C2344" s="8" t="n">
        <v>1</v>
      </c>
      <c r="D2344" s="9" t="n">
        <v>802.5</v>
      </c>
      <c r="H2344" s="9">
        <f>SUM(D2344*C2344)</f>
        <v/>
      </c>
      <c r="I2344" s="10" t="inlineStr">
        <is>
          <t>บจก. วีที คัลเลอร์ โปร</t>
        </is>
      </c>
      <c r="J2344" s="161" t="n">
        <v>24892</v>
      </c>
      <c r="K2344" s="8" t="inlineStr">
        <is>
          <t>IV6802144</t>
        </is>
      </c>
      <c r="L2344" s="8" t="inlineStr">
        <is>
          <t>ราคารวม VAT แล้ว</t>
        </is>
      </c>
    </row>
    <row r="2345">
      <c r="B2345" s="6" t="inlineStr">
        <is>
          <t>แม่สี บรอนซ์หยาบลอยพิเศษ Hybrid S198</t>
        </is>
      </c>
      <c r="C2345" s="8" t="n">
        <v>1</v>
      </c>
      <c r="D2345" s="9" t="n">
        <v>750</v>
      </c>
      <c r="E2345" s="9">
        <f>SUM(D2345*C2345)</f>
        <v/>
      </c>
      <c r="F2345" s="8" t="n">
        <v>0.07000000000000001</v>
      </c>
      <c r="G2345" s="10" t="inlineStr">
        <is>
          <t>รวม VAT =</t>
        </is>
      </c>
      <c r="H2345" s="9">
        <f>SUM(E2345+N2345)</f>
        <v/>
      </c>
      <c r="I2345" s="10" t="inlineStr">
        <is>
          <t>บจก. วีที คัลเลอร์ โปร</t>
        </is>
      </c>
      <c r="J2345" s="161" t="n">
        <v>25042</v>
      </c>
      <c r="K2345" s="8" t="inlineStr">
        <is>
          <t>IV6807180</t>
        </is>
      </c>
      <c r="N2345" s="6">
        <f>SUM(E2345*F2345)</f>
        <v/>
      </c>
    </row>
    <row r="2346">
      <c r="B2346" s="6" t="inlineStr">
        <is>
          <t>แม่สี บรอนซ์หยาบลอยพิเศษ Hybrid S198</t>
        </is>
      </c>
      <c r="C2346" s="8" t="n">
        <v>2</v>
      </c>
      <c r="D2346" s="9" t="n">
        <v>750</v>
      </c>
      <c r="E2346" s="9">
        <f>SUM(D2346*C2346)</f>
        <v/>
      </c>
      <c r="F2346" s="8" t="n">
        <v>0.07000000000000001</v>
      </c>
      <c r="G2346" s="10" t="inlineStr">
        <is>
          <t>รวม VAT =</t>
        </is>
      </c>
      <c r="H2346" s="9">
        <f>SUM(E2346+N2346)</f>
        <v/>
      </c>
      <c r="I2346" s="10" t="inlineStr">
        <is>
          <t>บจก. วีที คัลเลอร์ โปร</t>
        </is>
      </c>
      <c r="J2346" s="161" t="n">
        <v>25112</v>
      </c>
      <c r="K2346" s="8" t="inlineStr">
        <is>
          <t>IV6810015</t>
        </is>
      </c>
      <c r="N2346" s="6">
        <f>SUM(E2346*F2346)</f>
        <v/>
      </c>
    </row>
    <row r="2349">
      <c r="B2349" s="6" t="inlineStr">
        <is>
          <t>แม่สี Matrix  M-199</t>
        </is>
      </c>
      <c r="C2349" s="8" t="inlineStr">
        <is>
          <t>1กล.</t>
        </is>
      </c>
      <c r="D2349" s="9" t="n">
        <v>850</v>
      </c>
      <c r="F2349" s="8" t="n">
        <v>10</v>
      </c>
      <c r="H2349" s="9" t="n">
        <v>850</v>
      </c>
      <c r="I2349" s="10" t="inlineStr">
        <is>
          <t>ทรัพย์สินไทย</t>
        </is>
      </c>
      <c r="J2349" s="161" t="n">
        <v>23062</v>
      </c>
      <c r="L2349" s="8" t="inlineStr">
        <is>
          <t>ราคาที่ระบุเป็นก่อนหักส่วนลด</t>
        </is>
      </c>
    </row>
    <row r="2350">
      <c r="B2350" s="6" t="inlineStr">
        <is>
          <t>แม่สี Matrix  M-199</t>
        </is>
      </c>
      <c r="C2350" s="8" t="inlineStr">
        <is>
          <t>1กล.</t>
        </is>
      </c>
      <c r="D2350" s="9" t="n">
        <v>850</v>
      </c>
      <c r="F2350" s="8" t="n">
        <v>10</v>
      </c>
      <c r="H2350" s="9" t="n">
        <v>850</v>
      </c>
      <c r="I2350" s="10" t="inlineStr">
        <is>
          <t>ทรัพย์สินไทย</t>
        </is>
      </c>
      <c r="J2350" s="161" t="n">
        <v>23094</v>
      </c>
      <c r="L2350" s="8" t="inlineStr">
        <is>
          <t>ราคาที่ระบุเป็นก่อนหักส่วนลด</t>
        </is>
      </c>
    </row>
    <row r="2351">
      <c r="B2351" s="6" t="inlineStr">
        <is>
          <t>แม่สี Matrix  M-199</t>
        </is>
      </c>
      <c r="C2351" s="8" t="inlineStr">
        <is>
          <t>2กล.</t>
        </is>
      </c>
      <c r="D2351" s="9" t="n">
        <v>850</v>
      </c>
      <c r="F2351" s="8" t="n">
        <v>10</v>
      </c>
      <c r="H2351" s="9" t="n">
        <v>1700</v>
      </c>
      <c r="I2351" s="10" t="inlineStr">
        <is>
          <t>ทรัพย์สินไทย</t>
        </is>
      </c>
      <c r="J2351" s="161" t="n">
        <v>23277</v>
      </c>
      <c r="L2351" s="8" t="inlineStr">
        <is>
          <t>ราคาที่ระบุเป็นก่อนหักส่วนลด</t>
        </is>
      </c>
    </row>
    <row r="2352">
      <c r="B2352" s="6" t="inlineStr">
        <is>
          <t>แม่สี Matrix  M-199</t>
        </is>
      </c>
      <c r="C2352" s="8" t="inlineStr">
        <is>
          <t>1กล.</t>
        </is>
      </c>
      <c r="D2352" s="9" t="n">
        <v>850</v>
      </c>
      <c r="F2352" s="8" t="n">
        <v>10</v>
      </c>
      <c r="H2352" s="9" t="n">
        <v>850</v>
      </c>
      <c r="I2352" s="10" t="inlineStr">
        <is>
          <t>ทรัพย์สินไทย</t>
        </is>
      </c>
      <c r="J2352" s="161" t="n">
        <v>23366</v>
      </c>
      <c r="L2352" s="8" t="inlineStr">
        <is>
          <t>ราคาที่ระบุเป็นก่อนหักส่วนลด</t>
        </is>
      </c>
    </row>
    <row r="2353">
      <c r="B2353" s="6" t="inlineStr">
        <is>
          <t>แม่สี Matrix  M-199</t>
        </is>
      </c>
      <c r="C2353" s="8" t="inlineStr">
        <is>
          <t>2กล.</t>
        </is>
      </c>
      <c r="D2353" s="9" t="n">
        <v>850</v>
      </c>
      <c r="F2353" s="8" t="n">
        <v>10</v>
      </c>
      <c r="H2353" s="9" t="n">
        <v>1700</v>
      </c>
      <c r="I2353" s="10" t="inlineStr">
        <is>
          <t>ทรัพย์สินไทย</t>
        </is>
      </c>
      <c r="J2353" s="161" t="n">
        <v>23403</v>
      </c>
      <c r="L2353" s="8" t="inlineStr">
        <is>
          <t>ราคาที่ระบุเป็นก่อนหักส่วนลด</t>
        </is>
      </c>
    </row>
    <row r="2354">
      <c r="B2354" s="6" t="inlineStr">
        <is>
          <t>แม่สี Matrix  M-199</t>
        </is>
      </c>
      <c r="C2354" s="8" t="inlineStr">
        <is>
          <t>2กล.</t>
        </is>
      </c>
      <c r="D2354" s="9" t="n">
        <v>850</v>
      </c>
      <c r="F2354" s="8" t="n">
        <v>10</v>
      </c>
      <c r="H2354" s="9" t="n">
        <v>1700</v>
      </c>
      <c r="I2354" s="10" t="inlineStr">
        <is>
          <t>ทรัพย์สินไทย</t>
        </is>
      </c>
      <c r="J2354" s="161" t="n">
        <v>23422</v>
      </c>
      <c r="L2354" s="8" t="inlineStr">
        <is>
          <t>ราคาที่ระบุเป็นก่อนหักส่วนลด</t>
        </is>
      </c>
    </row>
    <row r="2355">
      <c r="B2355" s="6" t="inlineStr">
        <is>
          <t>แม่สี Matrix  M-199</t>
        </is>
      </c>
      <c r="C2355" s="8" t="inlineStr">
        <is>
          <t>2กล.</t>
        </is>
      </c>
      <c r="D2355" s="9" t="n">
        <v>850</v>
      </c>
      <c r="F2355" s="8" t="n">
        <v>10</v>
      </c>
      <c r="H2355" s="9" t="n">
        <v>1700</v>
      </c>
      <c r="I2355" s="10" t="inlineStr">
        <is>
          <t>ทรัพย์สินไทย</t>
        </is>
      </c>
      <c r="J2355" s="161" t="n">
        <v>23430</v>
      </c>
      <c r="L2355" s="8" t="inlineStr">
        <is>
          <t>ราคาที่ระบุเป็นก่อนหักส่วนลด</t>
        </is>
      </c>
    </row>
    <row r="2356">
      <c r="B2356" s="6" t="inlineStr">
        <is>
          <t>แม่สี Matrix  M-199</t>
        </is>
      </c>
      <c r="C2356" s="8" t="inlineStr">
        <is>
          <t>2กล.</t>
        </is>
      </c>
      <c r="D2356" s="9" t="n">
        <v>850</v>
      </c>
      <c r="F2356" s="8" t="n">
        <v>10</v>
      </c>
      <c r="H2356" s="9" t="n">
        <v>1700</v>
      </c>
      <c r="I2356" s="10" t="inlineStr">
        <is>
          <t>ทรัพย์สินไทย</t>
        </is>
      </c>
      <c r="J2356" s="161" t="n">
        <v>23570</v>
      </c>
      <c r="L2356" s="8" t="inlineStr">
        <is>
          <t>ราคาที่ระบุเป็นก่อนหักส่วนลด</t>
        </is>
      </c>
    </row>
    <row r="2357">
      <c r="B2357" s="6" t="inlineStr">
        <is>
          <t>แม่สี Matrix  M-199</t>
        </is>
      </c>
      <c r="C2357" s="8" t="inlineStr">
        <is>
          <t>1กล.</t>
        </is>
      </c>
      <c r="D2357" s="9" t="n">
        <v>850</v>
      </c>
      <c r="F2357" s="8" t="n">
        <v>10</v>
      </c>
      <c r="H2357" s="9" t="n">
        <v>850</v>
      </c>
      <c r="I2357" s="10" t="inlineStr">
        <is>
          <t>ทรัพย์สินไทย</t>
        </is>
      </c>
      <c r="J2357" s="161" t="n">
        <v>23676</v>
      </c>
      <c r="K2357" s="8" t="inlineStr">
        <is>
          <t>IV6410364</t>
        </is>
      </c>
      <c r="L2357" s="8" t="inlineStr">
        <is>
          <t>ราคาที่ระบุเป็นก่อนหักส่วนลด</t>
        </is>
      </c>
    </row>
    <row r="2358">
      <c r="B2358" s="6" t="inlineStr">
        <is>
          <t>แม่สี Matrix  M-199</t>
        </is>
      </c>
      <c r="C2358" s="8" t="inlineStr">
        <is>
          <t>2กล.</t>
        </is>
      </c>
      <c r="D2358" s="9" t="n">
        <v>850</v>
      </c>
      <c r="F2358" s="8" t="n">
        <v>10</v>
      </c>
      <c r="H2358" s="9" t="n">
        <v>1700</v>
      </c>
      <c r="I2358" s="10" t="inlineStr">
        <is>
          <t>ทรัพย์สินไทย</t>
        </is>
      </c>
      <c r="J2358" s="161" t="n">
        <v>23704</v>
      </c>
      <c r="K2358" s="8" t="inlineStr">
        <is>
          <t>IV6411319</t>
        </is>
      </c>
      <c r="L2358" s="8" t="inlineStr">
        <is>
          <t>ราคาที่ระบุเป็นก่อนหักส่วนลด</t>
        </is>
      </c>
    </row>
    <row r="2359">
      <c r="B2359" s="6" t="inlineStr">
        <is>
          <t>แม่สี Matrix  M-199</t>
        </is>
      </c>
      <c r="C2359" s="8" t="inlineStr">
        <is>
          <t>2กล.</t>
        </is>
      </c>
      <c r="D2359" s="9" t="n">
        <v>850</v>
      </c>
      <c r="F2359" s="8" t="n">
        <v>10</v>
      </c>
      <c r="H2359" s="9" t="n">
        <v>1700</v>
      </c>
      <c r="I2359" s="10" t="inlineStr">
        <is>
          <t>ทรัพย์สินไทย</t>
        </is>
      </c>
      <c r="J2359" s="161" t="n">
        <v>23795</v>
      </c>
      <c r="K2359" s="8" t="inlineStr">
        <is>
          <t>IV6502258</t>
        </is>
      </c>
      <c r="L2359" s="8" t="inlineStr">
        <is>
          <t>ราคาที่ระบุเป็นก่อนหักส่วนลด</t>
        </is>
      </c>
    </row>
    <row r="2360">
      <c r="B2360" s="6" t="inlineStr">
        <is>
          <t>แม่สี Matrix  M-199</t>
        </is>
      </c>
      <c r="C2360" s="8" t="inlineStr">
        <is>
          <t>1กล.</t>
        </is>
      </c>
      <c r="D2360" s="9" t="n">
        <v>850</v>
      </c>
      <c r="F2360" s="8" t="n">
        <v>10</v>
      </c>
      <c r="H2360" s="9" t="n">
        <v>850</v>
      </c>
      <c r="I2360" s="10" t="inlineStr">
        <is>
          <t>ทรัพย์สินไทย</t>
        </is>
      </c>
      <c r="J2360" s="161" t="n">
        <v>23824</v>
      </c>
      <c r="K2360" s="8" t="inlineStr">
        <is>
          <t>IV6503300</t>
        </is>
      </c>
      <c r="L2360" s="8" t="inlineStr">
        <is>
          <t>ราคาที่ระบุเป็นก่อนหักส่วนลด</t>
        </is>
      </c>
    </row>
    <row r="2361">
      <c r="B2361" s="6" t="inlineStr">
        <is>
          <t>แม่สี Matrix  M-199</t>
        </is>
      </c>
      <c r="C2361" s="8" t="inlineStr">
        <is>
          <t>2กล.</t>
        </is>
      </c>
      <c r="D2361" s="9" t="n">
        <v>850</v>
      </c>
      <c r="F2361" s="8" t="n">
        <v>10</v>
      </c>
      <c r="H2361" s="9" t="n">
        <v>1700</v>
      </c>
      <c r="I2361" s="10" t="inlineStr">
        <is>
          <t>ทรัพย์สินไทย</t>
        </is>
      </c>
      <c r="J2361" s="161" t="n">
        <v>23859</v>
      </c>
      <c r="K2361" s="8" t="inlineStr">
        <is>
          <t>IV6504236</t>
        </is>
      </c>
      <c r="L2361" s="8" t="inlineStr">
        <is>
          <t>ราคาที่ระบุเป็นก่อนหักส่วนลด</t>
        </is>
      </c>
    </row>
    <row r="2362">
      <c r="B2362" s="6" t="inlineStr">
        <is>
          <t>แม่สี Matrix  M-199</t>
        </is>
      </c>
      <c r="C2362" s="8" t="inlineStr">
        <is>
          <t>2กล.</t>
        </is>
      </c>
      <c r="D2362" s="9" t="n">
        <v>850</v>
      </c>
      <c r="F2362" s="8" t="n">
        <v>10</v>
      </c>
      <c r="H2362" s="9" t="n">
        <v>1700</v>
      </c>
      <c r="I2362" s="10" t="inlineStr">
        <is>
          <t>ทรัพย์สินไทย</t>
        </is>
      </c>
      <c r="J2362" s="161" t="n">
        <v>23887</v>
      </c>
      <c r="K2362" s="8" t="inlineStr">
        <is>
          <t>IV6505290</t>
        </is>
      </c>
      <c r="L2362" s="8" t="inlineStr">
        <is>
          <t>ราคาที่ระบุเป็นก่อนหักส่วนลด</t>
        </is>
      </c>
    </row>
    <row r="2363">
      <c r="B2363" s="6" t="inlineStr">
        <is>
          <t>แม่สี Matrix  M-199</t>
        </is>
      </c>
      <c r="C2363" s="8" t="inlineStr">
        <is>
          <t>2กล.</t>
        </is>
      </c>
      <c r="D2363" s="9" t="n">
        <v>950</v>
      </c>
      <c r="F2363" s="8" t="n">
        <v>10</v>
      </c>
      <c r="H2363" s="9" t="n">
        <v>1900</v>
      </c>
      <c r="I2363" s="10" t="inlineStr">
        <is>
          <t>ทรัพย์สินไทย</t>
        </is>
      </c>
      <c r="J2363" s="161" t="n">
        <v>23930</v>
      </c>
      <c r="K2363" s="8" t="inlineStr">
        <is>
          <t>IV6507108</t>
        </is>
      </c>
      <c r="L2363" s="8" t="inlineStr">
        <is>
          <t>ราคาที่ระบุเป็นก่อนหักส่วนลด</t>
        </is>
      </c>
    </row>
    <row r="2365">
      <c r="B2365" s="6" t="inlineStr">
        <is>
          <t>แม่สี ปรับแม่สีมุก Hybrid S199</t>
        </is>
      </c>
      <c r="C2365" s="8" t="n">
        <v>2</v>
      </c>
      <c r="D2365" s="9" t="n">
        <v>750</v>
      </c>
      <c r="E2365" s="9">
        <f>SUM(D2365*C2365)</f>
        <v/>
      </c>
      <c r="F2365" s="8" t="n">
        <v>0.07000000000000001</v>
      </c>
      <c r="G2365" s="10" t="inlineStr">
        <is>
          <t>รวม VAT =</t>
        </is>
      </c>
      <c r="H2365" s="9">
        <f>SUM(E2365+N2365)</f>
        <v/>
      </c>
      <c r="I2365" s="10" t="inlineStr">
        <is>
          <t>บจก. วีที คัลเลอร์ โปร</t>
        </is>
      </c>
      <c r="J2365" s="161" t="n">
        <v>25040</v>
      </c>
      <c r="K2365" s="8" t="inlineStr">
        <is>
          <t>IV6807158</t>
        </is>
      </c>
      <c r="N2365" s="6">
        <f>SUM(E2365*F2365)</f>
        <v/>
      </c>
    </row>
    <row r="2366">
      <c r="B2366" s="6" t="inlineStr">
        <is>
          <t>แม่สี ปรับแม่สีมุก Hybrid S199</t>
        </is>
      </c>
      <c r="C2366" s="8" t="n">
        <v>6</v>
      </c>
      <c r="D2366" s="9" t="n">
        <v>750</v>
      </c>
      <c r="E2366" s="9">
        <f>SUM(D2366*C2366)</f>
        <v/>
      </c>
      <c r="F2366" s="8" t="n">
        <v>0.07000000000000001</v>
      </c>
      <c r="G2366" s="10" t="inlineStr">
        <is>
          <t>รวม VAT =</t>
        </is>
      </c>
      <c r="H2366" s="9">
        <f>SUM(E2366+N2366)</f>
        <v/>
      </c>
      <c r="I2366" s="10" t="inlineStr">
        <is>
          <t>บจก. วีที คัลเลอร์ โปร</t>
        </is>
      </c>
      <c r="J2366" s="161" t="n">
        <v>25043</v>
      </c>
      <c r="K2366" s="8" t="inlineStr">
        <is>
          <t>IV6807194</t>
        </is>
      </c>
      <c r="N2366" s="6">
        <f>SUM(E2366*F2366)</f>
        <v/>
      </c>
    </row>
    <row r="2367">
      <c r="B2367" s="6" t="inlineStr">
        <is>
          <t>แม่สี ปรับแม่สีมุก Hybrid S199</t>
        </is>
      </c>
      <c r="C2367" s="8" t="n">
        <v>4</v>
      </c>
      <c r="D2367" s="9" t="n">
        <v>750</v>
      </c>
      <c r="E2367" s="9">
        <f>SUM(D2367*C2367)</f>
        <v/>
      </c>
      <c r="F2367" s="8" t="n">
        <v>0.07000000000000001</v>
      </c>
      <c r="G2367" s="10" t="inlineStr">
        <is>
          <t>รวม VAT =</t>
        </is>
      </c>
      <c r="H2367" s="9">
        <f>SUM(E2367+N2367)</f>
        <v/>
      </c>
      <c r="I2367" s="10" t="inlineStr">
        <is>
          <t>บจก. วีที คัลเลอร์ โปร</t>
        </is>
      </c>
      <c r="J2367" s="161" t="n">
        <v>25083</v>
      </c>
      <c r="K2367" s="8" t="inlineStr">
        <is>
          <t>IV6809023</t>
        </is>
      </c>
      <c r="N2367" s="6">
        <f>SUM(E2367*F2367)</f>
        <v/>
      </c>
    </row>
    <row r="2368">
      <c r="B2368" s="6" t="inlineStr">
        <is>
          <t>แม่สี ปรับแม่สีมุก Hybrid S199</t>
        </is>
      </c>
      <c r="C2368" s="8" t="n">
        <v>4</v>
      </c>
      <c r="D2368" s="9" t="n">
        <v>750</v>
      </c>
      <c r="E2368" s="9">
        <f>SUM(D2368*C2368)</f>
        <v/>
      </c>
      <c r="F2368" s="8" t="n">
        <v>0.07000000000000001</v>
      </c>
      <c r="G2368" s="10" t="inlineStr">
        <is>
          <t>รวม VAT =</t>
        </is>
      </c>
      <c r="H2368" s="9">
        <f>SUM(E2368+N2368)</f>
        <v/>
      </c>
      <c r="I2368" s="10" t="inlineStr">
        <is>
          <t>บจก. วีที คัลเลอร์ โปร</t>
        </is>
      </c>
      <c r="J2368" s="161" t="n">
        <v>25145</v>
      </c>
      <c r="K2368" s="8" t="inlineStr">
        <is>
          <t>IV6811023</t>
        </is>
      </c>
      <c r="L2368" s="8" t="inlineStr">
        <is>
          <t>ราคาที่ระบุ ยังไม่รวม VAT7%</t>
        </is>
      </c>
      <c r="N2368" s="6">
        <f>SUM(E2368*F2368)</f>
        <v/>
      </c>
    </row>
    <row r="2370">
      <c r="B2370" s="6" t="inlineStr">
        <is>
          <t>แม่สี Matrix  M-201</t>
        </is>
      </c>
      <c r="C2370" s="8" t="inlineStr">
        <is>
          <t>1กป.</t>
        </is>
      </c>
      <c r="D2370" s="9" t="n">
        <v>1680</v>
      </c>
      <c r="F2370" s="8" t="n">
        <v>10</v>
      </c>
      <c r="H2370" s="9" t="n">
        <v>1680</v>
      </c>
      <c r="I2370" s="10" t="inlineStr">
        <is>
          <t>ทรัพย์สินไทย</t>
        </is>
      </c>
      <c r="J2370" s="161" t="n">
        <v>22781</v>
      </c>
      <c r="L2370" s="8" t="inlineStr">
        <is>
          <t>ราคาที่ระบุเป็นก่อนหักส่วนลด</t>
        </is>
      </c>
    </row>
    <row r="2371">
      <c r="B2371" s="6" t="inlineStr">
        <is>
          <t>แม่สี Matrix  M-201</t>
        </is>
      </c>
      <c r="C2371" s="8" t="inlineStr">
        <is>
          <t>2กป.</t>
        </is>
      </c>
      <c r="D2371" s="9" t="n">
        <v>1680</v>
      </c>
      <c r="F2371" s="8" t="n">
        <v>10</v>
      </c>
      <c r="H2371" s="9" t="n">
        <v>3360</v>
      </c>
      <c r="I2371" s="10" t="inlineStr">
        <is>
          <t>ทรัพย์สินไทย</t>
        </is>
      </c>
      <c r="J2371" s="161" t="n">
        <v>22429</v>
      </c>
      <c r="L2371" s="8" t="inlineStr">
        <is>
          <t>ราคาที่ระบุเป็นก่อนหักส่วนลด</t>
        </is>
      </c>
    </row>
    <row r="2372">
      <c r="B2372" s="6" t="inlineStr">
        <is>
          <t>แม่สี Matrix  M-201</t>
        </is>
      </c>
      <c r="C2372" s="8" t="inlineStr">
        <is>
          <t>1กป.</t>
        </is>
      </c>
      <c r="D2372" s="9" t="n">
        <v>1680</v>
      </c>
      <c r="F2372" s="8" t="n">
        <v>10</v>
      </c>
      <c r="H2372" s="9" t="n">
        <v>1680</v>
      </c>
      <c r="I2372" s="10" t="inlineStr">
        <is>
          <t>ทรัพย์สินไทย</t>
        </is>
      </c>
      <c r="J2372" s="161" t="n">
        <v>22884</v>
      </c>
      <c r="L2372" s="8" t="inlineStr">
        <is>
          <t>ราคาที่ระบุเป็นก่อนหักส่วนลด</t>
        </is>
      </c>
    </row>
    <row r="2373">
      <c r="B2373" s="6" t="inlineStr">
        <is>
          <t>แม่สี Matrix  M-201</t>
        </is>
      </c>
      <c r="C2373" s="8" t="inlineStr">
        <is>
          <t>1กป.</t>
        </is>
      </c>
      <c r="D2373" s="9" t="n">
        <v>1680</v>
      </c>
      <c r="F2373" s="8" t="n">
        <v>10</v>
      </c>
      <c r="H2373" s="9" t="n">
        <v>1680</v>
      </c>
      <c r="I2373" s="10" t="inlineStr">
        <is>
          <t>ทรัพย์สินไทย</t>
        </is>
      </c>
      <c r="J2373" s="161" t="n">
        <v>22899</v>
      </c>
      <c r="L2373" s="8" t="inlineStr">
        <is>
          <t>ราคาที่ระบุเป็นก่อนหักส่วนลด</t>
        </is>
      </c>
    </row>
    <row r="2374">
      <c r="B2374" s="6" t="inlineStr">
        <is>
          <t>แม่สี Matrix  M-201</t>
        </is>
      </c>
      <c r="C2374" s="8" t="inlineStr">
        <is>
          <t>1กป.</t>
        </is>
      </c>
      <c r="D2374" s="9" t="n">
        <v>1680</v>
      </c>
      <c r="F2374" s="8" t="n">
        <v>10</v>
      </c>
      <c r="H2374" s="9" t="n">
        <v>1680</v>
      </c>
      <c r="I2374" s="10" t="inlineStr">
        <is>
          <t>ทรัพย์สินไทย</t>
        </is>
      </c>
      <c r="J2374" s="161" t="n">
        <v>22916</v>
      </c>
      <c r="L2374" s="8" t="inlineStr">
        <is>
          <t>ราคาที่ระบุเป็นก่อนหักส่วนลด</t>
        </is>
      </c>
    </row>
    <row r="2375">
      <c r="B2375" s="6" t="inlineStr">
        <is>
          <t>แม่สี Matrix  M-201</t>
        </is>
      </c>
      <c r="C2375" s="8" t="inlineStr">
        <is>
          <t>1กป.</t>
        </is>
      </c>
      <c r="D2375" s="9" t="n">
        <v>1680</v>
      </c>
      <c r="F2375" s="8" t="n">
        <v>10</v>
      </c>
      <c r="H2375" s="9" t="n">
        <v>1680</v>
      </c>
      <c r="I2375" s="10" t="inlineStr">
        <is>
          <t>ทรัพย์สินไทย</t>
        </is>
      </c>
      <c r="J2375" s="161" t="n">
        <v>22920</v>
      </c>
      <c r="L2375" s="8" t="inlineStr">
        <is>
          <t>ราคาที่ระบุเป็นก่อนหักส่วนลด</t>
        </is>
      </c>
    </row>
    <row r="2376">
      <c r="B2376" s="6" t="inlineStr">
        <is>
          <t>แม่สี Matrix  M-201</t>
        </is>
      </c>
      <c r="C2376" s="8" t="inlineStr">
        <is>
          <t>2กป.</t>
        </is>
      </c>
      <c r="D2376" s="9" t="n">
        <v>1680</v>
      </c>
      <c r="F2376" s="8" t="n">
        <v>10</v>
      </c>
      <c r="H2376" s="9" t="n">
        <v>3360</v>
      </c>
      <c r="I2376" s="10" t="inlineStr">
        <is>
          <t>ทรัพย์สินไทย</t>
        </is>
      </c>
      <c r="J2376" s="161" t="n">
        <v>23062</v>
      </c>
      <c r="L2376" s="8" t="inlineStr">
        <is>
          <t>ราคาที่ระบุเป็นก่อนหักส่วนลด</t>
        </is>
      </c>
    </row>
    <row r="2377">
      <c r="B2377" s="6" t="inlineStr">
        <is>
          <t>แม่สี Matrix  M-201</t>
        </is>
      </c>
      <c r="C2377" s="8" t="inlineStr">
        <is>
          <t>2กป.</t>
        </is>
      </c>
      <c r="D2377" s="9" t="n">
        <v>1680</v>
      </c>
      <c r="F2377" s="8" t="n">
        <v>10</v>
      </c>
      <c r="H2377" s="9" t="n">
        <v>3360</v>
      </c>
      <c r="I2377" s="10" t="inlineStr">
        <is>
          <t>ทรัพย์สินไทย</t>
        </is>
      </c>
      <c r="J2377" s="161" t="n">
        <v>23095</v>
      </c>
      <c r="L2377" s="8" t="inlineStr">
        <is>
          <t>ราคาที่ระบุเป็นก่อนหักส่วนลด</t>
        </is>
      </c>
    </row>
    <row r="2378">
      <c r="B2378" s="6" t="inlineStr">
        <is>
          <t>แม่สี Matrix  M-201</t>
        </is>
      </c>
      <c r="C2378" s="8" t="inlineStr">
        <is>
          <t>2กป.</t>
        </is>
      </c>
      <c r="D2378" s="9" t="n">
        <v>1680</v>
      </c>
      <c r="F2378" s="8" t="n">
        <v>10</v>
      </c>
      <c r="H2378" s="9" t="n">
        <v>3360</v>
      </c>
      <c r="I2378" s="10" t="inlineStr">
        <is>
          <t>ทรัพย์สินไทย</t>
        </is>
      </c>
      <c r="J2378" s="161" t="n">
        <v>23221</v>
      </c>
      <c r="L2378" s="8" t="inlineStr">
        <is>
          <t>ราคาที่ระบุเป็นก่อนหักส่วนลด</t>
        </is>
      </c>
    </row>
    <row r="2379">
      <c r="B2379" s="6" t="inlineStr">
        <is>
          <t>แม่สี Matrix  M-201</t>
        </is>
      </c>
      <c r="C2379" s="8" t="inlineStr">
        <is>
          <t>2กป.</t>
        </is>
      </c>
      <c r="D2379" s="9" t="n">
        <v>1680</v>
      </c>
      <c r="F2379" s="8" t="n">
        <v>10</v>
      </c>
      <c r="H2379" s="9" t="n">
        <v>3360</v>
      </c>
      <c r="I2379" s="10" t="inlineStr">
        <is>
          <t>ทรัพย์สินไทย</t>
        </is>
      </c>
      <c r="J2379" s="161" t="n">
        <v>23247</v>
      </c>
      <c r="L2379" s="8" t="inlineStr">
        <is>
          <t>ราคาที่ระบุเป็นก่อนหักส่วนลด</t>
        </is>
      </c>
    </row>
    <row r="2380">
      <c r="B2380" s="6" t="inlineStr">
        <is>
          <t>แม่สี Matrix  M-201</t>
        </is>
      </c>
      <c r="C2380" s="8" t="inlineStr">
        <is>
          <t>2กป.</t>
        </is>
      </c>
      <c r="D2380" s="9" t="n">
        <v>1680</v>
      </c>
      <c r="F2380" s="8" t="n">
        <v>10</v>
      </c>
      <c r="H2380" s="9" t="n">
        <v>3360</v>
      </c>
      <c r="I2380" s="10" t="inlineStr">
        <is>
          <t>ทรัพย์สินไทย</t>
        </is>
      </c>
      <c r="J2380" s="161" t="n">
        <v>23277</v>
      </c>
      <c r="L2380" s="8" t="inlineStr">
        <is>
          <t>ราคาที่ระบุเป็นก่อนหักส่วนลด</t>
        </is>
      </c>
    </row>
    <row r="2381">
      <c r="B2381" s="6" t="inlineStr">
        <is>
          <t>แม่สี Matrix  M-201</t>
        </is>
      </c>
      <c r="C2381" s="8" t="inlineStr">
        <is>
          <t>2กป.</t>
        </is>
      </c>
      <c r="D2381" s="9" t="n">
        <v>1680</v>
      </c>
      <c r="F2381" s="8" t="n">
        <v>10</v>
      </c>
      <c r="H2381" s="9" t="n">
        <v>3360</v>
      </c>
      <c r="I2381" s="10" t="inlineStr">
        <is>
          <t>ทรัพย์สินไทย</t>
        </is>
      </c>
      <c r="J2381" s="161" t="n">
        <v>23340</v>
      </c>
      <c r="L2381" s="8" t="inlineStr">
        <is>
          <t>ราคาที่ระบุเป็นก่อนหักส่วนลด</t>
        </is>
      </c>
    </row>
    <row r="2382">
      <c r="B2382" s="6" t="inlineStr">
        <is>
          <t>แม่สี Matrix  M-201</t>
        </is>
      </c>
      <c r="C2382" s="8" t="inlineStr">
        <is>
          <t>2กป.</t>
        </is>
      </c>
      <c r="D2382" s="9" t="n">
        <v>1680</v>
      </c>
      <c r="F2382" s="8" t="n">
        <v>10</v>
      </c>
      <c r="H2382" s="9" t="n">
        <v>3360</v>
      </c>
      <c r="I2382" s="10" t="inlineStr">
        <is>
          <t>ทรัพย์สินไทย</t>
        </is>
      </c>
      <c r="J2382" s="161" t="n">
        <v>23465</v>
      </c>
      <c r="L2382" s="8" t="inlineStr">
        <is>
          <t>ราคาที่ระบุเป็นก่อนหักส่วนลด</t>
        </is>
      </c>
    </row>
    <row r="2383">
      <c r="B2383" s="6" t="inlineStr">
        <is>
          <t>แม่สี Matrix  M-201</t>
        </is>
      </c>
      <c r="C2383" s="8" t="inlineStr">
        <is>
          <t>1กป.</t>
        </is>
      </c>
      <c r="D2383" s="9" t="n">
        <v>1680</v>
      </c>
      <c r="F2383" s="8" t="n">
        <v>10</v>
      </c>
      <c r="H2383" s="9" t="n">
        <v>1680</v>
      </c>
      <c r="I2383" s="10" t="inlineStr">
        <is>
          <t>ทรัพย์สินไทย</t>
        </is>
      </c>
      <c r="J2383" s="161" t="n">
        <v>23546</v>
      </c>
      <c r="L2383" s="8" t="inlineStr">
        <is>
          <t>ราคาที่ระบุเป็นก่อนหักส่วนลด</t>
        </is>
      </c>
    </row>
    <row r="2384">
      <c r="B2384" s="6" t="inlineStr">
        <is>
          <t>แม่สี Matrix  M-201</t>
        </is>
      </c>
      <c r="C2384" s="8" t="inlineStr">
        <is>
          <t>2กป.</t>
        </is>
      </c>
      <c r="D2384" s="9" t="n">
        <v>1680</v>
      </c>
      <c r="F2384" s="8" t="n">
        <v>10</v>
      </c>
      <c r="H2384" s="9" t="n">
        <v>3360</v>
      </c>
      <c r="I2384" s="10" t="inlineStr">
        <is>
          <t>ทรัพย์สินไทย</t>
        </is>
      </c>
      <c r="J2384" s="161" t="n">
        <v>23570</v>
      </c>
      <c r="L2384" s="8" t="inlineStr">
        <is>
          <t>ราคาที่ระบุเป็นก่อนหักส่วนลด</t>
        </is>
      </c>
    </row>
    <row r="2385">
      <c r="B2385" s="6" t="inlineStr">
        <is>
          <t>แม่สี Matrix  M-201</t>
        </is>
      </c>
      <c r="C2385" s="8" t="inlineStr">
        <is>
          <t>1กป.</t>
        </is>
      </c>
      <c r="D2385" s="9" t="n">
        <v>1680</v>
      </c>
      <c r="F2385" s="8" t="n">
        <v>10</v>
      </c>
      <c r="H2385" s="9" t="n">
        <v>1680</v>
      </c>
      <c r="I2385" s="10" t="inlineStr">
        <is>
          <t>ทรัพย์สินไทย</t>
        </is>
      </c>
      <c r="J2385" s="161" t="n">
        <v>23642</v>
      </c>
      <c r="K2385" s="8" t="inlineStr">
        <is>
          <t>IV6409285</t>
        </is>
      </c>
      <c r="L2385" s="8" t="inlineStr">
        <is>
          <t>ราคาที่ระบุเป็นก่อนหักส่วนลด</t>
        </is>
      </c>
    </row>
    <row r="2386">
      <c r="B2386" s="6" t="inlineStr">
        <is>
          <t>แม่สี Matrix  M-201</t>
        </is>
      </c>
      <c r="C2386" s="8" t="inlineStr">
        <is>
          <t>1กป.</t>
        </is>
      </c>
      <c r="D2386" s="9" t="n">
        <v>1680</v>
      </c>
      <c r="F2386" s="8" t="n">
        <v>10</v>
      </c>
      <c r="H2386" s="9" t="n">
        <v>1680</v>
      </c>
      <c r="I2386" s="10" t="inlineStr">
        <is>
          <t>ทรัพย์สินไทย</t>
        </is>
      </c>
      <c r="J2386" s="161" t="n">
        <v>23676</v>
      </c>
      <c r="K2386" s="8" t="inlineStr">
        <is>
          <t>IV6410364</t>
        </is>
      </c>
      <c r="L2386" s="8" t="inlineStr">
        <is>
          <t>ราคาที่ระบุเป็นก่อนหักส่วนลด</t>
        </is>
      </c>
    </row>
    <row r="2387">
      <c r="B2387" s="6" t="inlineStr">
        <is>
          <t>แม่สี Matrix  M-201</t>
        </is>
      </c>
      <c r="C2387" s="8" t="inlineStr">
        <is>
          <t>3กป.</t>
        </is>
      </c>
      <c r="D2387" s="9" t="n">
        <v>1680</v>
      </c>
      <c r="F2387" s="8" t="n">
        <v>10</v>
      </c>
      <c r="H2387" s="9" t="n">
        <v>5040</v>
      </c>
      <c r="I2387" s="10" t="inlineStr">
        <is>
          <t>ทรัพย์สินไทย</t>
        </is>
      </c>
      <c r="J2387" s="161" t="n">
        <v>23704</v>
      </c>
      <c r="K2387" s="8" t="inlineStr">
        <is>
          <t>IV6411319</t>
        </is>
      </c>
      <c r="L2387" s="8" t="inlineStr">
        <is>
          <t>ราคาที่ระบุเป็นก่อนหักส่วนลด</t>
        </is>
      </c>
    </row>
    <row r="2388">
      <c r="B2388" s="6" t="inlineStr">
        <is>
          <t>แม่สี Matrix  M-201</t>
        </is>
      </c>
      <c r="C2388" s="8" t="inlineStr">
        <is>
          <t>3กป.</t>
        </is>
      </c>
      <c r="D2388" s="9" t="n">
        <v>1680</v>
      </c>
      <c r="F2388" s="8" t="n">
        <v>10</v>
      </c>
      <c r="H2388" s="9" t="n">
        <v>5040</v>
      </c>
      <c r="I2388" s="10" t="inlineStr">
        <is>
          <t>ทรัพย์สินไทย</t>
        </is>
      </c>
      <c r="J2388" s="161" t="n">
        <v>23795</v>
      </c>
      <c r="K2388" s="8" t="inlineStr">
        <is>
          <t>IV6502258</t>
        </is>
      </c>
      <c r="L2388" s="8" t="inlineStr">
        <is>
          <t>ราคาที่ระบุเป็นก่อนหักส่วนลด</t>
        </is>
      </c>
    </row>
    <row r="2389">
      <c r="B2389" s="6" t="inlineStr">
        <is>
          <t>แม่สี Matrix  M-201</t>
        </is>
      </c>
      <c r="C2389" s="8" t="inlineStr">
        <is>
          <t>2กป.</t>
        </is>
      </c>
      <c r="D2389" s="9" t="n">
        <v>1680</v>
      </c>
      <c r="F2389" s="8" t="n">
        <v>10</v>
      </c>
      <c r="H2389" s="9" t="n">
        <v>3360</v>
      </c>
      <c r="I2389" s="10" t="inlineStr">
        <is>
          <t>ทรัพย์สินไทย</t>
        </is>
      </c>
      <c r="J2389" s="161" t="n">
        <v>23824</v>
      </c>
      <c r="K2389" s="8" t="inlineStr">
        <is>
          <t>IV6503300</t>
        </is>
      </c>
      <c r="L2389" s="8" t="inlineStr">
        <is>
          <t>ราคาที่ระบุเป็นก่อนหักส่วนลด</t>
        </is>
      </c>
    </row>
    <row r="2390">
      <c r="B2390" s="6" t="inlineStr">
        <is>
          <t>แม่สี Matrix  M-201</t>
        </is>
      </c>
      <c r="C2390" s="8" t="inlineStr">
        <is>
          <t>2กป.</t>
        </is>
      </c>
      <c r="D2390" s="9" t="n">
        <v>1680</v>
      </c>
      <c r="F2390" s="8" t="n">
        <v>10</v>
      </c>
      <c r="H2390" s="9" t="n">
        <v>3360</v>
      </c>
      <c r="I2390" s="10" t="inlineStr">
        <is>
          <t>ทรัพย์สินไทย</t>
        </is>
      </c>
      <c r="J2390" s="161" t="n">
        <v>23829</v>
      </c>
      <c r="K2390" s="8" t="inlineStr">
        <is>
          <t>IV6503340</t>
        </is>
      </c>
      <c r="L2390" s="8" t="inlineStr">
        <is>
          <t>ราคาที่ระบุเป็นก่อนหักส่วนลด</t>
        </is>
      </c>
    </row>
    <row r="2391">
      <c r="B2391" s="6" t="inlineStr">
        <is>
          <t>แม่สี Matrix  M-201</t>
        </is>
      </c>
      <c r="C2391" s="8" t="inlineStr">
        <is>
          <t>1กป.</t>
        </is>
      </c>
      <c r="D2391" s="9" t="n">
        <v>1880</v>
      </c>
      <c r="F2391" s="8" t="n">
        <v>10</v>
      </c>
      <c r="H2391" s="9" t="n">
        <v>1880</v>
      </c>
      <c r="I2391" s="10" t="inlineStr">
        <is>
          <t>ทรัพย์สินไทย</t>
        </is>
      </c>
      <c r="J2391" s="161" t="n">
        <v>23930</v>
      </c>
      <c r="K2391" s="8" t="inlineStr">
        <is>
          <t>IV6507108</t>
        </is>
      </c>
      <c r="L2391" s="8" t="inlineStr">
        <is>
          <t>ราคาที่ระบุเป็นก่อนหักส่วนลด</t>
        </is>
      </c>
    </row>
    <row r="2393">
      <c r="B2393" s="6" t="inlineStr">
        <is>
          <t>แม่สี Matrix  M-202</t>
        </is>
      </c>
      <c r="C2393" s="8" t="inlineStr">
        <is>
          <t>1กป.</t>
        </is>
      </c>
      <c r="D2393" s="9" t="n">
        <v>1680</v>
      </c>
      <c r="F2393" s="8" t="n">
        <v>10</v>
      </c>
      <c r="H2393" s="9" t="n">
        <v>1680</v>
      </c>
      <c r="I2393" s="10" t="inlineStr">
        <is>
          <t>ทรัพย์สินไทย</t>
        </is>
      </c>
      <c r="J2393" s="161" t="n">
        <v>22884</v>
      </c>
      <c r="L2393" s="8" t="inlineStr">
        <is>
          <t>ราคาที่ระบุเป็นก่อนหักส่วนลด</t>
        </is>
      </c>
    </row>
    <row r="2394">
      <c r="B2394" s="6" t="inlineStr">
        <is>
          <t>แม่สี Matrix  M-202</t>
        </is>
      </c>
      <c r="C2394" s="8" t="inlineStr">
        <is>
          <t>2กป.</t>
        </is>
      </c>
      <c r="D2394" s="9" t="n">
        <v>1680</v>
      </c>
      <c r="F2394" s="8" t="n">
        <v>10</v>
      </c>
      <c r="H2394" s="9" t="n">
        <v>3360</v>
      </c>
      <c r="I2394" s="10" t="inlineStr">
        <is>
          <t>ทรัพย์สินไทย</t>
        </is>
      </c>
      <c r="J2394" s="161" t="n">
        <v>23062</v>
      </c>
      <c r="L2394" s="8" t="inlineStr">
        <is>
          <t>ราคาที่ระบุเป็นก่อนหักส่วนลด</t>
        </is>
      </c>
    </row>
    <row r="2395">
      <c r="B2395" s="6" t="inlineStr">
        <is>
          <t>แม่สี Matrix  M-202</t>
        </is>
      </c>
      <c r="C2395" s="8" t="inlineStr">
        <is>
          <t>2กป.</t>
        </is>
      </c>
      <c r="D2395" s="9" t="n">
        <v>1680</v>
      </c>
      <c r="F2395" s="8" t="n">
        <v>10</v>
      </c>
      <c r="H2395" s="9" t="n">
        <v>3360</v>
      </c>
      <c r="I2395" s="10" t="inlineStr">
        <is>
          <t>ทรัพย์สินไทย</t>
        </is>
      </c>
      <c r="J2395" s="161" t="n">
        <v>23124</v>
      </c>
      <c r="L2395" s="8" t="inlineStr">
        <is>
          <t>ราคาที่ระบุเป็นก่อนหักส่วนลด</t>
        </is>
      </c>
    </row>
    <row r="2396">
      <c r="B2396" s="6" t="inlineStr">
        <is>
          <t>แม่สี Matrix  M-202</t>
        </is>
      </c>
      <c r="C2396" s="8" t="inlineStr">
        <is>
          <t>1กป.</t>
        </is>
      </c>
      <c r="D2396" s="9" t="n">
        <v>1680</v>
      </c>
      <c r="F2396" s="8" t="n">
        <v>10</v>
      </c>
      <c r="H2396" s="9" t="n">
        <v>1680</v>
      </c>
      <c r="I2396" s="10" t="inlineStr">
        <is>
          <t>ทรัพย์สินไทย</t>
        </is>
      </c>
      <c r="J2396" s="161" t="n">
        <v>23221</v>
      </c>
      <c r="L2396" s="8" t="inlineStr">
        <is>
          <t>ราคาที่ระบุเป็นก่อนหักส่วนลด</t>
        </is>
      </c>
    </row>
    <row r="2397">
      <c r="B2397" s="6" t="inlineStr">
        <is>
          <t>แม่สี Matrix  M-202</t>
        </is>
      </c>
      <c r="C2397" s="8" t="inlineStr">
        <is>
          <t>2กป.</t>
        </is>
      </c>
      <c r="D2397" s="9" t="n">
        <v>1680</v>
      </c>
      <c r="F2397" s="8" t="n">
        <v>10</v>
      </c>
      <c r="H2397" s="9" t="n">
        <v>3360</v>
      </c>
      <c r="I2397" s="10" t="inlineStr">
        <is>
          <t>ทรัพย์สินไทย</t>
        </is>
      </c>
      <c r="J2397" s="161" t="n">
        <v>23277</v>
      </c>
      <c r="L2397" s="8" t="inlineStr">
        <is>
          <t>ราคาที่ระบุเป็นก่อนหักส่วนลด</t>
        </is>
      </c>
    </row>
    <row r="2398">
      <c r="B2398" s="6" t="inlineStr">
        <is>
          <t>แม่สี Matrix  M-202</t>
        </is>
      </c>
      <c r="C2398" s="8" t="inlineStr">
        <is>
          <t>1กป.</t>
        </is>
      </c>
      <c r="D2398" s="9" t="n">
        <v>1680</v>
      </c>
      <c r="F2398" s="8" t="n">
        <v>10</v>
      </c>
      <c r="H2398" s="9" t="n">
        <v>1680</v>
      </c>
      <c r="I2398" s="10" t="inlineStr">
        <is>
          <t>ทรัพย์สินไทย</t>
        </is>
      </c>
      <c r="J2398" s="161" t="n">
        <v>23465</v>
      </c>
      <c r="L2398" s="8" t="inlineStr">
        <is>
          <t>ราคาที่ระบุเป็นก่อนหักส่วนลด</t>
        </is>
      </c>
    </row>
    <row r="2399">
      <c r="B2399" s="6" t="inlineStr">
        <is>
          <t>แม่สี Matrix  M-202</t>
        </is>
      </c>
      <c r="C2399" s="8" t="inlineStr">
        <is>
          <t>2กป.</t>
        </is>
      </c>
      <c r="D2399" s="9" t="n">
        <v>1680</v>
      </c>
      <c r="F2399" s="8" t="n">
        <v>10</v>
      </c>
      <c r="H2399" s="9" t="n">
        <v>3360</v>
      </c>
      <c r="I2399" s="10" t="inlineStr">
        <is>
          <t>ทรัพย์สินไทย</t>
        </is>
      </c>
      <c r="J2399" s="161" t="n">
        <v>23584</v>
      </c>
      <c r="L2399" s="8" t="inlineStr">
        <is>
          <t>ราคาที่ระบุเป็นก่อนหักส่วนลด</t>
        </is>
      </c>
    </row>
    <row r="2400">
      <c r="B2400" s="6" t="inlineStr">
        <is>
          <t>แม่สี Matrix  M-202</t>
        </is>
      </c>
      <c r="C2400" s="8" t="inlineStr">
        <is>
          <t>2กป.</t>
        </is>
      </c>
      <c r="D2400" s="9" t="n">
        <v>1680</v>
      </c>
      <c r="F2400" s="8" t="n">
        <v>10</v>
      </c>
      <c r="H2400" s="9" t="n">
        <v>3360</v>
      </c>
      <c r="I2400" s="10" t="inlineStr">
        <is>
          <t>ทรัพย์สินไทย</t>
        </is>
      </c>
      <c r="J2400" s="161" t="n">
        <v>23917</v>
      </c>
      <c r="K2400" s="8" t="inlineStr">
        <is>
          <t>IV6506328</t>
        </is>
      </c>
      <c r="L2400" s="8" t="inlineStr">
        <is>
          <t>ราคาที่ระบุเป็นก่อนหักส่วนลด</t>
        </is>
      </c>
    </row>
    <row r="2401">
      <c r="B2401" s="6" t="inlineStr">
        <is>
          <t>แม่สี Matrix  M-202</t>
        </is>
      </c>
      <c r="C2401" s="8" t="inlineStr">
        <is>
          <t>1กป.</t>
        </is>
      </c>
      <c r="D2401" s="9" t="n">
        <v>1680</v>
      </c>
      <c r="F2401" s="8" t="n">
        <v>10</v>
      </c>
      <c r="H2401" s="9" t="n">
        <v>1680</v>
      </c>
      <c r="I2401" s="10" t="inlineStr">
        <is>
          <t>ทรัพย์สินไทย</t>
        </is>
      </c>
      <c r="J2401" s="161" t="n">
        <v>23920</v>
      </c>
      <c r="K2401" s="8" t="inlineStr">
        <is>
          <t>IV6506336</t>
        </is>
      </c>
      <c r="L2401" s="8" t="inlineStr">
        <is>
          <t>ราคาที่ระบุเป็นก่อนหักส่วนลด</t>
        </is>
      </c>
    </row>
    <row r="2402">
      <c r="B2402" s="6" t="inlineStr">
        <is>
          <t>แม่สี มุกเหลือง SC-202</t>
        </is>
      </c>
      <c r="C2402" s="8" t="inlineStr">
        <is>
          <t>1กป.</t>
        </is>
      </c>
      <c r="D2402" s="9" t="n">
        <v>1400</v>
      </c>
      <c r="H2402" s="9" t="n">
        <v>1400</v>
      </c>
      <c r="I2402" s="10" t="inlineStr">
        <is>
          <t>ทรัพย์สินไทย</t>
        </is>
      </c>
      <c r="J2402" s="161" t="n">
        <v>24098</v>
      </c>
      <c r="K2402" s="8" t="inlineStr">
        <is>
          <t>IV328-65</t>
        </is>
      </c>
      <c r="L2402" s="8" t="inlineStr">
        <is>
          <t>ราคาที่ระบุเป็นก่อนหักส่วนลด</t>
        </is>
      </c>
    </row>
    <row r="2403">
      <c r="B2403" s="6" t="inlineStr">
        <is>
          <t>แม่สี มุกเหลือง SC-202</t>
        </is>
      </c>
      <c r="C2403" s="8" t="inlineStr">
        <is>
          <t>1กป.</t>
        </is>
      </c>
      <c r="D2403" s="9" t="n">
        <v>1400</v>
      </c>
      <c r="H2403" s="9" t="n">
        <v>1400</v>
      </c>
      <c r="I2403" s="10" t="inlineStr">
        <is>
          <t>ทรัพย์สินไทย</t>
        </is>
      </c>
      <c r="J2403" s="161" t="n">
        <v>24282</v>
      </c>
      <c r="K2403" s="8" t="inlineStr">
        <is>
          <t>IV353-66</t>
        </is>
      </c>
      <c r="L2403" s="8" t="inlineStr">
        <is>
          <t>ราคาที่ระบุเป็นก่อนหักส่วนลด</t>
        </is>
      </c>
    </row>
    <row r="2404">
      <c r="B2404" s="6" t="inlineStr">
        <is>
          <t>แม่สี มุกเหลือง Hybrid S202</t>
        </is>
      </c>
      <c r="C2404" s="8" t="inlineStr">
        <is>
          <t>2กป.</t>
        </is>
      </c>
      <c r="D2404" s="9" t="n">
        <v>1400</v>
      </c>
      <c r="H2404" s="9" t="n">
        <v>2800</v>
      </c>
      <c r="I2404" s="10" t="inlineStr">
        <is>
          <t>ทรัพย์สินไทย</t>
        </is>
      </c>
      <c r="J2404" s="161" t="n">
        <v>24315</v>
      </c>
      <c r="K2404" s="8" t="inlineStr">
        <is>
          <t>IV423-66</t>
        </is>
      </c>
      <c r="L2404" s="8" t="inlineStr">
        <is>
          <t>ราคาที่ระบุเป็นก่อนหักส่วนลด</t>
        </is>
      </c>
    </row>
    <row r="2405">
      <c r="B2405" s="6" t="inlineStr">
        <is>
          <t>แม่สี มุกเหลือง Hybrid S202</t>
        </is>
      </c>
      <c r="C2405" s="8" t="n">
        <v>1</v>
      </c>
      <c r="D2405" s="9" t="n">
        <v>1400</v>
      </c>
      <c r="H2405" s="9">
        <f>SUM(D2405*C2405)</f>
        <v/>
      </c>
      <c r="I2405" s="10" t="inlineStr">
        <is>
          <t>ทรัพย์สินไทย</t>
        </is>
      </c>
      <c r="J2405" s="161" t="n">
        <v>24404</v>
      </c>
      <c r="K2405" s="8" t="inlineStr">
        <is>
          <t>IV619-66</t>
        </is>
      </c>
      <c r="L2405" s="8" t="inlineStr">
        <is>
          <t>ราคาที่ระบุเป็นก่อนหักส่วนลด</t>
        </is>
      </c>
    </row>
    <row r="2406">
      <c r="B2406" s="6" t="inlineStr">
        <is>
          <t>แม่สี มุกเหลือง Hybrid S202</t>
        </is>
      </c>
      <c r="C2406" s="8" t="n">
        <v>1</v>
      </c>
      <c r="D2406" s="9" t="n">
        <v>1400</v>
      </c>
      <c r="H2406" s="9">
        <f>SUM(D2406*C2406)</f>
        <v/>
      </c>
      <c r="I2406" s="10" t="inlineStr">
        <is>
          <t>ทรัพย์สินไทย</t>
        </is>
      </c>
      <c r="J2406" s="161" t="n">
        <v>24529</v>
      </c>
      <c r="K2406" s="8" t="inlineStr">
        <is>
          <t>IV6702103</t>
        </is>
      </c>
      <c r="L2406" s="8" t="inlineStr">
        <is>
          <t>ราคาที่ระบุเป็นก่อนหักส่วนลด</t>
        </is>
      </c>
    </row>
    <row r="2407">
      <c r="B2407" s="6" t="inlineStr">
        <is>
          <t>แม่สี มุกเหลือง Hybrid S202</t>
        </is>
      </c>
      <c r="C2407" s="8" t="n">
        <v>1</v>
      </c>
      <c r="D2407" s="9" t="n">
        <v>1400</v>
      </c>
      <c r="H2407" s="9">
        <f>SUM(D2407*C2407)</f>
        <v/>
      </c>
      <c r="I2407" s="10" t="inlineStr">
        <is>
          <t>ทรัพย์สินไทย</t>
        </is>
      </c>
      <c r="J2407" s="161" t="n">
        <v>24550</v>
      </c>
      <c r="K2407" s="8" t="inlineStr">
        <is>
          <t>IV6703088</t>
        </is>
      </c>
      <c r="L2407" s="8" t="inlineStr">
        <is>
          <t>ราคาที่ระบุเป็นก่อนหักส่วนลด</t>
        </is>
      </c>
    </row>
    <row r="2408">
      <c r="B2408" s="6" t="inlineStr">
        <is>
          <t>แม่สี มุกเหลือง Hybrid S202</t>
        </is>
      </c>
      <c r="C2408" s="8" t="n">
        <v>2</v>
      </c>
      <c r="D2408" s="9" t="n">
        <v>1400</v>
      </c>
      <c r="H2408" s="9">
        <f>SUM(D2408*C2408)</f>
        <v/>
      </c>
      <c r="I2408" s="10" t="inlineStr">
        <is>
          <t>ทรัพย์สินไทย</t>
        </is>
      </c>
      <c r="J2408" s="161" t="n">
        <v>24795</v>
      </c>
      <c r="K2408" s="8" t="inlineStr">
        <is>
          <t>IV6711103</t>
        </is>
      </c>
      <c r="L2408" s="8" t="inlineStr">
        <is>
          <t>ราคาที่ระบุเป็นก่อนหักส่วนลด</t>
        </is>
      </c>
    </row>
    <row r="2409">
      <c r="B2409" s="6" t="inlineStr">
        <is>
          <t>แม่สี มุกเหลือง Hybrid S202</t>
        </is>
      </c>
      <c r="C2409" s="8" t="n">
        <v>2</v>
      </c>
      <c r="D2409" s="9" t="n">
        <v>1498</v>
      </c>
      <c r="H2409" s="9">
        <f>SUM(D2409*C2409)</f>
        <v/>
      </c>
      <c r="I2409" s="10" t="inlineStr">
        <is>
          <t>บจก. วีที คัลเลอร์ โปร</t>
        </is>
      </c>
      <c r="J2409" s="161" t="n">
        <v>24923</v>
      </c>
      <c r="K2409" s="8" t="inlineStr">
        <is>
          <t>IV6803171</t>
        </is>
      </c>
      <c r="L2409" s="8" t="inlineStr">
        <is>
          <t>ราคารวม VAT แล้ว</t>
        </is>
      </c>
    </row>
    <row r="2410">
      <c r="B2410" s="6" t="inlineStr">
        <is>
          <t>แม่สี มุกเหลือง Hybrid S202</t>
        </is>
      </c>
      <c r="C2410" s="8" t="n">
        <v>1</v>
      </c>
      <c r="D2410" s="9" t="n">
        <v>1400</v>
      </c>
      <c r="E2410" s="9">
        <f>SUM(C2410*D2410)</f>
        <v/>
      </c>
      <c r="H2410" s="9">
        <f>SUM(E2410*O2410/N2410)</f>
        <v/>
      </c>
      <c r="I2410" s="10" t="inlineStr">
        <is>
          <t>บจก. วีที คัลเลอร์ โปร</t>
        </is>
      </c>
      <c r="J2410" s="161" t="n">
        <v>24979</v>
      </c>
      <c r="K2410" s="8" t="inlineStr">
        <is>
          <t>IV6805147</t>
        </is>
      </c>
      <c r="N2410" s="6" t="n">
        <v>100</v>
      </c>
      <c r="O2410" s="6" t="n">
        <v>107</v>
      </c>
    </row>
    <row r="2411">
      <c r="B2411" s="6" t="inlineStr">
        <is>
          <t>แม่สี มุกเหลือง Hybrid S202</t>
        </is>
      </c>
      <c r="C2411" s="8" t="n">
        <v>3</v>
      </c>
      <c r="D2411" s="9" t="n">
        <v>1400</v>
      </c>
      <c r="E2411" s="9">
        <f>SUM(D2411*C2411)</f>
        <v/>
      </c>
      <c r="F2411" s="8" t="n">
        <v>0.07000000000000001</v>
      </c>
      <c r="G2411" s="10" t="inlineStr">
        <is>
          <t>รวม VAT =</t>
        </is>
      </c>
      <c r="H2411" s="9">
        <f>SUM(E2411+N2411)</f>
        <v/>
      </c>
      <c r="I2411" s="10" t="inlineStr">
        <is>
          <t>บจก. วีที คัลเลอร์ โปร</t>
        </is>
      </c>
      <c r="J2411" s="161" t="n">
        <v>25002</v>
      </c>
      <c r="K2411" s="8" t="inlineStr">
        <is>
          <t>IV6806091</t>
        </is>
      </c>
      <c r="N2411" s="6">
        <f>SUM(E2411*F2411)</f>
        <v/>
      </c>
    </row>
    <row r="2412">
      <c r="B2412" s="6" t="inlineStr">
        <is>
          <t>แม่สี มุกเหลือง Hybrid S202</t>
        </is>
      </c>
      <c r="C2412" s="8" t="n">
        <v>1</v>
      </c>
      <c r="D2412" s="9" t="n">
        <v>1400</v>
      </c>
      <c r="E2412" s="9">
        <f>SUM(D2412*C2412)</f>
        <v/>
      </c>
      <c r="F2412" s="8" t="n">
        <v>0.07000000000000001</v>
      </c>
      <c r="G2412" s="10" t="inlineStr">
        <is>
          <t>รวม VAT =</t>
        </is>
      </c>
      <c r="H2412" s="9">
        <f>SUM(E2412+N2412)</f>
        <v/>
      </c>
      <c r="I2412" s="10" t="inlineStr">
        <is>
          <t>บจก. วีที คัลเลอร์ โปร</t>
        </is>
      </c>
      <c r="J2412" s="161" t="n">
        <v>25015</v>
      </c>
      <c r="K2412" s="8" t="inlineStr">
        <is>
          <t>IV6806175</t>
        </is>
      </c>
      <c r="L2412" s="8" t="inlineStr">
        <is>
          <t>ราคาที่ระบุ ยังไม่รวม VAT7%</t>
        </is>
      </c>
      <c r="N2412" s="6">
        <f>SUM(E2412*F2412)</f>
        <v/>
      </c>
    </row>
    <row r="2413">
      <c r="B2413" s="6" t="inlineStr">
        <is>
          <t>แม่สี มุกเหลือง Hybrid S202</t>
        </is>
      </c>
      <c r="C2413" s="8" t="n">
        <v>2</v>
      </c>
      <c r="D2413" s="9" t="n">
        <v>1400</v>
      </c>
      <c r="E2413" s="9">
        <f>SUM(D2413*C2413)</f>
        <v/>
      </c>
      <c r="F2413" s="8" t="n">
        <v>0.07000000000000001</v>
      </c>
      <c r="G2413" s="10" t="inlineStr">
        <is>
          <t>รวม VAT =</t>
        </is>
      </c>
      <c r="H2413" s="9">
        <f>SUM(E2413+N2413)</f>
        <v/>
      </c>
      <c r="I2413" s="10" t="inlineStr">
        <is>
          <t>บจก. วีที คัลเลอร์ โปร</t>
        </is>
      </c>
      <c r="J2413" s="161" t="n">
        <v>25145</v>
      </c>
      <c r="K2413" s="8" t="inlineStr">
        <is>
          <t>IV6811023</t>
        </is>
      </c>
      <c r="L2413" s="8" t="inlineStr">
        <is>
          <t>ราคาที่ระบุ ยังไม่รวม VAT7%</t>
        </is>
      </c>
      <c r="N2413" s="6">
        <f>SUM(E2413*F2413)</f>
        <v/>
      </c>
    </row>
    <row r="2415">
      <c r="B2415" s="6" t="inlineStr">
        <is>
          <t>แม่สี Matrix  M-203</t>
        </is>
      </c>
      <c r="C2415" s="8" t="inlineStr">
        <is>
          <t>1กป.</t>
        </is>
      </c>
      <c r="D2415" s="9" t="n">
        <v>1680</v>
      </c>
      <c r="F2415" s="8" t="n">
        <v>10</v>
      </c>
      <c r="H2415" s="9" t="n">
        <v>1680</v>
      </c>
      <c r="I2415" s="10" t="inlineStr">
        <is>
          <t>ทรัพย์สินไทย</t>
        </is>
      </c>
      <c r="J2415" s="161" t="n">
        <v>22804</v>
      </c>
      <c r="L2415" s="8" t="inlineStr">
        <is>
          <t>ราคาที่ระบุเป็นก่อนหักส่วนลด</t>
        </is>
      </c>
    </row>
    <row r="2416">
      <c r="B2416" s="6" t="inlineStr">
        <is>
          <t>แม่สี Matrix  M-203</t>
        </is>
      </c>
      <c r="C2416" s="8" t="inlineStr">
        <is>
          <t>1กป.</t>
        </is>
      </c>
      <c r="D2416" s="9" t="n">
        <v>1680</v>
      </c>
      <c r="F2416" s="8" t="n">
        <v>10</v>
      </c>
      <c r="H2416" s="9" t="n">
        <v>1680</v>
      </c>
      <c r="I2416" s="10" t="inlineStr">
        <is>
          <t>ทรัพย์สินไทย</t>
        </is>
      </c>
      <c r="J2416" s="161" t="n">
        <v>22884</v>
      </c>
      <c r="L2416" s="8" t="inlineStr">
        <is>
          <t>ราคาที่ระบุเป็นก่อนหักส่วนลด</t>
        </is>
      </c>
    </row>
    <row r="2417">
      <c r="B2417" s="6" t="inlineStr">
        <is>
          <t>แม่สี Matrix  M-203</t>
        </is>
      </c>
      <c r="C2417" s="8" t="inlineStr">
        <is>
          <t>1กป.</t>
        </is>
      </c>
      <c r="D2417" s="9" t="n">
        <v>1680</v>
      </c>
      <c r="F2417" s="8" t="n">
        <v>10</v>
      </c>
      <c r="H2417" s="9" t="n">
        <v>1680</v>
      </c>
      <c r="I2417" s="10" t="inlineStr">
        <is>
          <t>ทรัพย์สินไทย</t>
        </is>
      </c>
      <c r="J2417" s="161" t="n">
        <v>23062</v>
      </c>
      <c r="L2417" s="8" t="inlineStr">
        <is>
          <t>ราคาที่ระบุเป็นก่อนหักส่วนลด</t>
        </is>
      </c>
    </row>
    <row r="2418">
      <c r="B2418" s="6" t="inlineStr">
        <is>
          <t>แม่สี Matrix  M-203</t>
        </is>
      </c>
      <c r="C2418" s="8" t="inlineStr">
        <is>
          <t>1กป.</t>
        </is>
      </c>
      <c r="D2418" s="9" t="n">
        <v>1680</v>
      </c>
      <c r="F2418" s="8" t="n">
        <v>10</v>
      </c>
      <c r="H2418" s="9" t="n">
        <v>1680</v>
      </c>
      <c r="I2418" s="10" t="inlineStr">
        <is>
          <t>ทรัพย์สินไทย</t>
        </is>
      </c>
      <c r="J2418" s="161" t="n">
        <v>23221</v>
      </c>
      <c r="L2418" s="8" t="inlineStr">
        <is>
          <t>ราคาที่ระบุเป็นก่อนหักส่วนลด</t>
        </is>
      </c>
    </row>
    <row r="2419">
      <c r="B2419" s="6" t="inlineStr">
        <is>
          <t>แม่สี Matrix  M-203</t>
        </is>
      </c>
      <c r="C2419" s="8" t="inlineStr">
        <is>
          <t>1กป.</t>
        </is>
      </c>
      <c r="D2419" s="9" t="n">
        <v>1680</v>
      </c>
      <c r="F2419" s="8" t="n">
        <v>10</v>
      </c>
      <c r="H2419" s="9" t="n">
        <v>1680</v>
      </c>
      <c r="I2419" s="10" t="inlineStr">
        <is>
          <t>ทรัพย์สินไทย</t>
        </is>
      </c>
      <c r="J2419" s="161" t="n">
        <v>23355</v>
      </c>
      <c r="L2419" s="8" t="inlineStr">
        <is>
          <t>ราคาที่ระบุเป็นก่อนหักส่วนลด</t>
        </is>
      </c>
    </row>
    <row r="2420">
      <c r="B2420" s="6" t="inlineStr">
        <is>
          <t>แม่สี Matrix  M-203</t>
        </is>
      </c>
      <c r="C2420" s="8" t="inlineStr">
        <is>
          <t>1กป.</t>
        </is>
      </c>
      <c r="D2420" s="9" t="n">
        <v>1680</v>
      </c>
      <c r="F2420" s="8" t="n">
        <v>10</v>
      </c>
      <c r="H2420" s="9" t="n">
        <v>1680</v>
      </c>
      <c r="I2420" s="10" t="inlineStr">
        <is>
          <t>ทรัพย์สินไทย</t>
        </is>
      </c>
      <c r="J2420" s="161" t="n">
        <v>23465</v>
      </c>
      <c r="L2420" s="8" t="inlineStr">
        <is>
          <t>ราคาที่ระบุเป็นก่อนหักส่วนลด</t>
        </is>
      </c>
    </row>
    <row r="2421">
      <c r="B2421" s="6" t="inlineStr">
        <is>
          <t>แม่สี Matrix  M-203</t>
        </is>
      </c>
      <c r="C2421" s="8" t="inlineStr">
        <is>
          <t>2กป.</t>
        </is>
      </c>
      <c r="D2421" s="9" t="n">
        <v>1680</v>
      </c>
      <c r="F2421" s="8" t="n">
        <v>10</v>
      </c>
      <c r="H2421" s="9" t="n">
        <v>3360</v>
      </c>
      <c r="I2421" s="10" t="inlineStr">
        <is>
          <t>ทรัพย์สินไทย</t>
        </is>
      </c>
      <c r="J2421" s="161" t="n">
        <v>23570</v>
      </c>
      <c r="L2421" s="8" t="inlineStr">
        <is>
          <t>ราคาที่ระบุเป็นก่อนหักส่วนลด</t>
        </is>
      </c>
    </row>
    <row r="2422">
      <c r="B2422" s="6" t="inlineStr">
        <is>
          <t>แม่สี Matrix  M-203</t>
        </is>
      </c>
      <c r="C2422" s="8" t="inlineStr">
        <is>
          <t>1กป.</t>
        </is>
      </c>
      <c r="D2422" s="9" t="n">
        <v>1680</v>
      </c>
      <c r="F2422" s="8" t="n">
        <v>10</v>
      </c>
      <c r="H2422" s="9" t="n">
        <v>1680</v>
      </c>
      <c r="I2422" s="10" t="inlineStr">
        <is>
          <t>ทรัพย์สินไทย</t>
        </is>
      </c>
      <c r="J2422" s="161" t="n">
        <v>23795</v>
      </c>
      <c r="K2422" s="8" t="inlineStr">
        <is>
          <t>IV6502258</t>
        </is>
      </c>
      <c r="L2422" s="8" t="inlineStr">
        <is>
          <t>ราคาที่ระบุเป็นก่อนหักส่วนลด</t>
        </is>
      </c>
    </row>
    <row r="2423">
      <c r="B2423" s="6" t="inlineStr">
        <is>
          <t>แม่สี Matrix  M-203</t>
        </is>
      </c>
      <c r="C2423" s="8" t="inlineStr">
        <is>
          <t>2กป.</t>
        </is>
      </c>
      <c r="D2423" s="9" t="n">
        <v>1680</v>
      </c>
      <c r="F2423" s="8" t="n">
        <v>10</v>
      </c>
      <c r="H2423" s="9" t="n">
        <v>3360</v>
      </c>
      <c r="I2423" s="10" t="inlineStr">
        <is>
          <t>ทรัพย์สินไทย</t>
        </is>
      </c>
      <c r="J2423" s="161" t="n">
        <v>23887</v>
      </c>
      <c r="K2423" s="8" t="inlineStr">
        <is>
          <t>IV6505291</t>
        </is>
      </c>
      <c r="L2423" s="8" t="inlineStr">
        <is>
          <t>ราคาที่ระบุเป็นก่อนหักส่วนลด</t>
        </is>
      </c>
    </row>
    <row r="2424">
      <c r="B2424" s="6" t="inlineStr">
        <is>
          <t>แม่สี มุกน้ำเงิน SC-203</t>
        </is>
      </c>
      <c r="C2424" s="8" t="inlineStr">
        <is>
          <t>2กป.</t>
        </is>
      </c>
      <c r="D2424" s="9" t="n">
        <v>1400</v>
      </c>
      <c r="H2424" s="9" t="n">
        <v>2800</v>
      </c>
      <c r="I2424" s="10" t="inlineStr">
        <is>
          <t>วีที คัลเลอร์ โปร</t>
        </is>
      </c>
      <c r="J2424" s="161" t="n">
        <v>24089</v>
      </c>
      <c r="K2424" s="8" t="inlineStr">
        <is>
          <t>IV308-65</t>
        </is>
      </c>
      <c r="L2424" s="8" t="inlineStr">
        <is>
          <t>ราคาที่ระบุเป็นก่อนหักส่วนลด</t>
        </is>
      </c>
    </row>
    <row r="2425">
      <c r="B2425" s="6" t="inlineStr">
        <is>
          <t>แม่สี มุกน้ำเงิน SC-203</t>
        </is>
      </c>
      <c r="C2425" s="8" t="inlineStr">
        <is>
          <t>1กป.</t>
        </is>
      </c>
      <c r="D2425" s="9" t="n">
        <v>1400</v>
      </c>
      <c r="H2425" s="9" t="n">
        <v>1400</v>
      </c>
      <c r="I2425" s="10" t="inlineStr">
        <is>
          <t>วีที คัลเลอร์ โปร</t>
        </is>
      </c>
      <c r="J2425" s="161" t="n">
        <v>24282</v>
      </c>
      <c r="K2425" s="8" t="inlineStr">
        <is>
          <t>IV353-66</t>
        </is>
      </c>
      <c r="L2425" s="8" t="inlineStr">
        <is>
          <t>ราคาที่ระบุเป็นก่อนหักส่วนลด</t>
        </is>
      </c>
    </row>
    <row r="2426">
      <c r="B2426" s="6" t="inlineStr">
        <is>
          <t>แม่สี มุกน้ำเงิน Hybrid S203</t>
        </is>
      </c>
      <c r="C2426" s="8" t="inlineStr">
        <is>
          <t>1กป.</t>
        </is>
      </c>
      <c r="D2426" s="9" t="n">
        <v>1400</v>
      </c>
      <c r="H2426" s="9" t="n">
        <v>1400</v>
      </c>
      <c r="I2426" s="10" t="inlineStr">
        <is>
          <t>วีที คัลเลอร์ โปร</t>
        </is>
      </c>
      <c r="J2426" s="161" t="n">
        <v>24315</v>
      </c>
      <c r="K2426" s="8" t="inlineStr">
        <is>
          <t>IV423-66</t>
        </is>
      </c>
      <c r="L2426" s="8" t="inlineStr">
        <is>
          <t>ราคาที่ระบุเป็นก่อนหักส่วนลด</t>
        </is>
      </c>
    </row>
    <row r="2427">
      <c r="B2427" s="6" t="inlineStr">
        <is>
          <t>แม่สี มุกน้ำเงิน Hybrid S203</t>
        </is>
      </c>
      <c r="C2427" s="8" t="inlineStr">
        <is>
          <t>1กป.</t>
        </is>
      </c>
      <c r="D2427" s="9" t="n">
        <v>1400</v>
      </c>
      <c r="H2427" s="9" t="n">
        <v>1400</v>
      </c>
      <c r="I2427" s="10" t="inlineStr">
        <is>
          <t>วีที คัลเลอร์ โปร</t>
        </is>
      </c>
      <c r="J2427" s="161" t="n">
        <v>24340</v>
      </c>
      <c r="K2427" s="8" t="inlineStr">
        <is>
          <t>IV469-66</t>
        </is>
      </c>
      <c r="L2427" s="8" t="inlineStr">
        <is>
          <t>ราคาที่ระบุเป็นก่อนหักส่วนลด</t>
        </is>
      </c>
    </row>
    <row r="2428">
      <c r="B2428" s="6" t="inlineStr">
        <is>
          <t>แม่สี มุกน้ำเงิน Hybrid S203</t>
        </is>
      </c>
      <c r="C2428" s="8" t="n">
        <v>2</v>
      </c>
      <c r="D2428" s="9" t="n">
        <v>1400</v>
      </c>
      <c r="H2428" s="9">
        <f>SUM(D2428*C2428)</f>
        <v/>
      </c>
      <c r="I2428" s="10" t="inlineStr">
        <is>
          <t>วีที คัลเลอร์ โปร</t>
        </is>
      </c>
      <c r="J2428" s="161" t="n">
        <v>24462</v>
      </c>
      <c r="K2428" s="8" t="inlineStr">
        <is>
          <t>IV765-66</t>
        </is>
      </c>
      <c r="L2428" s="8" t="inlineStr">
        <is>
          <t>ราคาที่ระบุเป็นก่อนหักส่วนลด</t>
        </is>
      </c>
    </row>
    <row r="2429">
      <c r="B2429" s="6" t="inlineStr">
        <is>
          <t>แม่สี มุกน้ำเงิน Hybrid S203</t>
        </is>
      </c>
      <c r="C2429" s="8" t="n">
        <v>1</v>
      </c>
      <c r="D2429" s="9" t="n">
        <v>1400</v>
      </c>
      <c r="H2429" s="9">
        <f>SUM(D2429*C2429)</f>
        <v/>
      </c>
      <c r="I2429" s="10" t="inlineStr">
        <is>
          <t>วีที คัลเลอร์ โปร</t>
        </is>
      </c>
      <c r="J2429" s="161" t="n">
        <v>24613</v>
      </c>
      <c r="K2429" s="8" t="inlineStr">
        <is>
          <t>IV6705104</t>
        </is>
      </c>
      <c r="L2429" s="8" t="inlineStr">
        <is>
          <t>ราคาที่ระบุเป็นก่อนหักส่วนลด</t>
        </is>
      </c>
    </row>
    <row r="2430">
      <c r="B2430" s="6" t="inlineStr">
        <is>
          <t>แม่สี มุกน้ำเงิน Hybrid S203</t>
        </is>
      </c>
      <c r="C2430" s="8" t="n">
        <v>1</v>
      </c>
      <c r="D2430" s="9" t="n">
        <v>1400</v>
      </c>
      <c r="H2430" s="9">
        <f>SUM(D2430*C2430)</f>
        <v/>
      </c>
      <c r="I2430" s="10" t="inlineStr">
        <is>
          <t>วีที คัลเลอร์ โปร</t>
        </is>
      </c>
      <c r="J2430" s="161" t="n">
        <v>24550</v>
      </c>
      <c r="K2430" s="8" t="inlineStr">
        <is>
          <t>IV6703088</t>
        </is>
      </c>
      <c r="L2430" s="8" t="inlineStr">
        <is>
          <t>ราคาที่ระบุเป็นก่อนหักส่วนลด</t>
        </is>
      </c>
    </row>
    <row r="2431">
      <c r="B2431" s="6" t="inlineStr">
        <is>
          <t>แม่สี มุกน้ำเงิน Hybrid S203</t>
        </is>
      </c>
      <c r="C2431" s="8" t="n">
        <v>1</v>
      </c>
      <c r="D2431" s="9" t="n">
        <v>1400</v>
      </c>
      <c r="H2431" s="9">
        <f>SUM(D2431*C2431)</f>
        <v/>
      </c>
      <c r="I2431" s="10" t="inlineStr">
        <is>
          <t>วีที คัลเลอร์ โปร</t>
        </is>
      </c>
      <c r="J2431" s="161" t="n">
        <v>24664</v>
      </c>
      <c r="K2431" s="8" t="inlineStr">
        <is>
          <t>IV6707082</t>
        </is>
      </c>
      <c r="L2431" s="8" t="inlineStr">
        <is>
          <t>ราคาที่ระบุเป็นก่อนหักส่วนลด</t>
        </is>
      </c>
    </row>
    <row r="2432">
      <c r="B2432" s="6" t="inlineStr">
        <is>
          <t>แม่สี มุกน้ำเงิน Hybrid S203</t>
        </is>
      </c>
      <c r="C2432" s="8" t="n">
        <v>2</v>
      </c>
      <c r="D2432" s="9" t="n">
        <v>1400</v>
      </c>
      <c r="H2432" s="9">
        <f>SUM(D2432*C2432)</f>
        <v/>
      </c>
      <c r="I2432" s="10" t="inlineStr">
        <is>
          <t>วีที คัลเลอร์ โปร</t>
        </is>
      </c>
      <c r="J2432" s="161" t="n">
        <v>24824</v>
      </c>
      <c r="K2432" s="8" t="inlineStr">
        <is>
          <t>IV6712085</t>
        </is>
      </c>
      <c r="L2432" s="8" t="inlineStr">
        <is>
          <t>ราคาที่ระบุเป็นก่อนหักส่วนลด</t>
        </is>
      </c>
    </row>
    <row r="2433">
      <c r="B2433" s="6" t="inlineStr">
        <is>
          <t>แม่สี มุกน้ำเงิน Hybrid S203</t>
        </is>
      </c>
      <c r="C2433" s="8" t="n">
        <v>2</v>
      </c>
      <c r="D2433" s="9" t="n">
        <v>1498</v>
      </c>
      <c r="H2433" s="9">
        <f>SUM(D2433*C2433)</f>
        <v/>
      </c>
      <c r="I2433" s="10" t="inlineStr">
        <is>
          <t>บจก. วีที คัลเลอร์ โปร</t>
        </is>
      </c>
      <c r="J2433" s="161" t="n">
        <v>24923</v>
      </c>
      <c r="K2433" s="8" t="inlineStr">
        <is>
          <t>IV6803171</t>
        </is>
      </c>
      <c r="L2433" s="8" t="inlineStr">
        <is>
          <t>ราคารวม VAT แล้ว</t>
        </is>
      </c>
    </row>
    <row r="2434">
      <c r="B2434" s="6" t="inlineStr">
        <is>
          <t>แม่สี มุกน้ำเงิน Hybrid S203</t>
        </is>
      </c>
      <c r="C2434" s="8" t="n">
        <v>1</v>
      </c>
      <c r="D2434" s="9" t="n">
        <v>1400</v>
      </c>
      <c r="E2434" s="9">
        <f>SUM(C2434*D2434)</f>
        <v/>
      </c>
      <c r="H2434" s="9">
        <f>SUM(E2434*O2434/N2434)</f>
        <v/>
      </c>
      <c r="I2434" s="10" t="inlineStr">
        <is>
          <t>บจก. วีที คัลเลอร์ โปร</t>
        </is>
      </c>
      <c r="J2434" s="161" t="n">
        <v>24979</v>
      </c>
      <c r="K2434" s="8" t="inlineStr">
        <is>
          <t>IV6805147</t>
        </is>
      </c>
      <c r="N2434" s="6" t="n">
        <v>100</v>
      </c>
      <c r="O2434" s="6" t="n">
        <v>107</v>
      </c>
    </row>
    <row r="2435">
      <c r="B2435" s="6" t="inlineStr">
        <is>
          <t>แม่สี มุกน้ำเงิน Hybrid S203</t>
        </is>
      </c>
      <c r="C2435" s="8" t="n">
        <v>1</v>
      </c>
      <c r="D2435" s="9" t="n">
        <v>1400</v>
      </c>
      <c r="E2435" s="9">
        <f>SUM(D2435*C2435)</f>
        <v/>
      </c>
      <c r="F2435" s="8" t="n">
        <v>0.07000000000000001</v>
      </c>
      <c r="G2435" s="10" t="inlineStr">
        <is>
          <t>รวม VAT =</t>
        </is>
      </c>
      <c r="H2435" s="9">
        <f>SUM(E2435+N2435)</f>
        <v/>
      </c>
      <c r="I2435" s="10" t="inlineStr">
        <is>
          <t>บจก. วีที คัลเลอร์ โปร</t>
        </is>
      </c>
      <c r="J2435" s="161" t="n">
        <v>25015</v>
      </c>
      <c r="K2435" s="8" t="inlineStr">
        <is>
          <t>IV6806175</t>
        </is>
      </c>
      <c r="L2435" s="8" t="inlineStr">
        <is>
          <t>ราคาที่ระบุ ยังไม่รวม VAT7%</t>
        </is>
      </c>
      <c r="N2435" s="6">
        <f>SUM(E2435*F2435)</f>
        <v/>
      </c>
    </row>
    <row r="2436">
      <c r="B2436" s="6" t="inlineStr">
        <is>
          <t>แม่สี มุกน้ำเงิน Hybrid S203</t>
        </is>
      </c>
      <c r="C2436" s="8" t="n">
        <v>2</v>
      </c>
      <c r="D2436" s="9" t="n">
        <v>1400</v>
      </c>
      <c r="E2436" s="9">
        <f>SUM(D2436*C2436)</f>
        <v/>
      </c>
      <c r="F2436" s="8" t="n">
        <v>0.07000000000000001</v>
      </c>
      <c r="G2436" s="10" t="inlineStr">
        <is>
          <t>รวม VAT =</t>
        </is>
      </c>
      <c r="H2436" s="9">
        <f>SUM(E2436+N2436)</f>
        <v/>
      </c>
      <c r="I2436" s="10" t="inlineStr">
        <is>
          <t>บจก. วีที คัลเลอร์ โปร</t>
        </is>
      </c>
      <c r="J2436" s="161" t="n">
        <v>25145</v>
      </c>
      <c r="K2436" s="8" t="inlineStr">
        <is>
          <t>IV6811023</t>
        </is>
      </c>
      <c r="L2436" s="8" t="inlineStr">
        <is>
          <t>ราคาที่ระบุ ยังไม่รวม VAT7%</t>
        </is>
      </c>
      <c r="N2436" s="6">
        <f>SUM(E2436*F2436)</f>
        <v/>
      </c>
    </row>
    <row r="2438">
      <c r="B2438" s="6" t="inlineStr">
        <is>
          <t>แม่สี Matrix  M-204</t>
        </is>
      </c>
      <c r="C2438" s="8" t="inlineStr">
        <is>
          <t>1กป.</t>
        </is>
      </c>
      <c r="D2438" s="9" t="n">
        <v>1680</v>
      </c>
      <c r="F2438" s="8" t="n">
        <v>10</v>
      </c>
      <c r="H2438" s="9" t="n">
        <v>1680</v>
      </c>
      <c r="I2438" s="10" t="inlineStr">
        <is>
          <t>ทรัพย์สินไทย</t>
        </is>
      </c>
      <c r="J2438" s="161" t="n">
        <v>22790</v>
      </c>
      <c r="L2438" s="8" t="inlineStr">
        <is>
          <t>ราคาที่ระบุเป็นก่อนหักส่วนลด</t>
        </is>
      </c>
    </row>
    <row r="2439">
      <c r="B2439" s="6" t="inlineStr">
        <is>
          <t>แม่สี Matrix  M-204</t>
        </is>
      </c>
      <c r="C2439" s="8" t="inlineStr">
        <is>
          <t>1กป.</t>
        </is>
      </c>
      <c r="D2439" s="9" t="n">
        <v>1680</v>
      </c>
      <c r="F2439" s="8" t="n">
        <v>10</v>
      </c>
      <c r="H2439" s="9" t="n">
        <v>1680</v>
      </c>
      <c r="I2439" s="10" t="inlineStr">
        <is>
          <t>ทรัพย์สินไทย</t>
        </is>
      </c>
      <c r="J2439" s="161" t="n">
        <v>23124</v>
      </c>
      <c r="L2439" s="8" t="inlineStr">
        <is>
          <t>ราคาที่ระบุเป็นก่อนหักส่วนลด</t>
        </is>
      </c>
    </row>
    <row r="2440">
      <c r="B2440" s="6" t="inlineStr">
        <is>
          <t>แม่สี Matrix  M-204</t>
        </is>
      </c>
      <c r="C2440" s="8" t="inlineStr">
        <is>
          <t>1กป.</t>
        </is>
      </c>
      <c r="D2440" s="9" t="n">
        <v>1680</v>
      </c>
      <c r="F2440" s="8" t="n">
        <v>10</v>
      </c>
      <c r="H2440" s="9" t="n">
        <v>1680</v>
      </c>
      <c r="I2440" s="10" t="inlineStr">
        <is>
          <t>ทรัพย์สินไทย</t>
        </is>
      </c>
      <c r="J2440" s="161" t="n">
        <v>23570</v>
      </c>
      <c r="L2440" s="8" t="inlineStr">
        <is>
          <t>ราคาที่ระบุเป็นก่อนหักส่วนลด</t>
        </is>
      </c>
    </row>
    <row r="2441">
      <c r="B2441" s="6" t="inlineStr">
        <is>
          <t>แม่สี มุกแดง Hybrid S204</t>
        </is>
      </c>
      <c r="C2441" s="8" t="n">
        <v>1</v>
      </c>
      <c r="D2441" s="9" t="n">
        <v>1400</v>
      </c>
      <c r="E2441" s="9">
        <f>SUM(C2441*D2441)</f>
        <v/>
      </c>
      <c r="H2441" s="9">
        <f>SUM(E2441*O2441/N2441)</f>
        <v/>
      </c>
      <c r="I2441" s="10" t="inlineStr">
        <is>
          <t>บจก. วีที คัลเลอร์ โปร</t>
        </is>
      </c>
      <c r="J2441" s="161" t="n">
        <v>24979</v>
      </c>
      <c r="K2441" s="8" t="inlineStr">
        <is>
          <t>IV6805147</t>
        </is>
      </c>
      <c r="N2441" s="6" t="n">
        <v>100</v>
      </c>
      <c r="O2441" s="6" t="n">
        <v>107</v>
      </c>
    </row>
    <row r="2443">
      <c r="B2443" s="6" t="inlineStr">
        <is>
          <t>แม่สี Matrix  M-205</t>
        </is>
      </c>
      <c r="C2443" s="8" t="inlineStr">
        <is>
          <t>1กป.</t>
        </is>
      </c>
      <c r="D2443" s="9" t="n">
        <v>1680</v>
      </c>
      <c r="F2443" s="8" t="n">
        <v>10</v>
      </c>
      <c r="H2443" s="9" t="n">
        <v>1680</v>
      </c>
      <c r="I2443" s="10" t="inlineStr">
        <is>
          <t>ทรัพย์สินไทย</t>
        </is>
      </c>
      <c r="J2443" s="161" t="n">
        <v>22790</v>
      </c>
      <c r="L2443" s="8" t="inlineStr">
        <is>
          <t>ราคาที่ระบุเป็นก่อนหักส่วนลด</t>
        </is>
      </c>
    </row>
    <row r="2444">
      <c r="B2444" s="6" t="inlineStr">
        <is>
          <t>แม่สี Matrix  M-205</t>
        </is>
      </c>
      <c r="C2444" s="8" t="inlineStr">
        <is>
          <t>1กป.</t>
        </is>
      </c>
      <c r="D2444" s="9" t="n">
        <v>1680</v>
      </c>
      <c r="F2444" s="8" t="n">
        <v>10</v>
      </c>
      <c r="H2444" s="9" t="n">
        <v>1680</v>
      </c>
      <c r="I2444" s="10" t="inlineStr">
        <is>
          <t>ทรัพย์สินไทย</t>
        </is>
      </c>
      <c r="J2444" s="161" t="n">
        <v>22851</v>
      </c>
      <c r="L2444" s="8" t="inlineStr">
        <is>
          <t>ราคาที่ระบุเป็นก่อนหักส่วนลด</t>
        </is>
      </c>
    </row>
    <row r="2445">
      <c r="B2445" s="6" t="inlineStr">
        <is>
          <t>แม่สี Matrix  M-205</t>
        </is>
      </c>
      <c r="C2445" s="8" t="inlineStr">
        <is>
          <t>1กป.</t>
        </is>
      </c>
      <c r="D2445" s="9" t="n">
        <v>1680</v>
      </c>
      <c r="F2445" s="8" t="n">
        <v>10</v>
      </c>
      <c r="H2445" s="9" t="n">
        <v>1680</v>
      </c>
      <c r="I2445" s="10" t="inlineStr">
        <is>
          <t>ทรัพย์สินไทย</t>
        </is>
      </c>
      <c r="J2445" s="161" t="n">
        <v>22920</v>
      </c>
      <c r="L2445" s="8" t="inlineStr">
        <is>
          <t>ราคาที่ระบุเป็นก่อนหักส่วนลด</t>
        </is>
      </c>
    </row>
    <row r="2446">
      <c r="B2446" s="6" t="inlineStr">
        <is>
          <t>แม่สี Matrix  M-205</t>
        </is>
      </c>
      <c r="C2446" s="8" t="inlineStr">
        <is>
          <t>2กป.</t>
        </is>
      </c>
      <c r="D2446" s="9" t="n">
        <v>1680</v>
      </c>
      <c r="F2446" s="8" t="n">
        <v>10</v>
      </c>
      <c r="H2446" s="9" t="n">
        <v>3360</v>
      </c>
      <c r="I2446" s="10" t="inlineStr">
        <is>
          <t>ทรัพย์สินไทย</t>
        </is>
      </c>
      <c r="J2446" s="161" t="n">
        <v>23340</v>
      </c>
      <c r="L2446" s="8" t="inlineStr">
        <is>
          <t>ราคาที่ระบุเป็นก่อนหักส่วนลด</t>
        </is>
      </c>
    </row>
    <row r="2447">
      <c r="B2447" s="6" t="inlineStr">
        <is>
          <t>แม่สี Matrix  M-205</t>
        </is>
      </c>
      <c r="C2447" s="8" t="inlineStr">
        <is>
          <t>1กป.</t>
        </is>
      </c>
      <c r="D2447" s="9" t="n">
        <v>1680</v>
      </c>
      <c r="F2447" s="8" t="n">
        <v>10</v>
      </c>
      <c r="H2447" s="9" t="n">
        <v>1680</v>
      </c>
      <c r="I2447" s="10" t="inlineStr">
        <is>
          <t>ทรัพย์สินไทย</t>
        </is>
      </c>
      <c r="J2447" s="161" t="n">
        <v>23676</v>
      </c>
      <c r="K2447" s="8" t="inlineStr">
        <is>
          <t>IV6410364</t>
        </is>
      </c>
      <c r="L2447" s="8" t="inlineStr">
        <is>
          <t>ราคาที่ระบุเป็นก่อนหักส่วนลด</t>
        </is>
      </c>
    </row>
    <row r="2448">
      <c r="B2448" s="6" t="inlineStr">
        <is>
          <t>แม่สี Matrix  M-205</t>
        </is>
      </c>
      <c r="C2448" s="8" t="inlineStr">
        <is>
          <t>1กป.</t>
        </is>
      </c>
      <c r="D2448" s="9" t="n">
        <v>1680</v>
      </c>
      <c r="F2448" s="8" t="n">
        <v>10</v>
      </c>
      <c r="H2448" s="9" t="n">
        <v>1680</v>
      </c>
      <c r="I2448" s="10" t="inlineStr">
        <is>
          <t>ทรัพย์สินไทย</t>
        </is>
      </c>
      <c r="J2448" s="161" t="n">
        <v>23795</v>
      </c>
      <c r="K2448" s="8" t="inlineStr">
        <is>
          <t>IV6502258</t>
        </is>
      </c>
      <c r="L2448" s="8" t="inlineStr">
        <is>
          <t>ราคาที่ระบุเป็นก่อนหักส่วนลด</t>
        </is>
      </c>
    </row>
    <row r="2449">
      <c r="B2449" s="6" t="inlineStr">
        <is>
          <t>แม่สี มุกแดงสด Hybrid S205</t>
        </is>
      </c>
      <c r="C2449" s="8" t="n">
        <v>1</v>
      </c>
      <c r="D2449" s="9" t="n">
        <v>1400</v>
      </c>
      <c r="E2449" s="9">
        <f>SUM(C2449*D2449)</f>
        <v/>
      </c>
      <c r="H2449" s="9">
        <f>SUM(E2449*O2449/N2449)</f>
        <v/>
      </c>
      <c r="I2449" s="10" t="inlineStr">
        <is>
          <t>บจก. วีที คัลเลอร์ โปร</t>
        </is>
      </c>
      <c r="J2449" s="161" t="n">
        <v>24979</v>
      </c>
      <c r="K2449" s="8" t="inlineStr">
        <is>
          <t>IV6805147</t>
        </is>
      </c>
      <c r="N2449" s="6" t="n">
        <v>100</v>
      </c>
      <c r="O2449" s="6" t="n">
        <v>107</v>
      </c>
    </row>
    <row r="2450">
      <c r="B2450" s="6" t="inlineStr">
        <is>
          <t>แม่สี มุกแดงสด Hybrid S205</t>
        </is>
      </c>
      <c r="C2450" s="8" t="n">
        <v>1</v>
      </c>
      <c r="D2450" s="9" t="n">
        <v>1400</v>
      </c>
      <c r="E2450" s="9">
        <f>SUM(C2450*D2450)</f>
        <v/>
      </c>
      <c r="H2450" s="9">
        <f>SUM(E2450*O2450/N2450)</f>
        <v/>
      </c>
      <c r="I2450" s="10" t="inlineStr">
        <is>
          <t>บจก. วีที คัลเลอร์ โปร</t>
        </is>
      </c>
      <c r="J2450" s="161" t="n">
        <v>25112</v>
      </c>
      <c r="K2450" s="8" t="inlineStr">
        <is>
          <t>IV6810015</t>
        </is>
      </c>
      <c r="N2450" s="6" t="n">
        <v>100</v>
      </c>
      <c r="O2450" s="6" t="n">
        <v>107</v>
      </c>
    </row>
    <row r="2451">
      <c r="B2451" s="6" t="inlineStr">
        <is>
          <t>แม่สี มุกแดงสด Hybrid S205</t>
        </is>
      </c>
      <c r="C2451" s="8" t="n">
        <v>1</v>
      </c>
      <c r="D2451" s="9" t="n">
        <v>1400</v>
      </c>
      <c r="E2451" s="9">
        <f>SUM(D2451*C2451)</f>
        <v/>
      </c>
      <c r="F2451" s="8" t="n">
        <v>0.07000000000000001</v>
      </c>
      <c r="G2451" s="10" t="inlineStr">
        <is>
          <t>รวม VAT =</t>
        </is>
      </c>
      <c r="H2451" s="9">
        <f>SUM(E2451+N2451)</f>
        <v/>
      </c>
      <c r="I2451" s="10" t="inlineStr">
        <is>
          <t>บจก. วีที คัลเลอร์ โปร</t>
        </is>
      </c>
      <c r="J2451" s="161" t="n">
        <v>25168</v>
      </c>
      <c r="K2451" s="8" t="inlineStr">
        <is>
          <t>IV6811188</t>
        </is>
      </c>
      <c r="N2451" s="6">
        <f>SUM(E2451*F2451)</f>
        <v/>
      </c>
    </row>
    <row r="2453">
      <c r="B2453" s="6" t="inlineStr">
        <is>
          <t>แม่สี Matrix  M-206</t>
        </is>
      </c>
      <c r="C2453" s="8" t="inlineStr">
        <is>
          <t>1กป.</t>
        </is>
      </c>
      <c r="D2453" s="9" t="n">
        <v>1680</v>
      </c>
      <c r="F2453" s="8" t="n">
        <v>10</v>
      </c>
      <c r="H2453" s="9" t="n">
        <v>1680</v>
      </c>
      <c r="I2453" s="10" t="inlineStr">
        <is>
          <t>ทรัพย์สินไทย</t>
        </is>
      </c>
      <c r="J2453" s="161" t="n">
        <v>23277</v>
      </c>
      <c r="L2453" s="8" t="inlineStr">
        <is>
          <t>ราคาที่ระบุเป็นก่อนหักส่วนลด</t>
        </is>
      </c>
    </row>
    <row r="2454">
      <c r="B2454" s="6" t="inlineStr">
        <is>
          <t>แม่สี Matrix  M-206</t>
        </is>
      </c>
      <c r="C2454" s="8" t="inlineStr">
        <is>
          <t>1กป.</t>
        </is>
      </c>
      <c r="D2454" s="9" t="n">
        <v>1680</v>
      </c>
      <c r="F2454" s="8" t="n">
        <v>10</v>
      </c>
      <c r="H2454" s="9" t="n">
        <v>1680</v>
      </c>
      <c r="I2454" s="10" t="inlineStr">
        <is>
          <t>ทรัพย์สินไทย</t>
        </is>
      </c>
      <c r="J2454" s="161" t="n">
        <v>23570</v>
      </c>
      <c r="L2454" s="8" t="inlineStr">
        <is>
          <t>ราคาที่ระบุเป็นก่อนหักส่วนลด</t>
        </is>
      </c>
    </row>
    <row r="2455">
      <c r="B2455" s="6" t="inlineStr">
        <is>
          <t>แม่สี มุกทอง Hybrid S206</t>
        </is>
      </c>
      <c r="C2455" s="8" t="n">
        <v>1</v>
      </c>
      <c r="D2455" s="9" t="n">
        <v>1400</v>
      </c>
      <c r="H2455" s="9">
        <f>SUM(D2455*C2455)</f>
        <v/>
      </c>
      <c r="I2455" s="10" t="inlineStr">
        <is>
          <t>บจก. วีที คัลเลอร์ โปร</t>
        </is>
      </c>
      <c r="J2455" s="161" t="n">
        <v>24698</v>
      </c>
      <c r="K2455" s="8" t="inlineStr">
        <is>
          <t>IV6708064</t>
        </is>
      </c>
      <c r="L2455" s="8" t="inlineStr">
        <is>
          <t>ราคาที่ระบุเป็นก่อนหักส่วนลด</t>
        </is>
      </c>
    </row>
    <row r="2456">
      <c r="B2456" s="6" t="inlineStr">
        <is>
          <t>แม่สี มุกทอง Hybrid S206</t>
        </is>
      </c>
      <c r="C2456" s="8" t="n">
        <v>1</v>
      </c>
      <c r="D2456" s="9" t="n">
        <v>1498</v>
      </c>
      <c r="H2456" s="9">
        <f>SUM(D2456*C2456)</f>
        <v/>
      </c>
      <c r="I2456" s="10" t="inlineStr">
        <is>
          <t>บจก. วีที คัลเลอร์ โปร</t>
        </is>
      </c>
      <c r="J2456" s="161" t="n">
        <v>24923</v>
      </c>
      <c r="K2456" s="8" t="inlineStr">
        <is>
          <t>IV6803171</t>
        </is>
      </c>
      <c r="L2456" s="8" t="inlineStr">
        <is>
          <t>ราคารวม VAT แล้ว</t>
        </is>
      </c>
    </row>
    <row r="2457">
      <c r="B2457" s="6" t="inlineStr">
        <is>
          <t>แม่สี มุกทอง Hybrid S206</t>
        </is>
      </c>
      <c r="C2457" s="8" t="n">
        <v>1</v>
      </c>
      <c r="D2457" s="9" t="n">
        <v>1400</v>
      </c>
      <c r="E2457" s="9">
        <f>SUM(C2457*D2457)</f>
        <v/>
      </c>
      <c r="H2457" s="9">
        <f>SUM(E2457*O2457/N2457)</f>
        <v/>
      </c>
      <c r="I2457" s="10" t="inlineStr">
        <is>
          <t>บจก. วีที คัลเลอร์ โปร</t>
        </is>
      </c>
      <c r="J2457" s="161" t="n">
        <v>24979</v>
      </c>
      <c r="K2457" s="8" t="inlineStr">
        <is>
          <t>IV6805147</t>
        </is>
      </c>
      <c r="N2457" s="6" t="n">
        <v>100</v>
      </c>
      <c r="O2457" s="6" t="n">
        <v>107</v>
      </c>
    </row>
    <row r="2458">
      <c r="A2458" s="70" t="n"/>
      <c r="B2458" s="6" t="inlineStr">
        <is>
          <t>แม่สี มุกทอง Hybrid S206</t>
        </is>
      </c>
      <c r="C2458" s="8" t="n">
        <v>1</v>
      </c>
      <c r="D2458" s="9" t="n">
        <v>1400</v>
      </c>
      <c r="E2458" s="9">
        <f>SUM(C2458*D2458)</f>
        <v/>
      </c>
      <c r="H2458" s="9">
        <f>SUM(E2458*107/100)</f>
        <v/>
      </c>
      <c r="I2458" s="10" t="inlineStr">
        <is>
          <t>บจก. วีที คัลเลอร์ โปร</t>
        </is>
      </c>
      <c r="J2458" s="161" t="n">
        <v>25127</v>
      </c>
      <c r="K2458" s="8" t="inlineStr">
        <is>
          <t>IV6810110</t>
        </is>
      </c>
      <c r="L2458" s="8" t="inlineStr">
        <is>
          <t>ราคาที่ลง ยังไม่รวมภาษี</t>
        </is>
      </c>
    </row>
    <row r="2460">
      <c r="B2460" s="6" t="inlineStr">
        <is>
          <t>แม่สี Matrix  M-210</t>
        </is>
      </c>
      <c r="C2460" s="8" t="inlineStr">
        <is>
          <t>2กป.</t>
        </is>
      </c>
      <c r="D2460" s="9" t="n">
        <v>1680</v>
      </c>
      <c r="F2460" s="8" t="n">
        <v>10</v>
      </c>
      <c r="H2460" s="9" t="n">
        <v>3360</v>
      </c>
      <c r="I2460" s="10" t="inlineStr">
        <is>
          <t>ทรัพย์สินไทย</t>
        </is>
      </c>
      <c r="J2460" s="161" t="n">
        <v>22836</v>
      </c>
      <c r="L2460" s="8" t="inlineStr">
        <is>
          <t>ราคาที่ระบุเป็นก่อนหักส่วนลด</t>
        </is>
      </c>
    </row>
    <row r="2461">
      <c r="B2461" s="6" t="inlineStr">
        <is>
          <t>แม่สี Matrix  M-210</t>
        </is>
      </c>
      <c r="C2461" s="8" t="inlineStr">
        <is>
          <t>1กป.</t>
        </is>
      </c>
      <c r="D2461" s="9" t="n">
        <v>1680</v>
      </c>
      <c r="F2461" s="8" t="n">
        <v>10</v>
      </c>
      <c r="H2461" s="9" t="n">
        <v>1680</v>
      </c>
      <c r="I2461" s="10" t="inlineStr">
        <is>
          <t>ทรัพย์สินไทย</t>
        </is>
      </c>
      <c r="J2461" s="161" t="n">
        <v>23398</v>
      </c>
      <c r="L2461" s="8" t="inlineStr">
        <is>
          <t>ราคาที่ระบุเป็นก่อนหักส่วนลด</t>
        </is>
      </c>
    </row>
    <row r="2462">
      <c r="B2462" s="6" t="inlineStr">
        <is>
          <t>แม่สี Matrix  M-210</t>
        </is>
      </c>
      <c r="C2462" s="8" t="inlineStr">
        <is>
          <t>1กป.</t>
        </is>
      </c>
      <c r="D2462" s="9" t="n">
        <v>1680</v>
      </c>
      <c r="F2462" s="8" t="n">
        <v>10</v>
      </c>
      <c r="H2462" s="9" t="n">
        <v>1680</v>
      </c>
      <c r="I2462" s="10" t="inlineStr">
        <is>
          <t>ทรัพย์สินไทย</t>
        </is>
      </c>
      <c r="J2462" s="161" t="n">
        <v>23038</v>
      </c>
      <c r="L2462" s="8" t="inlineStr">
        <is>
          <t>ราคาที่ระบุเป็นก่อนหักส่วนลด</t>
        </is>
      </c>
    </row>
    <row r="2463">
      <c r="B2463" s="6" t="inlineStr">
        <is>
          <t>แม่สี Matrix  M-210</t>
        </is>
      </c>
      <c r="C2463" s="8" t="inlineStr">
        <is>
          <t>1กป.</t>
        </is>
      </c>
      <c r="D2463" s="9" t="n">
        <v>1680</v>
      </c>
      <c r="F2463" s="8" t="n">
        <v>10</v>
      </c>
      <c r="H2463" s="9" t="n">
        <v>1680</v>
      </c>
      <c r="I2463" s="10" t="inlineStr">
        <is>
          <t>ทรัพย์สินไทย</t>
        </is>
      </c>
      <c r="J2463" s="161" t="n">
        <v>23570</v>
      </c>
      <c r="L2463" s="8" t="inlineStr">
        <is>
          <t>ราคาที่ระบุเป็นก่อนหักส่วนลด</t>
        </is>
      </c>
    </row>
    <row r="2464">
      <c r="B2464" s="6" t="inlineStr">
        <is>
          <t>แม่สี Matrix  M-210</t>
        </is>
      </c>
      <c r="C2464" s="8" t="inlineStr">
        <is>
          <t>1กป.</t>
        </is>
      </c>
      <c r="D2464" s="9" t="n">
        <v>1680</v>
      </c>
      <c r="F2464" s="8" t="n">
        <v>10</v>
      </c>
      <c r="H2464" s="9" t="n">
        <v>1680</v>
      </c>
      <c r="I2464" s="10" t="inlineStr">
        <is>
          <t>ทรัพย์สินไทย</t>
        </is>
      </c>
      <c r="J2464" s="161" t="n">
        <v>23887</v>
      </c>
      <c r="K2464" s="8" t="inlineStr">
        <is>
          <t>IV6505291</t>
        </is>
      </c>
      <c r="L2464" s="8" t="inlineStr">
        <is>
          <t>ราคาที่ระบุเป็นก่อนหักส่วนลด</t>
        </is>
      </c>
    </row>
    <row r="2466">
      <c r="B2466" s="6" t="inlineStr">
        <is>
          <t>แม่สี มุกขาว SC-201</t>
        </is>
      </c>
      <c r="C2466" s="8" t="inlineStr">
        <is>
          <t>1กป.</t>
        </is>
      </c>
      <c r="D2466" s="9" t="n">
        <v>1400</v>
      </c>
      <c r="H2466" s="9" t="n">
        <v>1400</v>
      </c>
      <c r="I2466" s="10" t="inlineStr">
        <is>
          <t>บจก. วีที คัลเลอร์ โปร</t>
        </is>
      </c>
      <c r="J2466" s="161" t="n">
        <v>24057</v>
      </c>
      <c r="K2466" s="8" t="inlineStr">
        <is>
          <t>IV259/65</t>
        </is>
      </c>
      <c r="L2466" s="8" t="inlineStr">
        <is>
          <t>ราคายังไม่รวม VAT</t>
        </is>
      </c>
    </row>
    <row r="2467">
      <c r="B2467" s="6" t="inlineStr">
        <is>
          <t>แม่สี มุกขาว SC-201</t>
        </is>
      </c>
      <c r="C2467" s="8" t="inlineStr">
        <is>
          <t>1กป.</t>
        </is>
      </c>
      <c r="D2467" s="9" t="n">
        <v>1400</v>
      </c>
      <c r="H2467" s="9" t="n">
        <v>1400</v>
      </c>
      <c r="I2467" s="10" t="inlineStr">
        <is>
          <t>บจก. วีที คัลเลอร์ โปร</t>
        </is>
      </c>
      <c r="J2467" s="161" t="n">
        <v>24069</v>
      </c>
      <c r="K2467" s="8" t="inlineStr">
        <is>
          <t>IV276/65</t>
        </is>
      </c>
      <c r="L2467" s="8" t="inlineStr">
        <is>
          <t>ราคายังไม่รวม VAT</t>
        </is>
      </c>
    </row>
    <row r="2468">
      <c r="B2468" s="6" t="inlineStr">
        <is>
          <t>แม่สี มุกขาว SC-201</t>
        </is>
      </c>
      <c r="C2468" s="8" t="inlineStr">
        <is>
          <t>2กป.</t>
        </is>
      </c>
      <c r="D2468" s="9" t="n">
        <v>1400</v>
      </c>
      <c r="H2468" s="9" t="n">
        <v>2800</v>
      </c>
      <c r="I2468" s="10" t="inlineStr">
        <is>
          <t>บจก. วีที คัลเลอร์ โปร</t>
        </is>
      </c>
      <c r="J2468" s="161" t="n">
        <v>24089</v>
      </c>
      <c r="K2468" s="8" t="inlineStr">
        <is>
          <t>IV308-65</t>
        </is>
      </c>
      <c r="L2468" s="8" t="inlineStr">
        <is>
          <t>ราคายังไม่รวม VAT</t>
        </is>
      </c>
    </row>
    <row r="2469">
      <c r="B2469" s="6" t="inlineStr">
        <is>
          <t>แม่สี มุกขาว SC-201</t>
        </is>
      </c>
      <c r="C2469" s="8" t="inlineStr">
        <is>
          <t>2กป.</t>
        </is>
      </c>
      <c r="D2469" s="9" t="n">
        <v>1400</v>
      </c>
      <c r="H2469" s="9" t="n">
        <v>2800</v>
      </c>
      <c r="I2469" s="10" t="inlineStr">
        <is>
          <t>บจก. วีที คัลเลอร์ โปร</t>
        </is>
      </c>
      <c r="J2469" s="161" t="n">
        <v>24098</v>
      </c>
      <c r="K2469" s="8" t="inlineStr">
        <is>
          <t>IV328-65</t>
        </is>
      </c>
      <c r="L2469" s="8" t="inlineStr">
        <is>
          <t>ราคายังไม่รวม VAT</t>
        </is>
      </c>
    </row>
    <row r="2470">
      <c r="B2470" s="6" t="inlineStr">
        <is>
          <t>แม่สี มุกขาว SC-201</t>
        </is>
      </c>
      <c r="C2470" s="8" t="inlineStr">
        <is>
          <t>2กป.</t>
        </is>
      </c>
      <c r="D2470" s="9" t="n">
        <v>1400</v>
      </c>
      <c r="H2470" s="9" t="n">
        <v>2800</v>
      </c>
      <c r="I2470" s="10" t="inlineStr">
        <is>
          <t>บจก. วีที คัลเลอร์ โปร</t>
        </is>
      </c>
      <c r="J2470" s="161" t="n">
        <v>24189</v>
      </c>
      <c r="K2470" s="8" t="inlineStr">
        <is>
          <t>IV178-66</t>
        </is>
      </c>
      <c r="L2470" s="8" t="inlineStr">
        <is>
          <t>ราคายังไม่รวม VAT</t>
        </is>
      </c>
    </row>
    <row r="2471">
      <c r="B2471" s="6" t="inlineStr">
        <is>
          <t>แม่สี มุกขาว SC-201</t>
        </is>
      </c>
      <c r="C2471" s="8" t="inlineStr">
        <is>
          <t>1กป.</t>
        </is>
      </c>
      <c r="D2471" s="9" t="n">
        <v>1400</v>
      </c>
      <c r="H2471" s="9" t="n">
        <v>1400</v>
      </c>
      <c r="I2471" s="10" t="inlineStr">
        <is>
          <t>บจก. วีที คัลเลอร์ โปร</t>
        </is>
      </c>
      <c r="J2471" s="161" t="n">
        <v>24147</v>
      </c>
      <c r="K2471" s="8" t="inlineStr">
        <is>
          <t>IV088-66</t>
        </is>
      </c>
      <c r="L2471" s="8" t="inlineStr">
        <is>
          <t>ราคายังไม่รวม VAT</t>
        </is>
      </c>
    </row>
    <row r="2472">
      <c r="B2472" s="6" t="inlineStr">
        <is>
          <t>แม่สี มุกขาว SC-201</t>
        </is>
      </c>
      <c r="C2472" s="8" t="inlineStr">
        <is>
          <t>2กป.</t>
        </is>
      </c>
      <c r="D2472" s="9" t="n">
        <v>1400</v>
      </c>
      <c r="H2472" s="9" t="n">
        <v>2800</v>
      </c>
      <c r="I2472" s="10" t="inlineStr">
        <is>
          <t>บจก. วีที คัลเลอร์ โปร</t>
        </is>
      </c>
      <c r="J2472" s="161" t="n">
        <v>24168</v>
      </c>
      <c r="K2472" s="8" t="inlineStr">
        <is>
          <t>IV130-66</t>
        </is>
      </c>
      <c r="L2472" s="8" t="inlineStr">
        <is>
          <t>ราคายังไม่รวม VAT</t>
        </is>
      </c>
    </row>
    <row r="2473">
      <c r="B2473" s="6" t="inlineStr">
        <is>
          <t>แม่สี มุกขาว SC-201</t>
        </is>
      </c>
      <c r="C2473" s="8" t="inlineStr">
        <is>
          <t>1กป.</t>
        </is>
      </c>
      <c r="D2473" s="9" t="n">
        <v>1400</v>
      </c>
      <c r="H2473" s="9" t="n">
        <v>1400</v>
      </c>
      <c r="I2473" s="10" t="inlineStr">
        <is>
          <t>บจก. วีที คัลเลอร์ โปร</t>
        </is>
      </c>
      <c r="J2473" s="161" t="n">
        <v>24282</v>
      </c>
      <c r="K2473" s="8" t="inlineStr">
        <is>
          <t>IV353-66</t>
        </is>
      </c>
      <c r="L2473" s="8" t="inlineStr">
        <is>
          <t>ราคายังไม่รวม VAT</t>
        </is>
      </c>
    </row>
    <row r="2474">
      <c r="B2474" s="6" t="inlineStr">
        <is>
          <t>แม่สี มุกขาว Hybrid S201</t>
        </is>
      </c>
      <c r="C2474" s="8" t="inlineStr">
        <is>
          <t>1กป.</t>
        </is>
      </c>
      <c r="D2474" s="9" t="n">
        <v>1400</v>
      </c>
      <c r="H2474" s="9" t="n">
        <v>1400</v>
      </c>
      <c r="I2474" s="10" t="inlineStr">
        <is>
          <t>บจก. วีที คัลเลอร์ โปร</t>
        </is>
      </c>
      <c r="J2474" s="161" t="n">
        <v>24315</v>
      </c>
      <c r="K2474" s="8" t="inlineStr">
        <is>
          <t>IV423-66</t>
        </is>
      </c>
      <c r="L2474" s="8" t="inlineStr">
        <is>
          <t>ราคายังไม่รวม VAT</t>
        </is>
      </c>
    </row>
    <row r="2475">
      <c r="B2475" s="6" t="inlineStr">
        <is>
          <t>แม่สี มุกขาว Hybrid S201</t>
        </is>
      </c>
      <c r="C2475" s="8" t="n">
        <v>1</v>
      </c>
      <c r="D2475" s="9" t="n">
        <v>1400</v>
      </c>
      <c r="H2475" s="9">
        <f>SUM(D2475*C2475)</f>
        <v/>
      </c>
      <c r="I2475" s="10" t="inlineStr">
        <is>
          <t>บจก. วีที คัลเลอร์ โปร</t>
        </is>
      </c>
      <c r="J2475" s="161" t="n">
        <v>24340</v>
      </c>
      <c r="K2475" s="8" t="inlineStr">
        <is>
          <t>IV469-66</t>
        </is>
      </c>
      <c r="L2475" s="8" t="inlineStr">
        <is>
          <t>ราคายังไม่รวม VAT</t>
        </is>
      </c>
    </row>
    <row r="2476">
      <c r="B2476" s="6" t="inlineStr">
        <is>
          <t>แม่สี มุกขาว Hybrid S201</t>
        </is>
      </c>
      <c r="C2476" s="8" t="n">
        <v>1</v>
      </c>
      <c r="D2476" s="9" t="n">
        <v>1400</v>
      </c>
      <c r="H2476" s="9">
        <f>SUM(D2476*C2476)</f>
        <v/>
      </c>
      <c r="I2476" s="10" t="inlineStr">
        <is>
          <t>บจก. วีที คัลเลอร์ โปร</t>
        </is>
      </c>
      <c r="J2476" s="161" t="n">
        <v>24372</v>
      </c>
      <c r="K2476" s="8" t="inlineStr">
        <is>
          <t>IV541-66</t>
        </is>
      </c>
      <c r="L2476" s="8" t="inlineStr">
        <is>
          <t>ราคายังไม่รวม VAT</t>
        </is>
      </c>
    </row>
    <row r="2477">
      <c r="B2477" s="6" t="inlineStr">
        <is>
          <t>แม่สี มุกขาว Hybrid S201</t>
        </is>
      </c>
      <c r="C2477" s="8" t="n">
        <v>1</v>
      </c>
      <c r="D2477" s="9" t="n">
        <v>1400</v>
      </c>
      <c r="H2477" s="9">
        <f>SUM(D2477*C2477)</f>
        <v/>
      </c>
      <c r="I2477" s="10" t="inlineStr">
        <is>
          <t>บจก. วีที คัลเลอร์ โปร</t>
        </is>
      </c>
      <c r="J2477" s="161" t="n">
        <v>24404</v>
      </c>
      <c r="K2477" s="8" t="inlineStr">
        <is>
          <t>IV619-66</t>
        </is>
      </c>
      <c r="L2477" s="8" t="inlineStr">
        <is>
          <t>ราคายังไม่รวม VAT</t>
        </is>
      </c>
    </row>
    <row r="2478">
      <c r="B2478" s="6" t="inlineStr">
        <is>
          <t>แม่สี มุกขาว Hybrid S201</t>
        </is>
      </c>
      <c r="C2478" s="8" t="n">
        <v>2</v>
      </c>
      <c r="D2478" s="9" t="n">
        <v>1400</v>
      </c>
      <c r="H2478" s="9">
        <f>SUM(D2478*C2478)</f>
        <v/>
      </c>
      <c r="I2478" s="10" t="inlineStr">
        <is>
          <t>บจก. วีที คัลเลอร์ โปร</t>
        </is>
      </c>
      <c r="J2478" s="161" t="n">
        <v>24462</v>
      </c>
      <c r="K2478" s="8" t="inlineStr">
        <is>
          <t>IV765-66</t>
        </is>
      </c>
      <c r="L2478" s="8" t="inlineStr">
        <is>
          <t>ราคายังไม่รวม VAT</t>
        </is>
      </c>
    </row>
    <row r="2479">
      <c r="B2479" s="6" t="inlineStr">
        <is>
          <t>แม่สี มุกขาว Hybrid S201</t>
        </is>
      </c>
      <c r="C2479" s="8" t="n">
        <v>2</v>
      </c>
      <c r="D2479" s="9" t="n">
        <v>1400</v>
      </c>
      <c r="H2479" s="9">
        <f>SUM(D2479*C2479)</f>
        <v/>
      </c>
      <c r="I2479" s="10" t="inlineStr">
        <is>
          <t>บจก. วีที คัลเลอร์ โปร</t>
        </is>
      </c>
      <c r="J2479" s="161" t="n">
        <v>24515</v>
      </c>
      <c r="K2479" s="8" t="inlineStr">
        <is>
          <t>IV6702047</t>
        </is>
      </c>
      <c r="L2479" s="8" t="inlineStr">
        <is>
          <t>ราคายังไม่รวม VAT</t>
        </is>
      </c>
    </row>
    <row r="2480">
      <c r="B2480" s="6" t="inlineStr">
        <is>
          <t>แม่สี มุกขาว Hybrid S201</t>
        </is>
      </c>
      <c r="C2480" s="8" t="n">
        <v>1</v>
      </c>
      <c r="D2480" s="9" t="n">
        <v>1400</v>
      </c>
      <c r="H2480" s="9">
        <f>SUM(D2480*C2480)</f>
        <v/>
      </c>
      <c r="I2480" s="10" t="inlineStr">
        <is>
          <t>บจก. วีที คัลเลอร์ โปร</t>
        </is>
      </c>
      <c r="J2480" s="161" t="n">
        <v>24600</v>
      </c>
      <c r="K2480" s="8" t="inlineStr">
        <is>
          <t>IV6705049</t>
        </is>
      </c>
      <c r="L2480" s="8" t="inlineStr">
        <is>
          <t>ราคายังไม่รวม VAT</t>
        </is>
      </c>
    </row>
    <row r="2481">
      <c r="B2481" s="6" t="inlineStr">
        <is>
          <t>แม่สี มุกขาว Hybrid S201</t>
        </is>
      </c>
      <c r="C2481" s="8" t="n">
        <v>2</v>
      </c>
      <c r="D2481" s="9" t="n">
        <v>1400</v>
      </c>
      <c r="H2481" s="9">
        <f>SUM(D2481*C2481)</f>
        <v/>
      </c>
      <c r="I2481" s="10" t="inlineStr">
        <is>
          <t>บจก. วีที คัลเลอร์ โปร</t>
        </is>
      </c>
      <c r="J2481" s="161" t="n">
        <v>24613</v>
      </c>
      <c r="K2481" s="8" t="inlineStr">
        <is>
          <t>IV6705104</t>
        </is>
      </c>
      <c r="L2481" s="8" t="inlineStr">
        <is>
          <t>ราคายังไม่รวม VAT</t>
        </is>
      </c>
    </row>
    <row r="2482">
      <c r="B2482" s="6" t="inlineStr">
        <is>
          <t>แม่สี มุกขาว Hybrid S201</t>
        </is>
      </c>
      <c r="C2482" s="8" t="n">
        <v>1</v>
      </c>
      <c r="D2482" s="9" t="n">
        <v>1400</v>
      </c>
      <c r="H2482" s="9">
        <f>SUM(D2482*C2482)</f>
        <v/>
      </c>
      <c r="I2482" s="10" t="inlineStr">
        <is>
          <t>บจก. วีที คัลเลอร์ โปร</t>
        </is>
      </c>
      <c r="J2482" s="161" t="n">
        <v>24644</v>
      </c>
      <c r="K2482" s="8" t="inlineStr">
        <is>
          <t>IV6706124</t>
        </is>
      </c>
      <c r="L2482" s="8" t="inlineStr">
        <is>
          <t>ราคายังไม่รวม VAT</t>
        </is>
      </c>
    </row>
    <row r="2483">
      <c r="B2483" s="6" t="inlineStr">
        <is>
          <t>แม่สี มุกขาว Hybrid S201</t>
        </is>
      </c>
      <c r="C2483" s="8" t="n">
        <v>2</v>
      </c>
      <c r="D2483" s="9" t="n">
        <v>1400</v>
      </c>
      <c r="H2483" s="9">
        <f>SUM(D2483*C2483)</f>
        <v/>
      </c>
      <c r="I2483" s="10" t="inlineStr">
        <is>
          <t>บจก. วีที คัลเลอร์ โปร</t>
        </is>
      </c>
      <c r="J2483" s="161" t="n">
        <v>24707</v>
      </c>
      <c r="K2483" s="8" t="inlineStr">
        <is>
          <t>IV6708116</t>
        </is>
      </c>
      <c r="L2483" s="8" t="inlineStr">
        <is>
          <t>ราคายังไม่รวม VAT</t>
        </is>
      </c>
    </row>
    <row r="2484">
      <c r="B2484" s="6" t="inlineStr">
        <is>
          <t>แม่สี มุกขาว Hybrid S201</t>
        </is>
      </c>
      <c r="C2484" s="8" t="n">
        <v>2</v>
      </c>
      <c r="D2484" s="9" t="n">
        <v>1400</v>
      </c>
      <c r="H2484" s="9">
        <f>SUM(D2484*C2484)</f>
        <v/>
      </c>
      <c r="I2484" s="10" t="inlineStr">
        <is>
          <t>บจก. วีที คัลเลอร์ โปร</t>
        </is>
      </c>
      <c r="J2484" s="161" t="n">
        <v>24739</v>
      </c>
      <c r="K2484" s="8" t="inlineStr">
        <is>
          <t>IV6709122</t>
        </is>
      </c>
      <c r="L2484" s="8" t="inlineStr">
        <is>
          <t>ราคายังไม่รวม VAT</t>
        </is>
      </c>
    </row>
    <row r="2485">
      <c r="B2485" s="6" t="inlineStr">
        <is>
          <t>แม่สี มุกขาว Hybrid S201</t>
        </is>
      </c>
      <c r="C2485" s="8" t="n">
        <v>2</v>
      </c>
      <c r="D2485" s="9" t="n">
        <v>1400</v>
      </c>
      <c r="H2485" s="9">
        <f>SUM(D2485*C2485)</f>
        <v/>
      </c>
      <c r="I2485" s="10" t="inlineStr">
        <is>
          <t>บจก. วีที คัลเลอร์ โปร</t>
        </is>
      </c>
      <c r="J2485" s="161" t="n">
        <v>24824</v>
      </c>
      <c r="K2485" s="8" t="inlineStr">
        <is>
          <t>IV6712085</t>
        </is>
      </c>
      <c r="L2485" s="8" t="inlineStr">
        <is>
          <t>ราคายังไม่รวม VAT</t>
        </is>
      </c>
    </row>
    <row r="2486">
      <c r="B2486" s="6" t="inlineStr">
        <is>
          <t>แม่สี มุกขาว Hybrid S201</t>
        </is>
      </c>
      <c r="C2486" s="8" t="n">
        <v>2</v>
      </c>
      <c r="D2486" s="9" t="n">
        <v>1498</v>
      </c>
      <c r="H2486" s="9">
        <f>SUM(D2486*C2486)</f>
        <v/>
      </c>
      <c r="I2486" s="10" t="inlineStr">
        <is>
          <t>บจก. วีที คัลเลอร์ โปร</t>
        </is>
      </c>
      <c r="J2486" s="161" t="n">
        <v>24858</v>
      </c>
      <c r="K2486" s="8" t="inlineStr">
        <is>
          <t>IV6801106</t>
        </is>
      </c>
      <c r="L2486" s="8" t="inlineStr">
        <is>
          <t>ราคารวม VAT แล้ว</t>
        </is>
      </c>
    </row>
    <row r="2487">
      <c r="B2487" s="6" t="inlineStr">
        <is>
          <t>แม่สี มุกขาว Hybrid S201</t>
        </is>
      </c>
      <c r="C2487" s="8" t="n">
        <v>2</v>
      </c>
      <c r="D2487" s="9" t="n">
        <v>1400</v>
      </c>
      <c r="E2487" s="9">
        <f>SUM(C2487*D2487)</f>
        <v/>
      </c>
      <c r="H2487" s="9">
        <f>SUM(E2487*O2487/N2487)</f>
        <v/>
      </c>
      <c r="I2487" s="10" t="inlineStr">
        <is>
          <t>บจก. วีที คัลเลอร์ โปร</t>
        </is>
      </c>
      <c r="J2487" s="161" t="n">
        <v>24952</v>
      </c>
      <c r="K2487" s="8" t="inlineStr">
        <is>
          <t>IV6804121</t>
        </is>
      </c>
      <c r="L2487" s="8" t="inlineStr">
        <is>
          <t>ราคารวม VAT แล้ว</t>
        </is>
      </c>
      <c r="N2487" s="6" t="n">
        <v>100</v>
      </c>
      <c r="O2487" s="6" t="n">
        <v>107</v>
      </c>
    </row>
    <row r="2488">
      <c r="B2488" s="6" t="inlineStr">
        <is>
          <t>แม่สี มุกขาว Hybrid S201</t>
        </is>
      </c>
      <c r="C2488" s="8" t="n">
        <v>6</v>
      </c>
      <c r="D2488" s="9" t="n">
        <v>1400</v>
      </c>
      <c r="E2488" s="9">
        <f>SUM(D2488*C2488)</f>
        <v/>
      </c>
      <c r="F2488" s="8" t="n">
        <v>0.07000000000000001</v>
      </c>
      <c r="G2488" s="10" t="inlineStr">
        <is>
          <t>รวม VAT =</t>
        </is>
      </c>
      <c r="H2488" s="9">
        <f>SUM(E2488+N2488)</f>
        <v/>
      </c>
      <c r="I2488" s="10" t="inlineStr">
        <is>
          <t>บจก. วีที คัลเลอร์ โปร</t>
        </is>
      </c>
      <c r="J2488" s="161" t="n">
        <v>25015</v>
      </c>
      <c r="K2488" s="8" t="inlineStr">
        <is>
          <t>IV6806175</t>
        </is>
      </c>
      <c r="L2488" s="8" t="inlineStr">
        <is>
          <t>ราคาที่ระบุ ยังไม่รวม VAT7%</t>
        </is>
      </c>
      <c r="N2488" s="6">
        <f>SUM(E2488*F2488)</f>
        <v/>
      </c>
    </row>
    <row r="2489">
      <c r="B2489" s="6" t="inlineStr">
        <is>
          <t>แม่สี มุกขาว Hybrid S201</t>
        </is>
      </c>
      <c r="C2489" s="8" t="n">
        <v>4</v>
      </c>
      <c r="D2489" s="9" t="n">
        <v>1400</v>
      </c>
      <c r="E2489" s="9">
        <f>SUM(D2489*C2489)</f>
        <v/>
      </c>
      <c r="F2489" s="8" t="n">
        <v>0.07000000000000001</v>
      </c>
      <c r="G2489" s="10" t="inlineStr">
        <is>
          <t>รวม VAT =</t>
        </is>
      </c>
      <c r="H2489" s="9">
        <f>SUM(E2489+N2489)</f>
        <v/>
      </c>
      <c r="I2489" s="10" t="inlineStr">
        <is>
          <t>บจก. วีที คัลเลอร์ โปร</t>
        </is>
      </c>
      <c r="J2489" s="161" t="n">
        <v>25083</v>
      </c>
      <c r="K2489" s="8" t="inlineStr">
        <is>
          <t>IV6809023</t>
        </is>
      </c>
      <c r="L2489" s="8" t="inlineStr">
        <is>
          <t>ราคาที่ระบุ ยังไม่รวม VAT7%</t>
        </is>
      </c>
      <c r="N2489" s="6">
        <f>SUM(E2489*F2489)</f>
        <v/>
      </c>
    </row>
    <row r="2490">
      <c r="A2490" s="70" t="n"/>
      <c r="B2490" s="6" t="inlineStr">
        <is>
          <t>แม่สี มุกขาว Hybrid S201</t>
        </is>
      </c>
      <c r="C2490" s="8" t="n">
        <v>4</v>
      </c>
      <c r="D2490" s="9" t="n">
        <v>1400</v>
      </c>
      <c r="E2490" s="9">
        <f>SUM(C2490*D2490)</f>
        <v/>
      </c>
      <c r="H2490" s="9">
        <f>SUM(E2490*107/100)</f>
        <v/>
      </c>
      <c r="I2490" s="10" t="inlineStr">
        <is>
          <t>บจก. วีที คัลเลอร์ โปร</t>
        </is>
      </c>
      <c r="J2490" s="161" t="n">
        <v>25127</v>
      </c>
      <c r="K2490" s="8" t="inlineStr">
        <is>
          <t>IV6810110</t>
        </is>
      </c>
      <c r="L2490" s="8" t="inlineStr">
        <is>
          <t>ราคาที่ลง ยังไม่รวมภาษี</t>
        </is>
      </c>
    </row>
    <row r="2491">
      <c r="B2491" s="6" t="inlineStr">
        <is>
          <t>แม่สี มุกขาว Hybrid S201</t>
        </is>
      </c>
      <c r="C2491" s="8" t="n">
        <v>2</v>
      </c>
      <c r="D2491" s="9" t="n">
        <v>1400</v>
      </c>
      <c r="E2491" s="9">
        <f>SUM(D2491*C2491)</f>
        <v/>
      </c>
      <c r="F2491" s="8" t="n">
        <v>0.07000000000000001</v>
      </c>
      <c r="G2491" s="10" t="inlineStr">
        <is>
          <t>รวม VAT =</t>
        </is>
      </c>
      <c r="H2491" s="9">
        <f>SUM(E2491+N2491)</f>
        <v/>
      </c>
      <c r="I2491" s="10" t="inlineStr">
        <is>
          <t>บจก. วีที คัลเลอร์ โปร</t>
        </is>
      </c>
      <c r="J2491" s="161" t="n">
        <v>25168</v>
      </c>
      <c r="K2491" s="8" t="inlineStr">
        <is>
          <t>IV6811188</t>
        </is>
      </c>
      <c r="N2491" s="6">
        <f>SUM(E2491*F2491)</f>
        <v/>
      </c>
    </row>
    <row r="2493">
      <c r="B2493" s="6" t="inlineStr">
        <is>
          <t>แม่สี มุกเหลือง Hybrid S202</t>
        </is>
      </c>
      <c r="C2493" s="8" t="n">
        <v>1</v>
      </c>
      <c r="D2493" s="9" t="n">
        <v>1400</v>
      </c>
      <c r="H2493" s="9">
        <f>SUM(D2493*C2493)</f>
        <v/>
      </c>
      <c r="I2493" s="10" t="inlineStr">
        <is>
          <t>บจก. วีที คัลเลอร์ โปร</t>
        </is>
      </c>
      <c r="J2493" s="161" t="n">
        <v>24634</v>
      </c>
      <c r="K2493" s="8" t="inlineStr">
        <is>
          <t>IV6706078</t>
        </is>
      </c>
      <c r="L2493" s="8" t="inlineStr">
        <is>
          <t>ราคายังไม่รวม VAT</t>
        </is>
      </c>
    </row>
    <row r="2494">
      <c r="B2494" s="6" t="inlineStr">
        <is>
          <t>แม่สี มุกเหลือง Hybrid S202</t>
        </is>
      </c>
      <c r="C2494" s="8" t="n">
        <v>2</v>
      </c>
      <c r="D2494" s="9" t="n">
        <v>1498</v>
      </c>
      <c r="H2494" s="9">
        <f>SUM(D2494*C2494)</f>
        <v/>
      </c>
      <c r="I2494" s="10" t="inlineStr">
        <is>
          <t>บจก. วีที คัลเลอร์ โปร</t>
        </is>
      </c>
      <c r="J2494" s="161" t="n">
        <v>24858</v>
      </c>
      <c r="K2494" s="8" t="inlineStr">
        <is>
          <t>IV6801106</t>
        </is>
      </c>
      <c r="L2494" s="8" t="inlineStr">
        <is>
          <t>ราคารวม VAT แล้ว</t>
        </is>
      </c>
    </row>
    <row r="2496">
      <c r="B2496" s="6" t="inlineStr">
        <is>
          <t>แม่สี มุกแดงสด SC-204</t>
        </is>
      </c>
      <c r="C2496" s="8" t="inlineStr">
        <is>
          <t>1กป.</t>
        </is>
      </c>
      <c r="D2496" s="9" t="n">
        <v>1400</v>
      </c>
      <c r="H2496" s="9" t="n">
        <v>1400</v>
      </c>
      <c r="I2496" s="10" t="inlineStr">
        <is>
          <t>บจก. วีที คัลเลอร์ โปร</t>
        </is>
      </c>
      <c r="J2496" s="161" t="n">
        <v>24271</v>
      </c>
      <c r="K2496" s="8" t="inlineStr">
        <is>
          <t>IV329-66</t>
        </is>
      </c>
      <c r="L2496" s="8" t="inlineStr">
        <is>
          <t>ราคายังไม่รวม VAT</t>
        </is>
      </c>
    </row>
    <row r="2497">
      <c r="B2497" s="6" t="inlineStr">
        <is>
          <t>แม่สี มุกแดงสด Hybrid S204</t>
        </is>
      </c>
      <c r="C2497" s="8" t="inlineStr">
        <is>
          <t>1กป.</t>
        </is>
      </c>
      <c r="D2497" s="9" t="n">
        <v>1400</v>
      </c>
      <c r="H2497" s="9" t="n">
        <v>1400</v>
      </c>
      <c r="I2497" s="10" t="inlineStr">
        <is>
          <t>บจก. วีที คัลเลอร์ โปร</t>
        </is>
      </c>
      <c r="J2497" s="161" t="n">
        <v>24315</v>
      </c>
      <c r="K2497" s="8" t="inlineStr">
        <is>
          <t>IV423-66</t>
        </is>
      </c>
      <c r="L2497" s="8" t="inlineStr">
        <is>
          <t>ราคายังไม่รวม VAT</t>
        </is>
      </c>
    </row>
    <row r="2499">
      <c r="B2499" s="6" t="inlineStr">
        <is>
          <t>แม่สี มุกแดงสด SC-205</t>
        </is>
      </c>
      <c r="C2499" s="8" t="inlineStr">
        <is>
          <t>1กป.</t>
        </is>
      </c>
      <c r="D2499" s="9" t="n">
        <v>1400</v>
      </c>
      <c r="H2499" s="9" t="n">
        <v>1400</v>
      </c>
      <c r="I2499" s="10" t="inlineStr">
        <is>
          <t>บจก. วีที คัลเลอร์ โปร</t>
        </is>
      </c>
      <c r="J2499" s="161" t="n">
        <v>24160</v>
      </c>
      <c r="K2499" s="8" t="inlineStr">
        <is>
          <t>IV113-66</t>
        </is>
      </c>
      <c r="L2499" s="8" t="inlineStr">
        <is>
          <t>ราคายังไม่รวม VAT</t>
        </is>
      </c>
    </row>
    <row r="2500">
      <c r="B2500" s="6" t="inlineStr">
        <is>
          <t>แม่สี มุกแดงสด SC-205</t>
        </is>
      </c>
      <c r="C2500" s="8" t="inlineStr">
        <is>
          <t>2กป.</t>
        </is>
      </c>
      <c r="D2500" s="9" t="n">
        <v>1400</v>
      </c>
      <c r="H2500" s="9" t="n">
        <v>2800</v>
      </c>
      <c r="I2500" s="10" t="inlineStr">
        <is>
          <t>บจก. วีที คัลเลอร์ โปร</t>
        </is>
      </c>
      <c r="J2500" s="161" t="n">
        <v>24271</v>
      </c>
      <c r="K2500" s="8" t="inlineStr">
        <is>
          <t>IV329-66</t>
        </is>
      </c>
      <c r="L2500" s="8" t="inlineStr">
        <is>
          <t>ราคายังไม่รวม VAT</t>
        </is>
      </c>
    </row>
    <row r="2501">
      <c r="B2501" s="6" t="inlineStr">
        <is>
          <t>แม่สี มุกแดงสด Hybrid S205</t>
        </is>
      </c>
      <c r="C2501" s="8" t="inlineStr">
        <is>
          <t>1กป.</t>
        </is>
      </c>
      <c r="D2501" s="9" t="n">
        <v>1400</v>
      </c>
      <c r="H2501" s="9" t="n">
        <v>1400</v>
      </c>
      <c r="I2501" s="10" t="inlineStr">
        <is>
          <t>บจก. วีที คัลเลอร์ โปร</t>
        </is>
      </c>
      <c r="J2501" s="161" t="n">
        <v>24315</v>
      </c>
      <c r="K2501" s="8" t="inlineStr">
        <is>
          <t>IV423-66</t>
        </is>
      </c>
      <c r="L2501" s="8" t="inlineStr">
        <is>
          <t>ราคายังไม่รวม VAT</t>
        </is>
      </c>
    </row>
    <row r="2502">
      <c r="B2502" s="6" t="inlineStr">
        <is>
          <t>แม่สี มุกแดงสด Hybrid S205</t>
        </is>
      </c>
      <c r="C2502" s="8" t="n">
        <v>1</v>
      </c>
      <c r="D2502" s="9" t="n">
        <v>1400</v>
      </c>
      <c r="H2502" s="9">
        <f>SUM(D2502*C2502)</f>
        <v/>
      </c>
      <c r="I2502" s="10" t="inlineStr">
        <is>
          <t>บจก. วีที คัลเลอร์ โปร</t>
        </is>
      </c>
      <c r="J2502" s="161" t="n">
        <v>24550</v>
      </c>
      <c r="K2502" s="8" t="inlineStr">
        <is>
          <t>IV6703088</t>
        </is>
      </c>
      <c r="L2502" s="8" t="inlineStr">
        <is>
          <t>ราคายังไม่รวม VAT</t>
        </is>
      </c>
    </row>
    <row r="2503">
      <c r="B2503" s="6" t="inlineStr">
        <is>
          <t>แม่สี มุกแดงสด Hybrid S205</t>
        </is>
      </c>
      <c r="C2503" s="8" t="n">
        <v>1</v>
      </c>
      <c r="D2503" s="9" t="n">
        <v>1400</v>
      </c>
      <c r="H2503" s="9">
        <f>SUM(D2503*C2503)</f>
        <v/>
      </c>
      <c r="I2503" s="10" t="inlineStr">
        <is>
          <t>บจก. วีที คัลเลอร์ โปร</t>
        </is>
      </c>
      <c r="J2503" s="161" t="n">
        <v>24739</v>
      </c>
      <c r="K2503" s="8" t="inlineStr">
        <is>
          <t>IV6709122</t>
        </is>
      </c>
      <c r="L2503" s="8" t="inlineStr">
        <is>
          <t>ราคายังไม่รวม VAT</t>
        </is>
      </c>
    </row>
    <row r="2505">
      <c r="B2505" s="6" t="inlineStr">
        <is>
          <t>แม่สี มุกโอปอ SC-210</t>
        </is>
      </c>
      <c r="C2505" s="8" t="inlineStr">
        <is>
          <t>1กป.</t>
        </is>
      </c>
      <c r="D2505" s="9" t="n">
        <v>1400</v>
      </c>
      <c r="H2505" s="9" t="n">
        <v>1400</v>
      </c>
      <c r="I2505" s="10" t="inlineStr">
        <is>
          <t>บจก. วีที คัลเลอร์ โปร</t>
        </is>
      </c>
      <c r="J2505" s="161" t="n">
        <v>24089</v>
      </c>
      <c r="K2505" s="8" t="inlineStr">
        <is>
          <t>IV308-65</t>
        </is>
      </c>
      <c r="L2505" s="8" t="inlineStr">
        <is>
          <t>ราคายังไม่รวม VAT</t>
        </is>
      </c>
    </row>
    <row r="2506">
      <c r="B2506" s="6" t="inlineStr">
        <is>
          <t>แม่สี มุกโอปอ Hybrid S210</t>
        </is>
      </c>
      <c r="C2506" s="8" t="n">
        <v>1</v>
      </c>
      <c r="D2506" s="9" t="n">
        <v>1400</v>
      </c>
      <c r="H2506" s="9">
        <f>SUM(D2506*C2506)</f>
        <v/>
      </c>
      <c r="I2506" s="10" t="inlineStr">
        <is>
          <t>บจก. วีที คัลเลอร์ โปร</t>
        </is>
      </c>
      <c r="J2506" s="161" t="n">
        <v>24404</v>
      </c>
      <c r="K2506" s="8" t="inlineStr">
        <is>
          <t>IV619-66</t>
        </is>
      </c>
      <c r="L2506" s="8" t="inlineStr">
        <is>
          <t>ราคายังไม่รวม VAT</t>
        </is>
      </c>
    </row>
    <row r="2507">
      <c r="B2507" s="6" t="inlineStr">
        <is>
          <t>แม่สี มุกโอปอ Hybrid S210</t>
        </is>
      </c>
      <c r="C2507" s="8" t="n">
        <v>1</v>
      </c>
      <c r="D2507" s="9" t="n">
        <v>1400</v>
      </c>
      <c r="H2507" s="9">
        <f>SUM(D2507*C2507)</f>
        <v/>
      </c>
      <c r="I2507" s="10" t="inlineStr">
        <is>
          <t>บจก. วีที คัลเลอร์ โปร</t>
        </is>
      </c>
      <c r="J2507" s="161" t="n">
        <v>24584</v>
      </c>
      <c r="K2507" s="8" t="inlineStr">
        <is>
          <t>IV6704071</t>
        </is>
      </c>
      <c r="L2507" s="8" t="inlineStr">
        <is>
          <t>ราคายังไม่รวม VAT</t>
        </is>
      </c>
      <c r="N2507" s="6" t="n">
        <v>100</v>
      </c>
      <c r="O2507" s="6" t="n">
        <v>107</v>
      </c>
    </row>
    <row r="2508">
      <c r="B2508" s="6" t="inlineStr">
        <is>
          <t>แม่สี มุกโอปอ Hybrid S210</t>
        </is>
      </c>
      <c r="C2508" s="8" t="n">
        <v>4</v>
      </c>
      <c r="D2508" s="9" t="n">
        <v>1400</v>
      </c>
      <c r="E2508" s="9">
        <f>SUM(C2508*D2508)</f>
        <v/>
      </c>
      <c r="G2508" s="10" t="inlineStr">
        <is>
          <t>ยอดรวม VAT =</t>
        </is>
      </c>
      <c r="H2508" s="9">
        <f>SUM(E2508*O2507/N2507)</f>
        <v/>
      </c>
      <c r="I2508" s="10" t="inlineStr">
        <is>
          <t>บจก. วีที คัลเลอร์ โปร</t>
        </is>
      </c>
      <c r="J2508" s="161" t="n">
        <v>25083</v>
      </c>
      <c r="K2508" s="8" t="inlineStr">
        <is>
          <t>IV6809023</t>
        </is>
      </c>
    </row>
    <row r="2510">
      <c r="B2510" s="6" t="inlineStr">
        <is>
          <t>แม่สี Matrix  M-211 (สีบรอนซ์หลัก)</t>
        </is>
      </c>
      <c r="C2510" s="8" t="inlineStr">
        <is>
          <t>12กป.</t>
        </is>
      </c>
      <c r="D2510" s="9" t="n">
        <v>930</v>
      </c>
      <c r="F2510" s="8" t="n">
        <v>10</v>
      </c>
      <c r="H2510" s="9" t="n">
        <v>11160</v>
      </c>
      <c r="I2510" s="10" t="inlineStr">
        <is>
          <t>ทรัพย์สินไทย</t>
        </is>
      </c>
      <c r="J2510" s="161" t="n">
        <v>22790</v>
      </c>
      <c r="L2510" s="8" t="inlineStr">
        <is>
          <t>ราคาที่ระบุเป็นก่อนหักส่วนลด</t>
        </is>
      </c>
    </row>
    <row r="2511">
      <c r="B2511" s="6" t="inlineStr">
        <is>
          <t>แม่สี Matrix  M-211 (สีบรอนซ์หลัก)</t>
        </is>
      </c>
      <c r="C2511" s="8" t="inlineStr">
        <is>
          <t>6กป.</t>
        </is>
      </c>
      <c r="D2511" s="9" t="n">
        <v>930</v>
      </c>
      <c r="F2511" s="8" t="n">
        <v>10</v>
      </c>
      <c r="H2511" s="9" t="n">
        <v>5580</v>
      </c>
      <c r="I2511" s="10" t="inlineStr">
        <is>
          <t>ทรัพย์สินไทย</t>
        </is>
      </c>
      <c r="J2511" s="161" t="n">
        <v>22429</v>
      </c>
      <c r="L2511" s="8" t="inlineStr">
        <is>
          <t>ราคาที่ระบุเป็นก่อนหักส่วนลด</t>
        </is>
      </c>
    </row>
    <row r="2512">
      <c r="B2512" s="6" t="inlineStr">
        <is>
          <t>แม่สี Matrix  M-211 (สีบรอนซ์หลัก)</t>
        </is>
      </c>
      <c r="C2512" s="8" t="inlineStr">
        <is>
          <t>6กป.</t>
        </is>
      </c>
      <c r="D2512" s="9" t="n">
        <v>930</v>
      </c>
      <c r="F2512" s="8" t="n">
        <v>10</v>
      </c>
      <c r="H2512" s="9" t="n">
        <v>5580</v>
      </c>
      <c r="I2512" s="10" t="inlineStr">
        <is>
          <t>ทรัพย์สินไทย</t>
        </is>
      </c>
      <c r="J2512" s="161" t="n">
        <v>22804</v>
      </c>
      <c r="L2512" s="8" t="inlineStr">
        <is>
          <t>ราคาที่ระบุเป็นก่อนหักส่วนลด</t>
        </is>
      </c>
    </row>
    <row r="2513">
      <c r="B2513" s="6" t="inlineStr">
        <is>
          <t>แม่สี Matrix  M-211 (สีบรอนซ์หลัก)</t>
        </is>
      </c>
      <c r="C2513" s="8" t="inlineStr">
        <is>
          <t>6กป.</t>
        </is>
      </c>
      <c r="D2513" s="9" t="n">
        <v>930</v>
      </c>
      <c r="F2513" s="8" t="n">
        <v>10</v>
      </c>
      <c r="H2513" s="9" t="n">
        <v>5580</v>
      </c>
      <c r="I2513" s="10" t="inlineStr">
        <is>
          <t>ทรัพย์สินไทย</t>
        </is>
      </c>
      <c r="J2513" s="161" t="n">
        <v>22821</v>
      </c>
      <c r="L2513" s="8" t="inlineStr">
        <is>
          <t>ราคาที่ระบุเป็นก่อนหักส่วนลด</t>
        </is>
      </c>
    </row>
    <row r="2514">
      <c r="B2514" s="6" t="inlineStr">
        <is>
          <t>แม่สี Matrix  M-211 (สีบรอนซ์หลัก)</t>
        </is>
      </c>
      <c r="C2514" s="8" t="inlineStr">
        <is>
          <t>6กป.</t>
        </is>
      </c>
      <c r="D2514" s="9" t="n">
        <v>930</v>
      </c>
      <c r="F2514" s="8" t="n">
        <v>10</v>
      </c>
      <c r="H2514" s="9" t="n">
        <v>5580</v>
      </c>
      <c r="I2514" s="10" t="inlineStr">
        <is>
          <t>ทรัพย์สินไทย</t>
        </is>
      </c>
      <c r="J2514" s="161" t="n">
        <v>22822</v>
      </c>
      <c r="L2514" s="8" t="inlineStr">
        <is>
          <t>ราคาที่ระบุเป็นก่อนหักส่วนลด</t>
        </is>
      </c>
    </row>
    <row r="2515">
      <c r="B2515" s="6" t="inlineStr">
        <is>
          <t>แม่สี Matrix  M-211 (สีบรอนซ์หลัก)</t>
        </is>
      </c>
      <c r="C2515" s="8" t="inlineStr">
        <is>
          <t>12กป.</t>
        </is>
      </c>
      <c r="D2515" s="9" t="n">
        <v>930</v>
      </c>
      <c r="F2515" s="8" t="n">
        <v>10</v>
      </c>
      <c r="H2515" s="9" t="n">
        <v>11160</v>
      </c>
      <c r="I2515" s="10" t="inlineStr">
        <is>
          <t>ทรัพย์สินไทย</t>
        </is>
      </c>
      <c r="J2515" s="161" t="n">
        <v>22851</v>
      </c>
      <c r="L2515" s="8" t="inlineStr">
        <is>
          <t>ราคาที่ระบุเป็นก่อนหักส่วนลด</t>
        </is>
      </c>
    </row>
    <row r="2516">
      <c r="B2516" s="6" t="inlineStr">
        <is>
          <t>แม่สี Matrix  M-211 (สีบรอนซ์หลัก)</t>
        </is>
      </c>
      <c r="C2516" s="8" t="inlineStr">
        <is>
          <t>18กป.</t>
        </is>
      </c>
      <c r="D2516" s="9" t="n">
        <v>930</v>
      </c>
      <c r="F2516" s="8" t="n">
        <v>10</v>
      </c>
      <c r="H2516" s="9" t="n">
        <v>16740</v>
      </c>
      <c r="I2516" s="10" t="inlineStr">
        <is>
          <t>ทรัพย์สินไทย</t>
        </is>
      </c>
      <c r="J2516" s="161" t="n">
        <v>22884</v>
      </c>
      <c r="L2516" s="8" t="inlineStr">
        <is>
          <t>ราคาที่ระบุเป็นก่อนหักส่วนลด</t>
        </is>
      </c>
    </row>
    <row r="2517">
      <c r="B2517" s="6" t="inlineStr">
        <is>
          <t>แม่สี Matrix  M-211 (สีบรอนซ์หลัก)</t>
        </is>
      </c>
      <c r="C2517" s="8" t="inlineStr">
        <is>
          <t>6กป.</t>
        </is>
      </c>
      <c r="D2517" s="9" t="n">
        <v>930</v>
      </c>
      <c r="F2517" s="8" t="n">
        <v>10</v>
      </c>
      <c r="H2517" s="9" t="n">
        <v>5580</v>
      </c>
      <c r="I2517" s="10" t="inlineStr">
        <is>
          <t>ทรัพย์สินไทย</t>
        </is>
      </c>
      <c r="J2517" s="161" t="n">
        <v>23038</v>
      </c>
      <c r="L2517" s="8" t="inlineStr">
        <is>
          <t>ราคาที่ระบุเป็นก่อนหักส่วนลด</t>
        </is>
      </c>
    </row>
    <row r="2518">
      <c r="B2518" s="6" t="inlineStr">
        <is>
          <t>แม่สี Matrix  M-211 (สีบรอนซ์หลัก)</t>
        </is>
      </c>
      <c r="C2518" s="8" t="inlineStr">
        <is>
          <t>18กป.</t>
        </is>
      </c>
      <c r="D2518" s="9" t="n">
        <v>930</v>
      </c>
      <c r="F2518" s="8" t="n">
        <v>10</v>
      </c>
      <c r="H2518" s="9" t="n">
        <v>16740</v>
      </c>
      <c r="I2518" s="10" t="inlineStr">
        <is>
          <t>ทรัพย์สินไทย</t>
        </is>
      </c>
      <c r="J2518" s="161" t="n">
        <v>23062</v>
      </c>
      <c r="L2518" s="8" t="inlineStr">
        <is>
          <t>ราคาที่ระบุเป็นก่อนหักส่วนลด</t>
        </is>
      </c>
    </row>
    <row r="2519">
      <c r="B2519" s="6" t="inlineStr">
        <is>
          <t>แม่สี Matrix  M-211 (สีบรอนซ์หลัก)</t>
        </is>
      </c>
      <c r="C2519" s="8" t="inlineStr">
        <is>
          <t>12กป.</t>
        </is>
      </c>
      <c r="D2519" s="9" t="n">
        <v>930</v>
      </c>
      <c r="F2519" s="8" t="n">
        <v>10</v>
      </c>
      <c r="H2519" s="9" t="n">
        <v>11160</v>
      </c>
      <c r="I2519" s="10" t="inlineStr">
        <is>
          <t>ทรัพย์สินไทย</t>
        </is>
      </c>
      <c r="J2519" s="161" t="n">
        <v>23094</v>
      </c>
      <c r="L2519" s="8" t="inlineStr">
        <is>
          <t>ราคาที่ระบุเป็นก่อนหักส่วนลด</t>
        </is>
      </c>
    </row>
    <row r="2520">
      <c r="B2520" s="6" t="inlineStr">
        <is>
          <t>แม่สี Matrix  M-211 (สีบรอนซ์หลัก)</t>
        </is>
      </c>
      <c r="C2520" s="8" t="inlineStr">
        <is>
          <t>6กป.</t>
        </is>
      </c>
      <c r="D2520" s="9" t="n">
        <v>930</v>
      </c>
      <c r="F2520" s="8" t="n">
        <v>10</v>
      </c>
      <c r="H2520" s="9" t="n">
        <v>5580</v>
      </c>
      <c r="I2520" s="10" t="inlineStr">
        <is>
          <t>ทรัพย์สินไทย</t>
        </is>
      </c>
      <c r="J2520" s="161" t="n">
        <v>23107</v>
      </c>
      <c r="L2520" s="8" t="inlineStr">
        <is>
          <t>ราคาที่ระบุเป็นก่อนหักส่วนลด</t>
        </is>
      </c>
    </row>
    <row r="2521">
      <c r="B2521" s="6" t="inlineStr">
        <is>
          <t>แม่สี Matrix  M-211 (สีบรอนซ์หลัก)</t>
        </is>
      </c>
      <c r="C2521" s="8" t="inlineStr">
        <is>
          <t>12กป.</t>
        </is>
      </c>
      <c r="D2521" s="9" t="n">
        <v>930</v>
      </c>
      <c r="F2521" s="8" t="n">
        <v>10</v>
      </c>
      <c r="H2521" s="9" t="n">
        <v>11160</v>
      </c>
      <c r="I2521" s="10" t="inlineStr">
        <is>
          <t>ทรัพย์สินไทย</t>
        </is>
      </c>
      <c r="J2521" s="161" t="n">
        <v>23124</v>
      </c>
      <c r="L2521" s="8" t="inlineStr">
        <is>
          <t>ราคาที่ระบุเป็นก่อนหักส่วนลด</t>
        </is>
      </c>
    </row>
    <row r="2522">
      <c r="B2522" s="6" t="inlineStr">
        <is>
          <t>แม่สี Matrix  M-211 (สีบรอนซ์หลัก)</t>
        </is>
      </c>
      <c r="C2522" s="8" t="inlineStr">
        <is>
          <t>6กป.</t>
        </is>
      </c>
      <c r="D2522" s="9" t="n">
        <v>930</v>
      </c>
      <c r="F2522" s="8" t="n">
        <v>10</v>
      </c>
      <c r="H2522" s="9" t="n">
        <v>5580</v>
      </c>
      <c r="I2522" s="10" t="inlineStr">
        <is>
          <t>ทรัพย์สินไทย</t>
        </is>
      </c>
      <c r="J2522" s="161" t="n">
        <v>23207</v>
      </c>
      <c r="L2522" s="8" t="inlineStr">
        <is>
          <t>ราคาที่ระบุเป็นก่อนหักส่วนลด</t>
        </is>
      </c>
    </row>
    <row r="2523">
      <c r="B2523" s="6" t="inlineStr">
        <is>
          <t>แม่สี Matrix  M-211 (สีบรอนซ์หลัก)</t>
        </is>
      </c>
      <c r="C2523" s="8" t="inlineStr">
        <is>
          <t>12กป.</t>
        </is>
      </c>
      <c r="D2523" s="9" t="n">
        <v>930</v>
      </c>
      <c r="F2523" s="8" t="n">
        <v>10</v>
      </c>
      <c r="H2523" s="9" t="n">
        <v>11160</v>
      </c>
      <c r="I2523" s="10" t="inlineStr">
        <is>
          <t>ทรัพย์สินไทย</t>
        </is>
      </c>
      <c r="J2523" s="161" t="n">
        <v>23216</v>
      </c>
      <c r="L2523" s="8" t="inlineStr">
        <is>
          <t>ราคาที่ระบุเป็นก่อนหักส่วนลด</t>
        </is>
      </c>
    </row>
    <row r="2524">
      <c r="B2524" s="6" t="inlineStr">
        <is>
          <t>แม่สี Matrix  M-211 (สีบรอนซ์หลัก)</t>
        </is>
      </c>
      <c r="C2524" s="8" t="inlineStr">
        <is>
          <t>6กป.</t>
        </is>
      </c>
      <c r="D2524" s="9" t="n">
        <v>930</v>
      </c>
      <c r="F2524" s="8" t="n">
        <v>10</v>
      </c>
      <c r="H2524" s="9" t="n">
        <v>5580</v>
      </c>
      <c r="I2524" s="10" t="inlineStr">
        <is>
          <t>ทรัพย์สินไทย</t>
        </is>
      </c>
      <c r="J2524" s="161" t="n">
        <v>23221</v>
      </c>
      <c r="L2524" s="8" t="inlineStr">
        <is>
          <t>ราคาที่ระบุเป็นก่อนหักส่วนลด</t>
        </is>
      </c>
    </row>
    <row r="2525">
      <c r="B2525" s="6" t="inlineStr">
        <is>
          <t>แม่สี Matrix  M-211 (สีบรอนซ์หลัก)</t>
        </is>
      </c>
      <c r="C2525" s="8" t="inlineStr">
        <is>
          <t>12กป.</t>
        </is>
      </c>
      <c r="D2525" s="9" t="n">
        <v>930</v>
      </c>
      <c r="F2525" s="8" t="n">
        <v>10</v>
      </c>
      <c r="H2525" s="9" t="n">
        <v>11160</v>
      </c>
      <c r="I2525" s="10" t="inlineStr">
        <is>
          <t>ทรัพย์สินไทย</t>
        </is>
      </c>
      <c r="J2525" s="161" t="n">
        <v>23247</v>
      </c>
      <c r="L2525" s="8" t="inlineStr">
        <is>
          <t>ราคาที่ระบุเป็นก่อนหักส่วนลด</t>
        </is>
      </c>
    </row>
    <row r="2526">
      <c r="B2526" s="6" t="inlineStr">
        <is>
          <t>แม่สี Matrix  M-211 (สีบรอนซ์หลัก)</t>
        </is>
      </c>
      <c r="C2526" s="8" t="inlineStr">
        <is>
          <t>12กป.</t>
        </is>
      </c>
      <c r="D2526" s="9" t="n">
        <v>930</v>
      </c>
      <c r="F2526" s="8" t="n">
        <v>10</v>
      </c>
      <c r="H2526" s="9" t="n">
        <v>11160</v>
      </c>
      <c r="I2526" s="10" t="inlineStr">
        <is>
          <t>ทรัพย์สินไทย</t>
        </is>
      </c>
      <c r="J2526" s="161" t="n">
        <v>23277</v>
      </c>
      <c r="L2526" s="8" t="inlineStr">
        <is>
          <t>ราคาที่ระบุเป็นก่อนหักส่วนลด</t>
        </is>
      </c>
    </row>
    <row r="2527">
      <c r="B2527" s="6" t="inlineStr">
        <is>
          <t>แม่สี Matrix  M-211 (สีบรอนซ์หลัก)</t>
        </is>
      </c>
      <c r="C2527" s="8" t="inlineStr">
        <is>
          <t>6กป.</t>
        </is>
      </c>
      <c r="D2527" s="9" t="n">
        <v>930</v>
      </c>
      <c r="F2527" s="8" t="n">
        <v>10</v>
      </c>
      <c r="H2527" s="9" t="n">
        <v>5580</v>
      </c>
      <c r="I2527" s="10" t="inlineStr">
        <is>
          <t>ทรัพย์สินไทย</t>
        </is>
      </c>
      <c r="J2527" s="161" t="n">
        <v>23305</v>
      </c>
      <c r="L2527" s="8" t="inlineStr">
        <is>
          <t>ราคาที่ระบุเป็นก่อนหักส่วนลด</t>
        </is>
      </c>
    </row>
    <row r="2528">
      <c r="B2528" s="6" t="inlineStr">
        <is>
          <t>แม่สี Matrix  M-211 (สีบรอนซ์หลัก)</t>
        </is>
      </c>
      <c r="C2528" s="8" t="inlineStr">
        <is>
          <t>6กป.</t>
        </is>
      </c>
      <c r="D2528" s="9" t="n">
        <v>930</v>
      </c>
      <c r="F2528" s="8" t="n">
        <v>10</v>
      </c>
      <c r="H2528" s="9" t="n">
        <v>5580</v>
      </c>
      <c r="I2528" s="10" t="inlineStr">
        <is>
          <t>ทรัพย์สินไทย</t>
        </is>
      </c>
      <c r="J2528" s="161" t="n">
        <v>23340</v>
      </c>
      <c r="L2528" s="8" t="inlineStr">
        <is>
          <t>ราคาที่ระบุเป็นก่อนหักส่วนลด</t>
        </is>
      </c>
    </row>
    <row r="2529">
      <c r="B2529" s="6" t="inlineStr">
        <is>
          <t>แม่สี Matrix  M-211 (สีบรอนซ์หลัก)</t>
        </is>
      </c>
      <c r="C2529" s="8" t="inlineStr">
        <is>
          <t>18กป.</t>
        </is>
      </c>
      <c r="D2529" s="9" t="n">
        <v>930</v>
      </c>
      <c r="F2529" s="8" t="n">
        <v>10</v>
      </c>
      <c r="H2529" s="9" t="n">
        <v>16740</v>
      </c>
      <c r="I2529" s="10" t="inlineStr">
        <is>
          <t>ทรัพย์สินไทย</t>
        </is>
      </c>
      <c r="J2529" s="161" t="n">
        <v>23366</v>
      </c>
      <c r="L2529" s="8" t="inlineStr">
        <is>
          <t>ราคาที่ระบุเป็นก่อนหักส่วนลด</t>
        </is>
      </c>
    </row>
    <row r="2530">
      <c r="B2530" s="6" t="inlineStr">
        <is>
          <t>แม่สี Matrix  M-211 (สีบรอนซ์หลัก)</t>
        </is>
      </c>
      <c r="C2530" s="8" t="inlineStr">
        <is>
          <t>18กป.</t>
        </is>
      </c>
      <c r="D2530" s="9" t="n">
        <v>930</v>
      </c>
      <c r="F2530" s="8" t="n">
        <v>10</v>
      </c>
      <c r="H2530" s="9" t="n">
        <v>16740</v>
      </c>
      <c r="I2530" s="10" t="inlineStr">
        <is>
          <t>ทรัพย์สินไทย</t>
        </is>
      </c>
      <c r="J2530" s="161" t="n">
        <v>23430</v>
      </c>
      <c r="L2530" s="8" t="inlineStr">
        <is>
          <t>ราคาที่ระบุเป็นก่อนหักส่วนลด</t>
        </is>
      </c>
    </row>
    <row r="2531">
      <c r="B2531" s="6" t="inlineStr">
        <is>
          <t>แม่สี Matrix  M-211 (สีบรอนซ์หลัก)</t>
        </is>
      </c>
      <c r="C2531" s="8" t="inlineStr">
        <is>
          <t>18กป.</t>
        </is>
      </c>
      <c r="D2531" s="9" t="n">
        <v>930</v>
      </c>
      <c r="F2531" s="8" t="n">
        <v>10</v>
      </c>
      <c r="H2531" s="9" t="n">
        <v>16740</v>
      </c>
      <c r="I2531" s="10" t="inlineStr">
        <is>
          <t>ทรัพย์สินไทย</t>
        </is>
      </c>
      <c r="J2531" s="161" t="n">
        <v>23460</v>
      </c>
      <c r="L2531" s="8" t="inlineStr">
        <is>
          <t>ราคาที่ระบุเป็นก่อนหักส่วนลด</t>
        </is>
      </c>
    </row>
    <row r="2532">
      <c r="B2532" s="6" t="inlineStr">
        <is>
          <t>แม่สี Matrix  M-211 (สีบรอนซ์หลัก)</t>
        </is>
      </c>
      <c r="C2532" s="8" t="inlineStr">
        <is>
          <t>12กป.</t>
        </is>
      </c>
      <c r="D2532" s="9" t="n">
        <v>930</v>
      </c>
      <c r="F2532" s="8" t="n">
        <v>10</v>
      </c>
      <c r="H2532" s="9" t="n">
        <v>11160</v>
      </c>
      <c r="I2532" s="10" t="inlineStr">
        <is>
          <t>ทรัพย์สินไทย</t>
        </is>
      </c>
      <c r="J2532" s="161" t="n">
        <v>23546</v>
      </c>
      <c r="L2532" s="8" t="inlineStr">
        <is>
          <t>ราคาที่ระบุเป็นก่อนหักส่วนลด</t>
        </is>
      </c>
    </row>
    <row r="2533">
      <c r="B2533" s="6" t="inlineStr">
        <is>
          <t>แม่สี Matrix  M-211 (สีบรอนซ์หลัก)</t>
        </is>
      </c>
      <c r="C2533" s="8" t="inlineStr">
        <is>
          <t>6กป.</t>
        </is>
      </c>
      <c r="D2533" s="9" t="n">
        <v>930</v>
      </c>
      <c r="F2533" s="8" t="n">
        <v>10</v>
      </c>
      <c r="H2533" s="9" t="n">
        <v>5580</v>
      </c>
      <c r="I2533" s="10" t="inlineStr">
        <is>
          <t>ทรัพย์สินไทย</t>
        </is>
      </c>
      <c r="J2533" s="161" t="n">
        <v>23584</v>
      </c>
      <c r="L2533" s="8" t="inlineStr">
        <is>
          <t>ราคาที่ระบุเป็นก่อนหักส่วนลด</t>
        </is>
      </c>
    </row>
    <row r="2534">
      <c r="B2534" s="6" t="inlineStr">
        <is>
          <t>แม่สี Matrix  M-211 (สีบรอนซ์หลัก)</t>
        </is>
      </c>
      <c r="C2534" s="8" t="inlineStr">
        <is>
          <t>6กป.</t>
        </is>
      </c>
      <c r="D2534" s="9" t="n">
        <v>930</v>
      </c>
      <c r="F2534" s="8" t="n">
        <v>10</v>
      </c>
      <c r="H2534" s="9" t="n">
        <v>5580</v>
      </c>
      <c r="I2534" s="10" t="inlineStr">
        <is>
          <t>ทรัพย์สินไทย</t>
        </is>
      </c>
      <c r="J2534" s="161" t="n">
        <v>23615</v>
      </c>
      <c r="L2534" s="8" t="inlineStr">
        <is>
          <t>ราคาที่ระบุเป็นก่อนหักส่วนลด</t>
        </is>
      </c>
    </row>
    <row r="2535">
      <c r="B2535" s="6" t="inlineStr">
        <is>
          <t>แม่สี Matrix  M-211 (สีบรอนซ์หลัก)</t>
        </is>
      </c>
      <c r="C2535" s="8" t="inlineStr">
        <is>
          <t>12กป.</t>
        </is>
      </c>
      <c r="D2535" s="9" t="n">
        <v>930</v>
      </c>
      <c r="F2535" s="8" t="n">
        <v>10</v>
      </c>
      <c r="H2535" s="9" t="n">
        <v>11160</v>
      </c>
      <c r="I2535" s="10" t="inlineStr">
        <is>
          <t>ทรัพย์สินไทย</t>
        </is>
      </c>
      <c r="J2535" s="161" t="n">
        <v>23642</v>
      </c>
      <c r="K2535" s="8" t="inlineStr">
        <is>
          <t>IV6409285</t>
        </is>
      </c>
      <c r="L2535" s="8" t="inlineStr">
        <is>
          <t>ราคาที่ระบุเป็นก่อนหักส่วนลด</t>
        </is>
      </c>
    </row>
    <row r="2536">
      <c r="B2536" s="6" t="inlineStr">
        <is>
          <t>แม่สี Matrix  M-211 (สีบรอนซ์หลัก)</t>
        </is>
      </c>
      <c r="C2536" s="8" t="inlineStr">
        <is>
          <t>6กป.</t>
        </is>
      </c>
      <c r="D2536" s="9" t="n">
        <v>930</v>
      </c>
      <c r="F2536" s="8" t="n">
        <v>10</v>
      </c>
      <c r="H2536" s="9" t="n">
        <v>5580</v>
      </c>
      <c r="I2536" s="10" t="inlineStr">
        <is>
          <t>ทรัพย์สินไทย</t>
        </is>
      </c>
      <c r="J2536" s="161" t="n">
        <v>23676</v>
      </c>
      <c r="K2536" s="8" t="inlineStr">
        <is>
          <t>IV6410364</t>
        </is>
      </c>
      <c r="L2536" s="8" t="inlineStr">
        <is>
          <t>ราคาที่ระบุเป็นก่อนหักส่วนลด</t>
        </is>
      </c>
    </row>
    <row r="2537">
      <c r="B2537" s="6" t="inlineStr">
        <is>
          <t>แม่สี Matrix  M-211 (สีบรอนซ์หลัก)</t>
        </is>
      </c>
      <c r="C2537" s="8" t="inlineStr">
        <is>
          <t>6กป.</t>
        </is>
      </c>
      <c r="D2537" s="9" t="n">
        <v>930</v>
      </c>
      <c r="F2537" s="8" t="n">
        <v>10</v>
      </c>
      <c r="H2537" s="9" t="n">
        <v>5580</v>
      </c>
      <c r="I2537" s="10" t="inlineStr">
        <is>
          <t>ทรัพย์สินไทย</t>
        </is>
      </c>
      <c r="J2537" s="161" t="n">
        <v>23704</v>
      </c>
      <c r="K2537" s="8" t="inlineStr">
        <is>
          <t>IV6411319</t>
        </is>
      </c>
      <c r="L2537" s="8" t="inlineStr">
        <is>
          <t>ราคาที่ระบุเป็นก่อนหักส่วนลด</t>
        </is>
      </c>
    </row>
    <row r="2538">
      <c r="B2538" s="6" t="inlineStr">
        <is>
          <t>แม่สี Matrix  M-211 (สีบรอนซ์หลัก)</t>
        </is>
      </c>
      <c r="C2538" s="8" t="inlineStr">
        <is>
          <t>12กป.</t>
        </is>
      </c>
      <c r="D2538" s="9" t="n">
        <v>930</v>
      </c>
      <c r="F2538" s="8" t="n">
        <v>10</v>
      </c>
      <c r="H2538" s="9" t="n">
        <v>11160</v>
      </c>
      <c r="I2538" s="10" t="inlineStr">
        <is>
          <t>ทรัพย์สินไทย</t>
        </is>
      </c>
      <c r="J2538" s="161" t="n">
        <v>23763</v>
      </c>
      <c r="K2538" s="8" t="inlineStr">
        <is>
          <t>IV6501225</t>
        </is>
      </c>
      <c r="L2538" s="8" t="inlineStr">
        <is>
          <t>ราคาที่ระบุเป็นก่อนหักส่วนลด</t>
        </is>
      </c>
    </row>
    <row r="2539">
      <c r="B2539" s="6" t="inlineStr">
        <is>
          <t>แม่สี Matrix  M-211 (สีบรอนซ์หลัก)</t>
        </is>
      </c>
      <c r="C2539" s="8" t="inlineStr">
        <is>
          <t>18กป.</t>
        </is>
      </c>
      <c r="D2539" s="9" t="n">
        <v>930</v>
      </c>
      <c r="F2539" s="8" t="n">
        <v>10</v>
      </c>
      <c r="H2539" s="9" t="n">
        <v>16740</v>
      </c>
      <c r="I2539" s="10" t="inlineStr">
        <is>
          <t>ทรัพย์สินไทย</t>
        </is>
      </c>
      <c r="J2539" s="161" t="n">
        <v>23824</v>
      </c>
      <c r="K2539" s="8" t="inlineStr">
        <is>
          <t>IV6503300</t>
        </is>
      </c>
      <c r="L2539" s="8" t="inlineStr">
        <is>
          <t>ราคาที่ระบุเป็นก่อนหักส่วนลด</t>
        </is>
      </c>
    </row>
    <row r="2540">
      <c r="B2540" s="6" t="inlineStr">
        <is>
          <t>แม่สี Matrix  M-211 (สีบรอนซ์หลัก)</t>
        </is>
      </c>
      <c r="C2540" s="8" t="inlineStr">
        <is>
          <t>12กป.</t>
        </is>
      </c>
      <c r="D2540" s="9" t="n">
        <v>930</v>
      </c>
      <c r="F2540" s="8" t="n">
        <v>10</v>
      </c>
      <c r="H2540" s="9" t="n">
        <v>11160</v>
      </c>
      <c r="I2540" s="10" t="inlineStr">
        <is>
          <t>ทรัพย์สินไทย</t>
        </is>
      </c>
      <c r="J2540" s="161" t="n">
        <v>23887</v>
      </c>
      <c r="K2540" s="8" t="inlineStr">
        <is>
          <t>IV6505291</t>
        </is>
      </c>
      <c r="L2540" s="8" t="inlineStr">
        <is>
          <t>ราคาที่ระบุเป็นก่อนหักส่วนลด</t>
        </is>
      </c>
    </row>
    <row r="2541">
      <c r="B2541" s="6" t="inlineStr">
        <is>
          <t>แม่สี Matrix  M-211 (สีบรอนซ์หลัก)</t>
        </is>
      </c>
      <c r="C2541" s="8" t="inlineStr">
        <is>
          <t>12กป.</t>
        </is>
      </c>
      <c r="D2541" s="9" t="n">
        <v>930</v>
      </c>
      <c r="F2541" s="8" t="n">
        <v>10</v>
      </c>
      <c r="H2541" s="9" t="n">
        <v>11160</v>
      </c>
      <c r="I2541" s="10" t="inlineStr">
        <is>
          <t>ทรัพย์สินไทย</t>
        </is>
      </c>
      <c r="J2541" s="161" t="n">
        <v>23920</v>
      </c>
      <c r="K2541" s="8" t="inlineStr">
        <is>
          <t>IV6506336</t>
        </is>
      </c>
      <c r="L2541" s="8" t="inlineStr">
        <is>
          <t>ราคาที่ระบุเป็นก่อนหักส่วนลด</t>
        </is>
      </c>
    </row>
    <row r="2542">
      <c r="B2542" s="6" t="inlineStr">
        <is>
          <t>แม่สีบรอนซ์หยาบพิเศษ SC-211</t>
        </is>
      </c>
      <c r="C2542" s="8" t="inlineStr">
        <is>
          <t>12กป.</t>
        </is>
      </c>
      <c r="D2542" s="9" t="n">
        <v>800</v>
      </c>
      <c r="H2542" s="9" t="n">
        <v>9600</v>
      </c>
      <c r="I2542" s="10" t="inlineStr">
        <is>
          <t>บจก. วีที คัลเลอร์ โปร</t>
        </is>
      </c>
      <c r="J2542" s="161" t="n">
        <v>24005</v>
      </c>
      <c r="K2542" s="8" t="inlineStr">
        <is>
          <t>IV184-65</t>
        </is>
      </c>
      <c r="L2542" s="8" t="inlineStr">
        <is>
          <t>ราคาที่ระบุเป็นก่อนหักส่วนลด</t>
        </is>
      </c>
    </row>
    <row r="2543">
      <c r="B2543" s="6" t="inlineStr">
        <is>
          <t>แม่สีบรอนซ์หยาบพิเศษ SC-211</t>
        </is>
      </c>
      <c r="C2543" s="8" t="inlineStr">
        <is>
          <t>6กป.</t>
        </is>
      </c>
      <c r="D2543" s="9" t="n">
        <v>800</v>
      </c>
      <c r="H2543" s="9" t="n">
        <v>4800</v>
      </c>
      <c r="I2543" s="10" t="inlineStr">
        <is>
          <t>บจก. วีที คัลเลอร์ โปร</t>
        </is>
      </c>
      <c r="J2543" s="161" t="n">
        <v>24040</v>
      </c>
      <c r="K2543" s="8" t="inlineStr">
        <is>
          <t>IV228-65</t>
        </is>
      </c>
      <c r="L2543" s="8" t="inlineStr">
        <is>
          <t>ราคาที่ระบุเป็นก่อนหักส่วนลด</t>
        </is>
      </c>
    </row>
    <row r="2544">
      <c r="B2544" s="6" t="inlineStr">
        <is>
          <t>แม่สีบรอนซ์หยาบพิเศษ SC-211</t>
        </is>
      </c>
      <c r="C2544" s="8" t="inlineStr">
        <is>
          <t>12กป.</t>
        </is>
      </c>
      <c r="D2544" s="9" t="n">
        <v>800</v>
      </c>
      <c r="H2544" s="9" t="n">
        <v>9600</v>
      </c>
      <c r="I2544" s="10" t="inlineStr">
        <is>
          <t>บจก. วีที คัลเลอร์ โปร</t>
        </is>
      </c>
      <c r="J2544" s="161" t="n">
        <v>24069</v>
      </c>
      <c r="K2544" s="8" t="inlineStr">
        <is>
          <t>IV276-65</t>
        </is>
      </c>
      <c r="L2544" s="8" t="inlineStr">
        <is>
          <t>ราคาที่ระบุเป็นก่อนหักส่วนลด</t>
        </is>
      </c>
    </row>
    <row r="2545">
      <c r="B2545" s="6" t="inlineStr">
        <is>
          <t>แม่สีบรอนซ์หยาบพิเศษ SC-211</t>
        </is>
      </c>
      <c r="C2545" s="8" t="inlineStr">
        <is>
          <t>12กป.</t>
        </is>
      </c>
      <c r="D2545" s="9" t="n">
        <v>800</v>
      </c>
      <c r="H2545" s="9" t="n">
        <v>9600</v>
      </c>
      <c r="I2545" s="10" t="inlineStr">
        <is>
          <t>บจก. วีที คัลเลอร์ โปร</t>
        </is>
      </c>
      <c r="J2545" s="161" t="n">
        <v>24095</v>
      </c>
      <c r="K2545" s="8" t="inlineStr">
        <is>
          <t>IV318-65</t>
        </is>
      </c>
      <c r="L2545" s="8" t="inlineStr">
        <is>
          <t>ราคาที่ระบุเป็นก่อนหักส่วนลด</t>
        </is>
      </c>
    </row>
    <row r="2546">
      <c r="B2546" s="6" t="inlineStr">
        <is>
          <t>แม่สีบรอนซ์หยาบพิเศษ SC-211</t>
        </is>
      </c>
      <c r="C2546" s="8" t="inlineStr">
        <is>
          <t>12กป.</t>
        </is>
      </c>
      <c r="D2546" s="9" t="n">
        <v>800</v>
      </c>
      <c r="H2546" s="9" t="n">
        <v>9600</v>
      </c>
      <c r="I2546" s="10" t="inlineStr">
        <is>
          <t>บจก. วีที คัลเลอร์ โปร</t>
        </is>
      </c>
      <c r="J2546" s="161" t="n">
        <v>24160</v>
      </c>
      <c r="K2546" s="8" t="inlineStr">
        <is>
          <t>IV113-66</t>
        </is>
      </c>
      <c r="L2546" s="8" t="inlineStr">
        <is>
          <t>ราคาที่ระบุเป็นก่อนหักส่วนลด</t>
        </is>
      </c>
    </row>
    <row r="2547">
      <c r="B2547" s="6" t="inlineStr">
        <is>
          <t>แม่สีบรอนซ์หยาบพิเศษ SC-211</t>
        </is>
      </c>
      <c r="C2547" s="8" t="inlineStr">
        <is>
          <t>6กป.</t>
        </is>
      </c>
      <c r="D2547" s="9" t="n">
        <v>800</v>
      </c>
      <c r="H2547" s="9" t="n">
        <v>4800</v>
      </c>
      <c r="I2547" s="10" t="inlineStr">
        <is>
          <t>บจก. วีที คัลเลอร์ โปร</t>
        </is>
      </c>
      <c r="J2547" s="161" t="n">
        <v>24189</v>
      </c>
      <c r="K2547" s="8" t="inlineStr">
        <is>
          <t>IV178-66</t>
        </is>
      </c>
      <c r="L2547" s="8" t="inlineStr">
        <is>
          <t>ราคาที่ระบุเป็นก่อนหักส่วนลด</t>
        </is>
      </c>
    </row>
    <row r="2548">
      <c r="B2548" s="6" t="inlineStr">
        <is>
          <t>แม่สีบรอนซ์หยาบพิเศษ SC-211</t>
        </is>
      </c>
      <c r="C2548" s="8" t="inlineStr">
        <is>
          <t>6กป.</t>
        </is>
      </c>
      <c r="D2548" s="9" t="n">
        <v>800</v>
      </c>
      <c r="H2548" s="9" t="n">
        <v>4800</v>
      </c>
      <c r="I2548" s="10" t="inlineStr">
        <is>
          <t>บจก. วีที คัลเลอร์ โปร</t>
        </is>
      </c>
      <c r="J2548" s="161" t="n">
        <v>24221</v>
      </c>
      <c r="K2548" s="8" t="inlineStr">
        <is>
          <t>IV226-66</t>
        </is>
      </c>
      <c r="L2548" s="8" t="inlineStr">
        <is>
          <t>ราคาที่ระบุเป็นก่อนหักส่วนลด</t>
        </is>
      </c>
    </row>
    <row r="2549">
      <c r="B2549" s="6" t="inlineStr">
        <is>
          <t>แม่สีบรอนซ์หยาบพิเศษ SC-211</t>
        </is>
      </c>
      <c r="C2549" s="8" t="inlineStr">
        <is>
          <t>6กป.</t>
        </is>
      </c>
      <c r="D2549" s="9" t="n">
        <v>800</v>
      </c>
      <c r="H2549" s="9" t="n">
        <v>4800</v>
      </c>
      <c r="I2549" s="10" t="inlineStr">
        <is>
          <t>บจก. วีที คัลเลอร์ โปร</t>
        </is>
      </c>
      <c r="J2549" s="161" t="n">
        <v>24282</v>
      </c>
      <c r="K2549" s="8" t="inlineStr">
        <is>
          <t>IV353-66</t>
        </is>
      </c>
      <c r="L2549" s="8" t="inlineStr">
        <is>
          <t>ราคาที่ระบุเป็นก่อนหักส่วนลด</t>
        </is>
      </c>
    </row>
    <row r="2550">
      <c r="B2550" s="6" t="inlineStr">
        <is>
          <t>แม่สีบรอนซ์หยาบพิเศษ SC-211</t>
        </is>
      </c>
      <c r="C2550" s="8" t="inlineStr">
        <is>
          <t>6กป.</t>
        </is>
      </c>
      <c r="D2550" s="9" t="n">
        <v>800</v>
      </c>
      <c r="H2550" s="9" t="n">
        <v>4800</v>
      </c>
      <c r="I2550" s="10" t="inlineStr">
        <is>
          <t>บจก. วีที คัลเลอร์ โปร</t>
        </is>
      </c>
      <c r="J2550" s="161" t="n">
        <v>24309</v>
      </c>
      <c r="K2550" s="8" t="inlineStr">
        <is>
          <t>IV410-66</t>
        </is>
      </c>
      <c r="L2550" s="8" t="inlineStr">
        <is>
          <t>ราคาที่ระบุเป็นก่อนหักส่วนลด</t>
        </is>
      </c>
    </row>
    <row r="2551">
      <c r="B2551" s="6" t="inlineStr">
        <is>
          <t>แม่สีบรอนซ์หยาบพิเศษ Hybrid S211</t>
        </is>
      </c>
      <c r="C2551" s="8" t="inlineStr">
        <is>
          <t>6กป.</t>
        </is>
      </c>
      <c r="D2551" s="9" t="n">
        <v>800</v>
      </c>
      <c r="H2551" s="9" t="n">
        <v>4800</v>
      </c>
      <c r="I2551" s="10" t="inlineStr">
        <is>
          <t>บจก. วีที คัลเลอร์ โปร</t>
        </is>
      </c>
      <c r="J2551" s="161" t="n">
        <v>24315</v>
      </c>
      <c r="K2551" s="8" t="inlineStr">
        <is>
          <t>IV423-66</t>
        </is>
      </c>
      <c r="L2551" s="8" t="inlineStr">
        <is>
          <t>ราคาที่ระบุเป็นก่อนหักส่วนลด</t>
        </is>
      </c>
    </row>
    <row r="2552">
      <c r="B2552" s="6" t="inlineStr">
        <is>
          <t>แม่สีบรอนซ์หยาบพิเศษ Hybrid S211</t>
        </is>
      </c>
      <c r="C2552" s="8" t="n">
        <v>6</v>
      </c>
      <c r="D2552" s="9" t="n">
        <v>800</v>
      </c>
      <c r="H2552" s="9">
        <f>SUM(D2552*C2552:C2552)</f>
        <v/>
      </c>
      <c r="I2552" s="10" t="inlineStr">
        <is>
          <t>บจก. วีที คัลเลอร์ โปร</t>
        </is>
      </c>
      <c r="J2552" s="161" t="n">
        <v>24340</v>
      </c>
      <c r="K2552" s="8" t="inlineStr">
        <is>
          <t>IV469-66</t>
        </is>
      </c>
      <c r="L2552" s="8" t="inlineStr">
        <is>
          <t>ราคาที่ระบุเป็นก่อนหักส่วนลด</t>
        </is>
      </c>
    </row>
    <row r="2553">
      <c r="B2553" s="6" t="inlineStr">
        <is>
          <t>แม่สีบรอนซ์หยาบพิเศษ Hybrid S211</t>
        </is>
      </c>
      <c r="C2553" s="8" t="n">
        <v>6</v>
      </c>
      <c r="D2553" s="9" t="n">
        <v>800</v>
      </c>
      <c r="H2553" s="9">
        <f>SUM(D2553*C2553:C2553)</f>
        <v/>
      </c>
      <c r="I2553" s="10" t="inlineStr">
        <is>
          <t>บจก. วีที คัลเลอร์ โปร</t>
        </is>
      </c>
      <c r="J2553" s="161" t="n">
        <v>24359</v>
      </c>
      <c r="K2553" s="8" t="inlineStr">
        <is>
          <t>IV517-66</t>
        </is>
      </c>
      <c r="L2553" s="8" t="inlineStr">
        <is>
          <t>ราคาที่ระบุเป็นก่อนหักส่วนลด</t>
        </is>
      </c>
    </row>
    <row r="2554">
      <c r="B2554" s="6" t="inlineStr">
        <is>
          <t>แม่สีบรอนซ์หยาบพิเศษ Hybrid S211</t>
        </is>
      </c>
      <c r="C2554" s="8" t="n">
        <v>12</v>
      </c>
      <c r="D2554" s="9" t="n">
        <v>800</v>
      </c>
      <c r="H2554" s="9">
        <f>SUM(D2554*C2554:C2554)</f>
        <v/>
      </c>
      <c r="I2554" s="10" t="inlineStr">
        <is>
          <t>บจก. วีที คัลเลอร์ โปร</t>
        </is>
      </c>
      <c r="J2554" s="161" t="n">
        <v>24372</v>
      </c>
      <c r="K2554" s="8" t="inlineStr">
        <is>
          <t>IV541-66</t>
        </is>
      </c>
      <c r="L2554" s="8" t="inlineStr">
        <is>
          <t>ราคาที่ระบุเป็นก่อนหักส่วนลด</t>
        </is>
      </c>
    </row>
    <row r="2555">
      <c r="B2555" s="6" t="inlineStr">
        <is>
          <t>แม่สีบรอนซ์หยาบพิเศษ Hybrid S211</t>
        </is>
      </c>
      <c r="C2555" s="8" t="n">
        <v>6</v>
      </c>
      <c r="D2555" s="9" t="n">
        <v>800</v>
      </c>
      <c r="H2555" s="9">
        <f>SUM(D2555*C2555:C2555)</f>
        <v/>
      </c>
      <c r="I2555" s="10" t="inlineStr">
        <is>
          <t>บจก. วีที คัลเลอร์ โปร</t>
        </is>
      </c>
      <c r="J2555" s="161" t="n">
        <v>24401</v>
      </c>
      <c r="K2555" s="8" t="inlineStr">
        <is>
          <t>IV684-66</t>
        </is>
      </c>
      <c r="L2555" s="8" t="inlineStr">
        <is>
          <t>ราคาที่ระบุเป็นก่อนหักส่วนลด</t>
        </is>
      </c>
    </row>
    <row r="2556">
      <c r="B2556" s="6" t="inlineStr">
        <is>
          <t>แม่สีบรอนซ์หยาบพิเศษ Hybrid S211</t>
        </is>
      </c>
      <c r="C2556" s="8" t="n">
        <v>6</v>
      </c>
      <c r="D2556" s="9" t="n">
        <v>800</v>
      </c>
      <c r="H2556" s="9">
        <f>SUM(D2556*C2556:C2556)</f>
        <v/>
      </c>
      <c r="I2556" s="10" t="inlineStr">
        <is>
          <t>บจก. วีที คัลเลอร์ โปร</t>
        </is>
      </c>
      <c r="J2556" s="161" t="n">
        <v>24462</v>
      </c>
      <c r="K2556" s="8" t="inlineStr">
        <is>
          <t>IV765-66</t>
        </is>
      </c>
      <c r="L2556" s="8" t="inlineStr">
        <is>
          <t>ราคาที่ระบุเป็นก่อนหักส่วนลด</t>
        </is>
      </c>
    </row>
    <row r="2557">
      <c r="B2557" s="6" t="inlineStr">
        <is>
          <t>แม่สีบรอนซ์หยาบพิเศษ Hybrid S211</t>
        </is>
      </c>
      <c r="C2557" s="8" t="n">
        <v>6</v>
      </c>
      <c r="D2557" s="9" t="n">
        <v>800</v>
      </c>
      <c r="H2557" s="9">
        <f>SUM(D2557*C2557:C2557)</f>
        <v/>
      </c>
      <c r="I2557" s="10" t="inlineStr">
        <is>
          <t>บจก. วีที คัลเลอร์ โปร</t>
        </is>
      </c>
      <c r="J2557" s="161" t="n">
        <v>24496</v>
      </c>
      <c r="K2557" s="8" t="inlineStr">
        <is>
          <t>IV6701079</t>
        </is>
      </c>
      <c r="L2557" s="8" t="inlineStr">
        <is>
          <t>ราคาที่ระบุเป็นก่อนหักส่วนลด</t>
        </is>
      </c>
    </row>
    <row r="2558">
      <c r="B2558" s="6" t="inlineStr">
        <is>
          <t>แม่สีบรอนซ์หยาบพิเศษ Hybrid S211</t>
        </is>
      </c>
      <c r="C2558" s="8" t="n">
        <v>12</v>
      </c>
      <c r="D2558" s="9" t="n">
        <v>800</v>
      </c>
      <c r="H2558" s="9">
        <f>SUM(D2558*C2558:C2558)</f>
        <v/>
      </c>
      <c r="I2558" s="10" t="inlineStr">
        <is>
          <t>บจก. วีที คัลเลอร์ โปร</t>
        </is>
      </c>
      <c r="J2558" s="161" t="n">
        <v>24529</v>
      </c>
      <c r="K2558" s="8" t="inlineStr">
        <is>
          <t>IV6702103</t>
        </is>
      </c>
      <c r="L2558" s="8" t="inlineStr">
        <is>
          <t>ราคาที่ระบุเป็นก่อนหักส่วนลด</t>
        </is>
      </c>
    </row>
    <row r="2559">
      <c r="B2559" s="6" t="inlineStr">
        <is>
          <t>แม่สีบรอนซ์หยาบพิเศษ Hybrid S211</t>
        </is>
      </c>
      <c r="C2559" s="8" t="n">
        <v>6</v>
      </c>
      <c r="D2559" s="9" t="n">
        <v>800</v>
      </c>
      <c r="H2559" s="9">
        <f>SUM(D2559*C2559:C2559)</f>
        <v/>
      </c>
      <c r="I2559" s="10" t="inlineStr">
        <is>
          <t>บจก. วีที คัลเลอร์ โปร</t>
        </is>
      </c>
      <c r="J2559" s="161" t="n">
        <v>24584</v>
      </c>
      <c r="K2559" s="8" t="inlineStr">
        <is>
          <t>IV6704071</t>
        </is>
      </c>
      <c r="L2559" s="8" t="inlineStr">
        <is>
          <t>ราคาที่ระบุเป็นก่อนหักส่วนลด</t>
        </is>
      </c>
    </row>
    <row r="2560">
      <c r="B2560" s="6" t="inlineStr">
        <is>
          <t>แม่สีบรอนซ์หยาบพิเศษ Hybrid S211</t>
        </is>
      </c>
      <c r="C2560" s="8" t="n">
        <v>12</v>
      </c>
      <c r="D2560" s="9" t="n">
        <v>800</v>
      </c>
      <c r="H2560" s="9">
        <f>SUM(D2560*C2560:C2560)</f>
        <v/>
      </c>
      <c r="I2560" s="10" t="inlineStr">
        <is>
          <t>บจก. วีที คัลเลอร์ โปร</t>
        </is>
      </c>
      <c r="J2560" s="161" t="n">
        <v>24613</v>
      </c>
      <c r="K2560" s="8" t="inlineStr">
        <is>
          <t>IV6705104</t>
        </is>
      </c>
      <c r="L2560" s="8" t="inlineStr">
        <is>
          <t>ราคาที่ระบุเป็นก่อนหักส่วนลด</t>
        </is>
      </c>
    </row>
    <row r="2561">
      <c r="B2561" s="6" t="inlineStr">
        <is>
          <t>แม่สีบรอนซ์หยาบพิเศษ Hybrid S211</t>
        </is>
      </c>
      <c r="C2561" s="8" t="n">
        <v>6</v>
      </c>
      <c r="D2561" s="9" t="n">
        <v>800</v>
      </c>
      <c r="H2561" s="9">
        <f>SUM(D2561*C2561:C2561)</f>
        <v/>
      </c>
      <c r="I2561" s="10" t="inlineStr">
        <is>
          <t>บจก. วีที คัลเลอร์ โปร</t>
        </is>
      </c>
      <c r="J2561" s="161" t="n">
        <v>24644</v>
      </c>
      <c r="K2561" s="8" t="inlineStr">
        <is>
          <t>IV6706124</t>
        </is>
      </c>
      <c r="L2561" s="8" t="inlineStr">
        <is>
          <t>ราคาที่ระบุเป็นก่อนหักส่วนลด</t>
        </is>
      </c>
    </row>
    <row r="2562">
      <c r="B2562" s="6" t="inlineStr">
        <is>
          <t>แม่สีบรอนซ์หยาบพิเศษ Hybrid S211</t>
        </is>
      </c>
      <c r="C2562" s="8" t="n">
        <v>6</v>
      </c>
      <c r="D2562" s="9" t="n">
        <v>800</v>
      </c>
      <c r="H2562" s="9">
        <f>SUM(D2562*C2562:C2562)</f>
        <v/>
      </c>
      <c r="I2562" s="10" t="inlineStr">
        <is>
          <t>บจก. วีที คัลเลอร์ โปร</t>
        </is>
      </c>
      <c r="J2562" s="161" t="n">
        <v>24676</v>
      </c>
      <c r="K2562" s="8" t="inlineStr">
        <is>
          <t>IV6707130</t>
        </is>
      </c>
      <c r="L2562" s="8" t="inlineStr">
        <is>
          <t>ราคาที่ระบุเป็นก่อนหักส่วนลด</t>
        </is>
      </c>
    </row>
    <row r="2563">
      <c r="B2563" s="6" t="inlineStr">
        <is>
          <t>แม่สีบรอนซ์หยาบพิเศษ Hybrid S211</t>
        </is>
      </c>
      <c r="C2563" s="8" t="n">
        <v>6</v>
      </c>
      <c r="D2563" s="9" t="n">
        <v>800</v>
      </c>
      <c r="H2563" s="9">
        <f>SUM(D2563*C2563:C2563)</f>
        <v/>
      </c>
      <c r="I2563" s="10" t="inlineStr">
        <is>
          <t>บจก. วีที คัลเลอร์ โปร</t>
        </is>
      </c>
      <c r="J2563" s="161" t="n">
        <v>24707</v>
      </c>
      <c r="K2563" s="8" t="inlineStr">
        <is>
          <t>IV6708116</t>
        </is>
      </c>
      <c r="L2563" s="8" t="inlineStr">
        <is>
          <t>ราคาที่ระบุเป็นก่อนหักส่วนลด</t>
        </is>
      </c>
    </row>
    <row r="2564">
      <c r="B2564" s="6" t="inlineStr">
        <is>
          <t>แม่สีบรอนซ์หยาบพิเศษ Hybrid S211</t>
        </is>
      </c>
      <c r="C2564" s="8" t="n">
        <v>12</v>
      </c>
      <c r="D2564" s="9" t="n">
        <v>800</v>
      </c>
      <c r="H2564" s="9">
        <f>SUM(D2564*C2564:C2564)</f>
        <v/>
      </c>
      <c r="I2564" s="10" t="inlineStr">
        <is>
          <t>บจก. วีที คัลเลอร์ โปร</t>
        </is>
      </c>
      <c r="J2564" s="161" t="n">
        <v>24795</v>
      </c>
      <c r="K2564" s="8" t="inlineStr">
        <is>
          <t>IV6711103</t>
        </is>
      </c>
      <c r="L2564" s="8" t="inlineStr">
        <is>
          <t>ราคาที่ระบุเป็นก่อนหักส่วนลด</t>
        </is>
      </c>
    </row>
    <row r="2565">
      <c r="B2565" s="6" t="inlineStr">
        <is>
          <t>แม่สีบรอนซ์หยาบพิเศษ Hybrid S211</t>
        </is>
      </c>
      <c r="C2565" s="8" t="n">
        <v>6</v>
      </c>
      <c r="D2565" s="9" t="n">
        <v>800</v>
      </c>
      <c r="H2565" s="9">
        <f>SUM(D2565*C2565:C2565)</f>
        <v/>
      </c>
      <c r="I2565" s="10" t="inlineStr">
        <is>
          <t>บจก. วีที คัลเลอร์ โปร</t>
        </is>
      </c>
      <c r="J2565" s="161" t="n">
        <v>24824</v>
      </c>
      <c r="K2565" s="8" t="inlineStr">
        <is>
          <t>IV6712085</t>
        </is>
      </c>
      <c r="L2565" s="8" t="inlineStr">
        <is>
          <t>ราคาที่ระบุเป็นก่อนหักส่วนลด</t>
        </is>
      </c>
    </row>
    <row r="2566">
      <c r="B2566" s="6" t="inlineStr">
        <is>
          <t>แม่สีบรอนซ์หยาบพิเศษ Hybrid S211</t>
        </is>
      </c>
      <c r="C2566" s="8" t="n">
        <v>6</v>
      </c>
      <c r="D2566" s="9" t="n">
        <v>856</v>
      </c>
      <c r="H2566" s="9">
        <f>SUM(D2566*C2566)</f>
        <v/>
      </c>
      <c r="I2566" s="10" t="inlineStr">
        <is>
          <t>บจก. วีที คัลเลอร์ โปร</t>
        </is>
      </c>
      <c r="J2566" s="161" t="n">
        <v>24858</v>
      </c>
      <c r="K2566" s="8" t="inlineStr">
        <is>
          <t>IV6801106</t>
        </is>
      </c>
      <c r="L2566" s="8" t="inlineStr">
        <is>
          <t>ราคารวม VAT แล้ว</t>
        </is>
      </c>
    </row>
    <row r="2567">
      <c r="B2567" s="6" t="inlineStr">
        <is>
          <t>แม่สีบรอนซ์หยาบพิเศษ Hybrid S211</t>
        </is>
      </c>
      <c r="C2567" s="8" t="n">
        <v>6</v>
      </c>
      <c r="D2567" s="9" t="n">
        <v>856</v>
      </c>
      <c r="H2567" s="9">
        <f>SUM(D2567*C2567)</f>
        <v/>
      </c>
      <c r="I2567" s="10" t="inlineStr">
        <is>
          <t>บจก. วีที คัลเลอร์ โปร</t>
        </is>
      </c>
      <c r="J2567" s="161" t="n">
        <v>24892</v>
      </c>
      <c r="K2567" s="8" t="inlineStr">
        <is>
          <t>IV6802144</t>
        </is>
      </c>
      <c r="L2567" s="8" t="inlineStr">
        <is>
          <t>ราคารวม VAT แล้ว</t>
        </is>
      </c>
    </row>
    <row r="2568">
      <c r="B2568" s="6" t="inlineStr">
        <is>
          <t>แม่สีบรอนซ์หยาบพิเศษ Hybrid S211</t>
        </is>
      </c>
      <c r="C2568" s="8" t="n">
        <v>4</v>
      </c>
      <c r="D2568" s="9" t="n">
        <v>856</v>
      </c>
      <c r="H2568" s="9">
        <f>SUM(D2568*C2568)</f>
        <v/>
      </c>
      <c r="I2568" s="10" t="inlineStr">
        <is>
          <t>บจก. วีที คัลเลอร์ โปร</t>
        </is>
      </c>
      <c r="J2568" s="161" t="n">
        <v>24923</v>
      </c>
      <c r="K2568" s="8" t="inlineStr">
        <is>
          <t>IV6803171</t>
        </is>
      </c>
      <c r="L2568" s="8" t="inlineStr">
        <is>
          <t>ราคารวม VAT แล้ว</t>
        </is>
      </c>
    </row>
    <row r="2569">
      <c r="B2569" s="6" t="inlineStr">
        <is>
          <t>แม่สีบรอนซ์หยาบพิเศษ Hybrid S211</t>
        </is>
      </c>
      <c r="C2569" s="8" t="n">
        <v>12</v>
      </c>
      <c r="D2569" s="9" t="n">
        <v>800</v>
      </c>
      <c r="E2569" s="9">
        <f>SUM(C2569*D2569)</f>
        <v/>
      </c>
      <c r="H2569" s="9">
        <f>SUM(E2569*O2569/N2569)</f>
        <v/>
      </c>
      <c r="I2569" s="10" t="inlineStr">
        <is>
          <t>บจก. วีที คัลเลอร์ โปร</t>
        </is>
      </c>
      <c r="J2569" s="161" t="n">
        <v>24979</v>
      </c>
      <c r="K2569" s="8" t="inlineStr">
        <is>
          <t>IV6805147</t>
        </is>
      </c>
      <c r="N2569" s="6" t="n">
        <v>100</v>
      </c>
      <c r="O2569" s="6" t="n">
        <v>107</v>
      </c>
    </row>
    <row r="2570">
      <c r="B2570" s="6" t="inlineStr">
        <is>
          <t>แม่สีบรอนซ์หยาบพิเศษ Hybrid S211</t>
        </is>
      </c>
      <c r="C2570" s="8" t="n">
        <v>2</v>
      </c>
      <c r="D2570" s="9" t="n">
        <v>800</v>
      </c>
      <c r="E2570" s="9">
        <f>SUM(D2570*C2570)</f>
        <v/>
      </c>
      <c r="F2570" s="8" t="n">
        <v>0.07000000000000001</v>
      </c>
      <c r="G2570" s="10" t="inlineStr">
        <is>
          <t>รวม VAT =</t>
        </is>
      </c>
      <c r="H2570" s="9">
        <f>SUM(E2570+N2570)</f>
        <v/>
      </c>
      <c r="I2570" s="10" t="inlineStr">
        <is>
          <t>บจก. วีที คัลเลอร์ โปร</t>
        </is>
      </c>
      <c r="J2570" s="161" t="n">
        <v>25063</v>
      </c>
      <c r="K2570" s="8" t="inlineStr">
        <is>
          <t>IV6808072</t>
        </is>
      </c>
      <c r="N2570" s="6">
        <f>SUM(E2570*F2570)</f>
        <v/>
      </c>
    </row>
    <row r="2571">
      <c r="B2571" s="6" t="inlineStr">
        <is>
          <t>แม่สีบรอนซ์หยาบพิเศษ Hybrid S211</t>
        </is>
      </c>
      <c r="C2571" s="8" t="n">
        <v>3</v>
      </c>
      <c r="D2571" s="9" t="n">
        <v>800</v>
      </c>
      <c r="E2571" s="9">
        <f>SUM(D2571*C2571)</f>
        <v/>
      </c>
      <c r="F2571" s="8" t="n">
        <v>0.07000000000000001</v>
      </c>
      <c r="G2571" s="10" t="inlineStr">
        <is>
          <t>รวม VAT =</t>
        </is>
      </c>
      <c r="H2571" s="9">
        <f>SUM(E2571+N2571)</f>
        <v/>
      </c>
      <c r="I2571" s="10" t="inlineStr">
        <is>
          <t>บจก. วีที คัลเลอร์ โปร</t>
        </is>
      </c>
      <c r="J2571" s="161" t="n">
        <v>25002</v>
      </c>
      <c r="K2571" s="8" t="inlineStr">
        <is>
          <t>IV6806091</t>
        </is>
      </c>
      <c r="N2571" s="6">
        <f>SUM(E2571*F2571)</f>
        <v/>
      </c>
    </row>
    <row r="2572">
      <c r="B2572" s="6" t="inlineStr">
        <is>
          <t>แม่สีบรอนซ์หยาบพิเศษ Hybrid S211</t>
        </is>
      </c>
      <c r="C2572" s="8" t="n">
        <v>10</v>
      </c>
      <c r="D2572" s="9" t="n">
        <v>800</v>
      </c>
      <c r="E2572" s="9">
        <f>SUM(D2572*C2572)</f>
        <v/>
      </c>
      <c r="F2572" s="8" t="n">
        <v>0.07000000000000001</v>
      </c>
      <c r="G2572" s="10" t="inlineStr">
        <is>
          <t>รวม VAT =</t>
        </is>
      </c>
      <c r="H2572" s="9">
        <f>SUM(E2572+N2572)</f>
        <v/>
      </c>
      <c r="I2572" s="10" t="inlineStr">
        <is>
          <t>บจก. วีที คัลเลอร์ โปร</t>
        </is>
      </c>
      <c r="J2572" s="161" t="n">
        <v>25015</v>
      </c>
      <c r="K2572" s="8" t="inlineStr">
        <is>
          <t>IV6806175</t>
        </is>
      </c>
      <c r="N2572" s="6">
        <f>SUM(E2572*F2572)</f>
        <v/>
      </c>
    </row>
    <row r="2573">
      <c r="B2573" s="6" t="inlineStr">
        <is>
          <t>แม่สีบรอนซ์หยาบพิเศษ Hybrid S211</t>
        </is>
      </c>
      <c r="C2573" s="8" t="n">
        <v>6</v>
      </c>
      <c r="D2573" s="9" t="n">
        <v>800</v>
      </c>
      <c r="E2573" s="9">
        <f>SUM(D2573*C2573)</f>
        <v/>
      </c>
      <c r="F2573" s="8" t="n">
        <v>0.07000000000000001</v>
      </c>
      <c r="G2573" s="10" t="inlineStr">
        <is>
          <t>รวม VAT =</t>
        </is>
      </c>
      <c r="H2573" s="9">
        <f>SUM(E2573+N2573)</f>
        <v/>
      </c>
      <c r="I2573" s="10" t="inlineStr">
        <is>
          <t>บจก. วีที คัลเลอร์ โปร</t>
        </is>
      </c>
      <c r="J2573" s="161" t="n">
        <v>25073</v>
      </c>
      <c r="K2573" s="8" t="inlineStr">
        <is>
          <t>IV6808151</t>
        </is>
      </c>
      <c r="N2573" s="6">
        <f>SUM(E2573*F2573)</f>
        <v/>
      </c>
    </row>
    <row r="2574">
      <c r="B2574" s="6" t="inlineStr">
        <is>
          <t>แม่สีบรอนซ์หยาบพิเศษ Hybrid S211</t>
        </is>
      </c>
      <c r="C2574" s="8" t="n">
        <v>4</v>
      </c>
      <c r="D2574" s="9" t="n">
        <v>800</v>
      </c>
      <c r="E2574" s="9">
        <f>SUM(D2574*C2574)</f>
        <v/>
      </c>
      <c r="F2574" s="8" t="n">
        <v>0.07000000000000001</v>
      </c>
      <c r="G2574" s="10" t="inlineStr">
        <is>
          <t>รวม VAT =</t>
        </is>
      </c>
      <c r="H2574" s="9">
        <f>SUM(E2574+N2574)</f>
        <v/>
      </c>
      <c r="I2574" s="10" t="inlineStr">
        <is>
          <t>บจก. วีที คัลเลอร์ โปร</t>
        </is>
      </c>
      <c r="J2574" s="161" t="n">
        <v>25112</v>
      </c>
      <c r="K2574" s="8" t="inlineStr">
        <is>
          <t>IV6810015</t>
        </is>
      </c>
      <c r="N2574" s="6">
        <f>SUM(E2574*F2574)</f>
        <v/>
      </c>
    </row>
    <row r="2575">
      <c r="A2575" s="70" t="n"/>
      <c r="B2575" s="6" t="inlineStr">
        <is>
          <t>แม่สีบรอนซ์หยาบพิเศษ Hybrid S211</t>
        </is>
      </c>
      <c r="C2575" s="8" t="n">
        <v>4</v>
      </c>
      <c r="D2575" s="9" t="n">
        <v>800</v>
      </c>
      <c r="E2575" s="9">
        <f>SUM(C2575*D2575)</f>
        <v/>
      </c>
      <c r="H2575" s="9">
        <f>SUM(E2575*107/100)</f>
        <v/>
      </c>
      <c r="I2575" s="10" t="inlineStr">
        <is>
          <t>บจก. วีที คัลเลอร์ โปร</t>
        </is>
      </c>
      <c r="J2575" s="161" t="n">
        <v>25127</v>
      </c>
      <c r="K2575" s="8" t="inlineStr">
        <is>
          <t>IV6810110</t>
        </is>
      </c>
      <c r="L2575" s="8" t="inlineStr">
        <is>
          <t>ราคาที่ลง ยังไม่รวมภาษี</t>
        </is>
      </c>
    </row>
    <row r="2576">
      <c r="B2576" s="6" t="inlineStr">
        <is>
          <t>แม่สีบรอนซ์หยาบพิเศษ Hybrid S211</t>
        </is>
      </c>
      <c r="C2576" s="8" t="n">
        <v>4</v>
      </c>
      <c r="D2576" s="9" t="n">
        <v>800</v>
      </c>
      <c r="E2576" s="9">
        <f>SUM(D2576*C2576)</f>
        <v/>
      </c>
      <c r="F2576" s="8" t="n">
        <v>0.07000000000000001</v>
      </c>
      <c r="G2576" s="10" t="inlineStr">
        <is>
          <t>รวม VAT =</t>
        </is>
      </c>
      <c r="H2576" s="9">
        <f>SUM(E2576+N2576)</f>
        <v/>
      </c>
      <c r="I2576" s="10" t="inlineStr">
        <is>
          <t>บจก. วีที คัลเลอร์ โปร</t>
        </is>
      </c>
      <c r="J2576" s="161" t="n">
        <v>25145</v>
      </c>
      <c r="K2576" s="8" t="inlineStr">
        <is>
          <t>IV6811023</t>
        </is>
      </c>
      <c r="L2576" s="8" t="inlineStr">
        <is>
          <t>ราคาที่ระบุ ยังไม่รวม VAT7%</t>
        </is>
      </c>
      <c r="N2576" s="6">
        <f>SUM(E2576*F2576)</f>
        <v/>
      </c>
    </row>
    <row r="2577">
      <c r="B2577" s="6" t="inlineStr">
        <is>
          <t>แม่สีบรอนซ์หยาบพิเศษ Hybrid S211</t>
        </is>
      </c>
      <c r="C2577" s="8" t="n">
        <v>4</v>
      </c>
      <c r="D2577" s="9" t="n">
        <v>800</v>
      </c>
      <c r="E2577" s="9">
        <f>SUM(D2577*C2577)</f>
        <v/>
      </c>
      <c r="F2577" s="8" t="n">
        <v>0.07000000000000001</v>
      </c>
      <c r="G2577" s="10" t="inlineStr">
        <is>
          <t>รวม VAT =</t>
        </is>
      </c>
      <c r="H2577" s="9">
        <f>SUM(E2577+N2577)</f>
        <v/>
      </c>
      <c r="I2577" s="10" t="inlineStr">
        <is>
          <t>บจก. วีที คัลเลอร์ โปร</t>
        </is>
      </c>
      <c r="J2577" s="161" t="n">
        <v>25168</v>
      </c>
      <c r="K2577" s="8" t="inlineStr">
        <is>
          <t>IV6811188</t>
        </is>
      </c>
      <c r="N2577" s="6">
        <f>SUM(E2577*F2577)</f>
        <v/>
      </c>
    </row>
    <row r="2578">
      <c r="B2578" s="6" t="inlineStr">
        <is>
          <t>แม่สีบรอนซ์หยาบพิเศษ Hybrid S211</t>
        </is>
      </c>
      <c r="C2578" s="8" t="n">
        <v>2</v>
      </c>
      <c r="D2578" s="9" t="n">
        <v>800</v>
      </c>
      <c r="E2578" s="9">
        <f>SUM(D2578*C2578)</f>
        <v/>
      </c>
      <c r="F2578" s="8" t="n">
        <v>0.07000000000000001</v>
      </c>
      <c r="G2578" s="10" t="inlineStr">
        <is>
          <t>รวม VAT =</t>
        </is>
      </c>
      <c r="H2578" s="9">
        <f>SUM(E2578+N2578)</f>
        <v/>
      </c>
      <c r="I2578" s="10" t="inlineStr">
        <is>
          <t>บจก. วีที คัลเลอร์ โปร</t>
        </is>
      </c>
      <c r="J2578" s="161" t="n">
        <v>25180</v>
      </c>
      <c r="K2578" s="8" t="inlineStr">
        <is>
          <t>IV6812065</t>
        </is>
      </c>
      <c r="N2578" s="6">
        <f>SUM(E2578*F2578)</f>
        <v/>
      </c>
    </row>
    <row r="2580">
      <c r="B2580" s="6" t="inlineStr">
        <is>
          <t>แม่สี Matrix  M-212 (สีบรอนซ์หลัก)</t>
        </is>
      </c>
      <c r="C2580" s="8" t="inlineStr">
        <is>
          <t>12กป.</t>
        </is>
      </c>
      <c r="D2580" s="9" t="n">
        <v>930</v>
      </c>
      <c r="F2580" s="8" t="n">
        <v>10</v>
      </c>
      <c r="H2580" s="9" t="n">
        <v>11160</v>
      </c>
      <c r="I2580" s="10" t="inlineStr">
        <is>
          <t>ทรัพย์สินไทย</t>
        </is>
      </c>
      <c r="J2580" s="161" t="n">
        <v>22429</v>
      </c>
      <c r="L2580" s="8" t="inlineStr">
        <is>
          <t>ราคาที่ระบุเป็นก่อนหักส่วนลด</t>
        </is>
      </c>
    </row>
    <row r="2581">
      <c r="B2581" s="6" t="inlineStr">
        <is>
          <t>แม่สี Matrix  M-212 (สีบรอนซ์หลัก)</t>
        </is>
      </c>
      <c r="C2581" s="8" t="inlineStr">
        <is>
          <t>6กป.</t>
        </is>
      </c>
      <c r="D2581" s="9" t="n">
        <v>930</v>
      </c>
      <c r="F2581" s="8" t="n">
        <v>10</v>
      </c>
      <c r="H2581" s="9" t="n">
        <v>5880</v>
      </c>
      <c r="I2581" s="10" t="inlineStr">
        <is>
          <t>ทรัพย์สินไทย</t>
        </is>
      </c>
      <c r="J2581" s="161" t="n">
        <v>22804</v>
      </c>
      <c r="L2581" s="8" t="inlineStr">
        <is>
          <t>ราคาที่ระบุเป็นก่อนหักส่วนลด</t>
        </is>
      </c>
    </row>
    <row r="2582">
      <c r="B2582" s="6" t="inlineStr">
        <is>
          <t>แม่สี Matrix  M-212 (สีบรอนซ์หลัก)</t>
        </is>
      </c>
      <c r="C2582" s="8" t="inlineStr">
        <is>
          <t>6กป.</t>
        </is>
      </c>
      <c r="D2582" s="9" t="n">
        <v>930</v>
      </c>
      <c r="F2582" s="8" t="n">
        <v>10</v>
      </c>
      <c r="H2582" s="9" t="n">
        <v>5580</v>
      </c>
      <c r="I2582" s="10" t="inlineStr">
        <is>
          <t>ทรัพย์สินไทย</t>
        </is>
      </c>
      <c r="J2582" s="161" t="n">
        <v>22821</v>
      </c>
      <c r="L2582" s="8" t="inlineStr">
        <is>
          <t>ราคาที่ระบุเป็นก่อนหักส่วนลด</t>
        </is>
      </c>
    </row>
    <row r="2583">
      <c r="B2583" s="6" t="inlineStr">
        <is>
          <t>แม่สี Matrix  M-212 (สีบรอนซ์หลัก)</t>
        </is>
      </c>
      <c r="C2583" s="8" t="inlineStr">
        <is>
          <t>6กป.</t>
        </is>
      </c>
      <c r="D2583" s="9" t="n">
        <v>930</v>
      </c>
      <c r="F2583" s="8" t="n">
        <v>10</v>
      </c>
      <c r="H2583" s="9" t="n">
        <v>5580</v>
      </c>
      <c r="I2583" s="10" t="inlineStr">
        <is>
          <t>ทรัพย์สินไทย</t>
        </is>
      </c>
      <c r="J2583" s="161" t="n">
        <v>22822</v>
      </c>
      <c r="L2583" s="8" t="inlineStr">
        <is>
          <t>ราคาที่ระบุเป็นก่อนหักส่วนลด</t>
        </is>
      </c>
    </row>
    <row r="2584">
      <c r="B2584" s="6" t="inlineStr">
        <is>
          <t>แม่สี Matrix  M-212 (สีบรอนซ์หลัก)</t>
        </is>
      </c>
      <c r="C2584" s="8" t="inlineStr">
        <is>
          <t>12กป.</t>
        </is>
      </c>
      <c r="D2584" s="9" t="n">
        <v>930</v>
      </c>
      <c r="F2584" s="8" t="n">
        <v>10</v>
      </c>
      <c r="H2584" s="9" t="n">
        <v>11160</v>
      </c>
      <c r="I2584" s="10" t="inlineStr">
        <is>
          <t>ทรัพย์สินไทย</t>
        </is>
      </c>
      <c r="J2584" s="161" t="n">
        <v>22851</v>
      </c>
      <c r="L2584" s="8" t="inlineStr">
        <is>
          <t>ราคาที่ระบุเป็นก่อนหักส่วนลด</t>
        </is>
      </c>
    </row>
    <row r="2585">
      <c r="B2585" s="6" t="inlineStr">
        <is>
          <t>แม่สี Matrix  M-212 (สีบรอนซ์หลัก)</t>
        </is>
      </c>
      <c r="C2585" s="8" t="inlineStr">
        <is>
          <t>12กป.</t>
        </is>
      </c>
      <c r="D2585" s="9" t="n">
        <v>930</v>
      </c>
      <c r="F2585" s="8" t="n">
        <v>10</v>
      </c>
      <c r="H2585" s="9" t="n">
        <v>11160</v>
      </c>
      <c r="I2585" s="10" t="inlineStr">
        <is>
          <t>ทรัพย์สินไทย</t>
        </is>
      </c>
      <c r="J2585" s="161" t="n">
        <v>22884</v>
      </c>
      <c r="L2585" s="8" t="inlineStr">
        <is>
          <t>ราคาที่ระบุเป็นก่อนหักส่วนลด</t>
        </is>
      </c>
    </row>
    <row r="2586">
      <c r="B2586" s="6" t="inlineStr">
        <is>
          <t>แม่สี Matrix  M-212 (สีบรอนซ์หลัก)</t>
        </is>
      </c>
      <c r="C2586" s="8" t="inlineStr">
        <is>
          <t>6กป.</t>
        </is>
      </c>
      <c r="D2586" s="9" t="n">
        <v>930</v>
      </c>
      <c r="F2586" s="8" t="n">
        <v>10</v>
      </c>
      <c r="H2586" s="9" t="n">
        <v>5580</v>
      </c>
      <c r="I2586" s="10" t="inlineStr">
        <is>
          <t>ทรัพย์สินไทย</t>
        </is>
      </c>
      <c r="J2586" s="161" t="n">
        <v>23038</v>
      </c>
      <c r="L2586" s="8" t="inlineStr">
        <is>
          <t>ราคาที่ระบุเป็นก่อนหักส่วนลด</t>
        </is>
      </c>
    </row>
    <row r="2587">
      <c r="B2587" s="6" t="inlineStr">
        <is>
          <t>แม่สี Matrix  M-212 (สีบรอนซ์หลัก)</t>
        </is>
      </c>
      <c r="C2587" s="8" t="inlineStr">
        <is>
          <t>18กป.</t>
        </is>
      </c>
      <c r="D2587" s="9" t="n">
        <v>930</v>
      </c>
      <c r="F2587" s="8" t="n">
        <v>10</v>
      </c>
      <c r="H2587" s="9" t="n">
        <v>16740</v>
      </c>
      <c r="I2587" s="10" t="inlineStr">
        <is>
          <t>ทรัพย์สินไทย</t>
        </is>
      </c>
      <c r="J2587" s="161" t="n">
        <v>23062</v>
      </c>
      <c r="L2587" s="8" t="inlineStr">
        <is>
          <t>ราคาที่ระบุเป็นก่อนหักส่วนลด</t>
        </is>
      </c>
    </row>
    <row r="2588">
      <c r="B2588" s="6" t="inlineStr">
        <is>
          <t>แม่สี Matrix  M-212 (สีบรอนซ์หลัก)</t>
        </is>
      </c>
      <c r="C2588" s="8" t="inlineStr">
        <is>
          <t>12กป.</t>
        </is>
      </c>
      <c r="D2588" s="9" t="n">
        <v>930</v>
      </c>
      <c r="F2588" s="8" t="n">
        <v>10</v>
      </c>
      <c r="H2588" s="9" t="n">
        <v>11160</v>
      </c>
      <c r="I2588" s="10" t="inlineStr">
        <is>
          <t>ทรัพย์สินไทย</t>
        </is>
      </c>
      <c r="J2588" s="161" t="n">
        <v>23094</v>
      </c>
      <c r="L2588" s="8" t="inlineStr">
        <is>
          <t>ราคาที่ระบุเป็นก่อนหักส่วนลด</t>
        </is>
      </c>
    </row>
    <row r="2589">
      <c r="B2589" s="6" t="inlineStr">
        <is>
          <t>แม่สี Matrix  M-212 (สีบรอนซ์หลัก)</t>
        </is>
      </c>
      <c r="C2589" s="8" t="inlineStr">
        <is>
          <t>12กป.</t>
        </is>
      </c>
      <c r="D2589" s="9" t="n">
        <v>930</v>
      </c>
      <c r="F2589" s="8" t="n">
        <v>10</v>
      </c>
      <c r="H2589" s="9" t="n">
        <v>11160</v>
      </c>
      <c r="I2589" s="10" t="inlineStr">
        <is>
          <t>ทรัพย์สินไทย</t>
        </is>
      </c>
      <c r="J2589" s="161" t="n">
        <v>23124</v>
      </c>
      <c r="L2589" s="8" t="inlineStr">
        <is>
          <t>ราคาที่ระบุเป็นก่อนหักส่วนลด</t>
        </is>
      </c>
    </row>
    <row r="2590">
      <c r="B2590" s="6" t="inlineStr">
        <is>
          <t>แม่สี Matrix  M-212 (สีบรอนซ์หลัก)</t>
        </is>
      </c>
      <c r="C2590" s="8" t="inlineStr">
        <is>
          <t>12กป.</t>
        </is>
      </c>
      <c r="D2590" s="9" t="n">
        <v>930</v>
      </c>
      <c r="F2590" s="8" t="n">
        <v>10</v>
      </c>
      <c r="H2590" s="9" t="n">
        <v>11160</v>
      </c>
      <c r="I2590" s="10" t="inlineStr">
        <is>
          <t>ทรัพย์สินไทย</t>
        </is>
      </c>
      <c r="J2590" s="161" t="n">
        <v>23216</v>
      </c>
      <c r="L2590" s="8" t="inlineStr">
        <is>
          <t>ราคาที่ระบุเป็นก่อนหักส่วนลด</t>
        </is>
      </c>
    </row>
    <row r="2591">
      <c r="B2591" s="6" t="inlineStr">
        <is>
          <t>แม่สี Matrix  M-212 (สีบรอนซ์หลัก)</t>
        </is>
      </c>
      <c r="C2591" s="8" t="inlineStr">
        <is>
          <t>6กป.</t>
        </is>
      </c>
      <c r="D2591" s="9" t="n">
        <v>930</v>
      </c>
      <c r="F2591" s="8" t="n">
        <v>10</v>
      </c>
      <c r="H2591" s="9" t="n">
        <v>5580</v>
      </c>
      <c r="I2591" s="10" t="inlineStr">
        <is>
          <t>ทรัพย์สินไทย</t>
        </is>
      </c>
      <c r="J2591" s="161" t="n">
        <v>23221</v>
      </c>
      <c r="L2591" s="8" t="inlineStr">
        <is>
          <t>ราคาที่ระบุเป็นก่อนหักส่วนลด</t>
        </is>
      </c>
    </row>
    <row r="2592">
      <c r="B2592" s="6" t="inlineStr">
        <is>
          <t>แม่สี Matrix  M-212 (สีบรอนซ์หลัก)</t>
        </is>
      </c>
      <c r="C2592" s="8" t="inlineStr">
        <is>
          <t>6กป.</t>
        </is>
      </c>
      <c r="D2592" s="9" t="n">
        <v>930</v>
      </c>
      <c r="F2592" s="8" t="n">
        <v>10</v>
      </c>
      <c r="H2592" s="9" t="n">
        <v>5580</v>
      </c>
      <c r="I2592" s="10" t="inlineStr">
        <is>
          <t>ทรัพย์สินไทย</t>
        </is>
      </c>
      <c r="J2592" s="161" t="n">
        <v>23247</v>
      </c>
      <c r="L2592" s="8" t="inlineStr">
        <is>
          <t>ราคาที่ระบุเป็นก่อนหักส่วนลด</t>
        </is>
      </c>
    </row>
    <row r="2593">
      <c r="B2593" s="6" t="inlineStr">
        <is>
          <t>แม่สี Matrix  M-212 (สีบรอนซ์หลัก)</t>
        </is>
      </c>
      <c r="C2593" s="8" t="inlineStr">
        <is>
          <t>12กป.</t>
        </is>
      </c>
      <c r="D2593" s="9" t="n">
        <v>930</v>
      </c>
      <c r="F2593" s="8" t="n">
        <v>10</v>
      </c>
      <c r="H2593" s="9" t="n">
        <v>11160</v>
      </c>
      <c r="I2593" s="10" t="inlineStr">
        <is>
          <t>ทรัพย์สินไทย</t>
        </is>
      </c>
      <c r="J2593" s="161" t="n">
        <v>23277</v>
      </c>
      <c r="L2593" s="8" t="inlineStr">
        <is>
          <t>ราคาที่ระบุเป็นก่อนหักส่วนลด</t>
        </is>
      </c>
    </row>
    <row r="2594">
      <c r="B2594" s="6" t="inlineStr">
        <is>
          <t>แม่สี Matrix  M-212 (สีบรอนซ์หลัก)</t>
        </is>
      </c>
      <c r="C2594" s="8" t="inlineStr">
        <is>
          <t>12กป.</t>
        </is>
      </c>
      <c r="D2594" s="9" t="n">
        <v>930</v>
      </c>
      <c r="F2594" s="8" t="n">
        <v>10</v>
      </c>
      <c r="H2594" s="9" t="n">
        <v>11160</v>
      </c>
      <c r="I2594" s="10" t="inlineStr">
        <is>
          <t>ทรัพย์สินไทย</t>
        </is>
      </c>
      <c r="J2594" s="161" t="n">
        <v>23305</v>
      </c>
      <c r="L2594" s="8" t="inlineStr">
        <is>
          <t>ราคาที่ระบุเป็นก่อนหักส่วนลด</t>
        </is>
      </c>
    </row>
    <row r="2595">
      <c r="B2595" s="6" t="inlineStr">
        <is>
          <t>แม่สี Matrix  M-212 (สีบรอนซ์หลัก)</t>
        </is>
      </c>
      <c r="C2595" s="8" t="inlineStr">
        <is>
          <t>18กป.</t>
        </is>
      </c>
      <c r="D2595" s="9" t="n">
        <v>930</v>
      </c>
      <c r="F2595" s="8" t="n">
        <v>10</v>
      </c>
      <c r="H2595" s="9" t="n">
        <v>16740</v>
      </c>
      <c r="I2595" s="10" t="inlineStr">
        <is>
          <t>ทรัพย์สินไทย</t>
        </is>
      </c>
      <c r="J2595" s="161" t="n">
        <v>23366</v>
      </c>
      <c r="L2595" s="8" t="inlineStr">
        <is>
          <t>ราคาที่ระบุเป็นก่อนหักส่วนลด</t>
        </is>
      </c>
    </row>
    <row r="2596">
      <c r="B2596" s="6" t="inlineStr">
        <is>
          <t>แม่สี Matrix  M-212 (สีบรอนซ์หลัก)</t>
        </is>
      </c>
      <c r="C2596" s="8" t="inlineStr">
        <is>
          <t>18กป.</t>
        </is>
      </c>
      <c r="D2596" s="9" t="n">
        <v>930</v>
      </c>
      <c r="F2596" s="8" t="n">
        <v>10</v>
      </c>
      <c r="H2596" s="9" t="n">
        <v>16740</v>
      </c>
      <c r="I2596" s="10" t="inlineStr">
        <is>
          <t>ทรัพย์สินไทย</t>
        </is>
      </c>
      <c r="J2596" s="161" t="n">
        <v>23430</v>
      </c>
      <c r="L2596" s="8" t="inlineStr">
        <is>
          <t>ราคาที่ระบุเป็นก่อนหักส่วนลด</t>
        </is>
      </c>
    </row>
    <row r="2597">
      <c r="B2597" s="6" t="inlineStr">
        <is>
          <t>แม่สี Matrix  M-212 (สีบรอนซ์หลัก)</t>
        </is>
      </c>
      <c r="C2597" s="8" t="inlineStr">
        <is>
          <t>18กป.</t>
        </is>
      </c>
      <c r="D2597" s="9" t="n">
        <v>930</v>
      </c>
      <c r="F2597" s="8" t="n">
        <v>10</v>
      </c>
      <c r="H2597" s="9" t="n">
        <v>16740</v>
      </c>
      <c r="I2597" s="10" t="inlineStr">
        <is>
          <t>ทรัพย์สินไทย</t>
        </is>
      </c>
      <c r="J2597" s="161" t="n">
        <v>23460</v>
      </c>
      <c r="L2597" s="8" t="inlineStr">
        <is>
          <t>ราคาที่ระบุเป็นก่อนหักส่วนลด</t>
        </is>
      </c>
    </row>
    <row r="2598">
      <c r="B2598" s="6" t="inlineStr">
        <is>
          <t>แม่สี Matrix  M-212 (สีบรอนซ์หลัก)</t>
        </is>
      </c>
      <c r="C2598" s="8" t="inlineStr">
        <is>
          <t>6กป.</t>
        </is>
      </c>
      <c r="D2598" s="9" t="n">
        <v>930</v>
      </c>
      <c r="F2598" s="8" t="n">
        <v>10</v>
      </c>
      <c r="H2598" s="9" t="n">
        <v>5580</v>
      </c>
      <c r="I2598" s="10" t="inlineStr">
        <is>
          <t>ทรัพย์สินไทย</t>
        </is>
      </c>
      <c r="J2598" s="161" t="n">
        <v>23613</v>
      </c>
      <c r="L2598" s="8" t="inlineStr">
        <is>
          <t>ราคาที่ระบุเป็นก่อนหักส่วนลด</t>
        </is>
      </c>
    </row>
    <row r="2599">
      <c r="B2599" s="6" t="inlineStr">
        <is>
          <t>แม่สี Matrix  M-212 (สีบรอนซ์หลัก)</t>
        </is>
      </c>
      <c r="C2599" s="8" t="inlineStr">
        <is>
          <t>12กป.</t>
        </is>
      </c>
      <c r="D2599" s="9" t="n">
        <v>930</v>
      </c>
      <c r="F2599" s="8" t="n">
        <v>10</v>
      </c>
      <c r="H2599" s="9" t="n">
        <v>11160</v>
      </c>
      <c r="I2599" s="10" t="inlineStr">
        <is>
          <t>ทรัพย์สินไทย</t>
        </is>
      </c>
      <c r="J2599" s="161" t="n">
        <v>23546</v>
      </c>
      <c r="L2599" s="8" t="inlineStr">
        <is>
          <t>ราคาที่ระบุเป็นก่อนหักส่วนลด</t>
        </is>
      </c>
    </row>
    <row r="2600">
      <c r="B2600" s="6" t="inlineStr">
        <is>
          <t>แม่สี Matrix  M-212 (สีบรอนซ์หลัก)</t>
        </is>
      </c>
      <c r="C2600" s="8" t="inlineStr">
        <is>
          <t>12กป.</t>
        </is>
      </c>
      <c r="D2600" s="9" t="n">
        <v>930</v>
      </c>
      <c r="F2600" s="8" t="n">
        <v>10</v>
      </c>
      <c r="H2600" s="9" t="n">
        <v>11160</v>
      </c>
      <c r="I2600" s="10" t="inlineStr">
        <is>
          <t>ทรัพย์สินไทย</t>
        </is>
      </c>
      <c r="J2600" s="161" t="n">
        <v>23584</v>
      </c>
      <c r="L2600" s="8" t="inlineStr">
        <is>
          <t>ราคาที่ระบุเป็นก่อนหักส่วนลด</t>
        </is>
      </c>
    </row>
    <row r="2601">
      <c r="B2601" s="6" t="inlineStr">
        <is>
          <t>แม่สี Matrix  M-212 (สีบรอนซ์หลัก)</t>
        </is>
      </c>
      <c r="C2601" s="8" t="inlineStr">
        <is>
          <t>6กป.</t>
        </is>
      </c>
      <c r="D2601" s="9" t="n">
        <v>930</v>
      </c>
      <c r="F2601" s="8" t="n">
        <v>10</v>
      </c>
      <c r="H2601" s="9" t="n">
        <v>5580</v>
      </c>
      <c r="I2601" s="10" t="inlineStr">
        <is>
          <t>ทรัพย์สินไทย</t>
        </is>
      </c>
      <c r="J2601" s="161" t="n">
        <v>23615</v>
      </c>
      <c r="L2601" s="8" t="inlineStr">
        <is>
          <t>ราคาที่ระบุเป็นก่อนหักส่วนลด</t>
        </is>
      </c>
    </row>
    <row r="2602">
      <c r="B2602" s="6" t="inlineStr">
        <is>
          <t>แม่สี Matrix  M-212 (สีบรอนซ์หลัก)</t>
        </is>
      </c>
      <c r="C2602" s="8" t="inlineStr">
        <is>
          <t>12กป.</t>
        </is>
      </c>
      <c r="D2602" s="9" t="n">
        <v>930</v>
      </c>
      <c r="F2602" s="8" t="n">
        <v>10</v>
      </c>
      <c r="H2602" s="9" t="n">
        <v>11160</v>
      </c>
      <c r="I2602" s="10" t="inlineStr">
        <is>
          <t>ทรัพย์สินไทย</t>
        </is>
      </c>
      <c r="J2602" s="161" t="n">
        <v>23642</v>
      </c>
      <c r="K2602" s="8" t="inlineStr">
        <is>
          <t>IV6409285</t>
        </is>
      </c>
      <c r="L2602" s="8" t="inlineStr">
        <is>
          <t>ราคาที่ระบุเป็นก่อนหักส่วนลด</t>
        </is>
      </c>
    </row>
    <row r="2603">
      <c r="B2603" s="6" t="inlineStr">
        <is>
          <t>แม่สี Matrix  M-212 (สีบรอนซ์หลัก)</t>
        </is>
      </c>
      <c r="C2603" s="8" t="inlineStr">
        <is>
          <t>6กป.</t>
        </is>
      </c>
      <c r="D2603" s="9" t="n">
        <v>930</v>
      </c>
      <c r="F2603" s="8" t="n">
        <v>10</v>
      </c>
      <c r="H2603" s="9" t="n">
        <v>5580</v>
      </c>
      <c r="I2603" s="10" t="inlineStr">
        <is>
          <t>ทรัพย์สินไทย</t>
        </is>
      </c>
      <c r="J2603" s="161" t="n">
        <v>23676</v>
      </c>
      <c r="K2603" s="8" t="inlineStr">
        <is>
          <t>IV6410364</t>
        </is>
      </c>
      <c r="L2603" s="8" t="inlineStr">
        <is>
          <t>ราคาที่ระบุเป็นก่อนหักส่วนลด</t>
        </is>
      </c>
    </row>
    <row r="2604">
      <c r="B2604" s="6" t="inlineStr">
        <is>
          <t>แม่สี Matrix  M-212 (สีบรอนซ์หลัก)</t>
        </is>
      </c>
      <c r="C2604" s="8" t="inlineStr">
        <is>
          <t>12กป.</t>
        </is>
      </c>
      <c r="D2604" s="9" t="n">
        <v>930</v>
      </c>
      <c r="F2604" s="8" t="n">
        <v>10</v>
      </c>
      <c r="H2604" s="9" t="n">
        <v>11160</v>
      </c>
      <c r="I2604" s="10" t="inlineStr">
        <is>
          <t>ทรัพย์สินไทย</t>
        </is>
      </c>
      <c r="J2604" s="161" t="n">
        <v>23704</v>
      </c>
      <c r="K2604" s="8" t="inlineStr">
        <is>
          <t>IV6411319</t>
        </is>
      </c>
      <c r="L2604" s="8" t="inlineStr">
        <is>
          <t>ราคาที่ระบุเป็นก่อนหักส่วนลด</t>
        </is>
      </c>
    </row>
    <row r="2605">
      <c r="B2605" s="6" t="inlineStr">
        <is>
          <t>แม่สี Matrix  M-212 (สีบรอนซ์หลัก)</t>
        </is>
      </c>
      <c r="C2605" s="8" t="inlineStr">
        <is>
          <t>6กป.</t>
        </is>
      </c>
      <c r="D2605" s="9" t="n">
        <v>930</v>
      </c>
      <c r="F2605" s="8" t="n">
        <v>10</v>
      </c>
      <c r="H2605" s="9" t="n">
        <v>5580</v>
      </c>
      <c r="I2605" s="10" t="inlineStr">
        <is>
          <t>ทรัพย์สินไทย</t>
        </is>
      </c>
      <c r="J2605" s="161" t="n">
        <v>23733</v>
      </c>
      <c r="K2605" s="8" t="inlineStr">
        <is>
          <t>IV6412302</t>
        </is>
      </c>
      <c r="L2605" s="8" t="inlineStr">
        <is>
          <t>ราคาที่ระบุเป็นก่อนหักส่วนลด</t>
        </is>
      </c>
    </row>
    <row r="2606">
      <c r="B2606" s="6" t="inlineStr">
        <is>
          <t>แม่สี Matrix  M-212 (สีบรอนซ์หลัก)</t>
        </is>
      </c>
      <c r="C2606" s="8" t="inlineStr">
        <is>
          <t>12กป.</t>
        </is>
      </c>
      <c r="D2606" s="9" t="n">
        <v>930</v>
      </c>
      <c r="F2606" s="8" t="n">
        <v>10</v>
      </c>
      <c r="H2606" s="9" t="n">
        <v>11160</v>
      </c>
      <c r="I2606" s="10" t="inlineStr">
        <is>
          <t>ทรัพย์สินไทย</t>
        </is>
      </c>
      <c r="J2606" s="161" t="n">
        <v>23763</v>
      </c>
      <c r="K2606" s="8" t="inlineStr">
        <is>
          <t>IV6501225</t>
        </is>
      </c>
      <c r="L2606" s="8" t="inlineStr">
        <is>
          <t>ราคาที่ระบุเป็นก่อนหักส่วนลด</t>
        </is>
      </c>
    </row>
    <row r="2607">
      <c r="B2607" s="6" t="inlineStr">
        <is>
          <t>แม่สี Matrix  M-212 (สีบรอนซ์หลัก)</t>
        </is>
      </c>
      <c r="C2607" s="8" t="inlineStr">
        <is>
          <t>12กป.</t>
        </is>
      </c>
      <c r="D2607" s="9" t="n">
        <v>930</v>
      </c>
      <c r="F2607" s="8" t="n">
        <v>10</v>
      </c>
      <c r="H2607" s="9" t="n">
        <v>11160</v>
      </c>
      <c r="I2607" s="10" t="inlineStr">
        <is>
          <t>ทรัพย์สินไทย</t>
        </is>
      </c>
      <c r="J2607" s="161" t="n">
        <v>23795</v>
      </c>
      <c r="K2607" s="8" t="inlineStr">
        <is>
          <t>IV6502258</t>
        </is>
      </c>
      <c r="L2607" s="8" t="inlineStr">
        <is>
          <t>ราคาที่ระบุเป็นก่อนหักส่วนลด</t>
        </is>
      </c>
    </row>
    <row r="2608">
      <c r="B2608" s="6" t="inlineStr">
        <is>
          <t>แม่สี Matrix  M-212 (สีบรอนซ์หลัก)</t>
        </is>
      </c>
      <c r="C2608" s="8" t="inlineStr">
        <is>
          <t>12กป.</t>
        </is>
      </c>
      <c r="D2608" s="9" t="n">
        <v>930</v>
      </c>
      <c r="F2608" s="8" t="n">
        <v>10</v>
      </c>
      <c r="H2608" s="9" t="n">
        <v>11160</v>
      </c>
      <c r="I2608" s="10" t="inlineStr">
        <is>
          <t>ทรัพย์สินไทย</t>
        </is>
      </c>
      <c r="J2608" s="161" t="n">
        <v>23824</v>
      </c>
      <c r="K2608" s="8" t="inlineStr">
        <is>
          <t>IV6503300</t>
        </is>
      </c>
      <c r="L2608" s="8" t="inlineStr">
        <is>
          <t>ราคาที่ระบุเป็นก่อนหักส่วนลด</t>
        </is>
      </c>
    </row>
    <row r="2609">
      <c r="B2609" s="6" t="inlineStr">
        <is>
          <t>แม่สี Matrix  M-212 (สีบรอนซ์หลัก)</t>
        </is>
      </c>
      <c r="C2609" s="8" t="inlineStr">
        <is>
          <t>6กป.</t>
        </is>
      </c>
      <c r="D2609" s="9" t="n">
        <v>930</v>
      </c>
      <c r="F2609" s="8" t="n">
        <v>10</v>
      </c>
      <c r="H2609" s="9" t="n">
        <v>5580</v>
      </c>
      <c r="I2609" s="10" t="inlineStr">
        <is>
          <t>ทรัพย์สินไทย</t>
        </is>
      </c>
      <c r="J2609" s="161" t="n">
        <v>23859</v>
      </c>
      <c r="K2609" s="8" t="inlineStr">
        <is>
          <t>IV6504236</t>
        </is>
      </c>
      <c r="L2609" s="8" t="inlineStr">
        <is>
          <t>ราคาที่ระบุเป็นก่อนหักส่วนลด</t>
        </is>
      </c>
    </row>
    <row r="2610">
      <c r="B2610" s="6" t="inlineStr">
        <is>
          <t>แม่สี Matrix  M-212 (สีบรอนซ์หลัก)</t>
        </is>
      </c>
      <c r="C2610" s="8" t="inlineStr">
        <is>
          <t>18กป.</t>
        </is>
      </c>
      <c r="D2610" s="9" t="n">
        <v>930</v>
      </c>
      <c r="F2610" s="8" t="n">
        <v>10</v>
      </c>
      <c r="H2610" s="9" t="n">
        <v>16740</v>
      </c>
      <c r="I2610" s="10" t="inlineStr">
        <is>
          <t>ทรัพย์สินไทย</t>
        </is>
      </c>
      <c r="J2610" s="161" t="n">
        <v>23887</v>
      </c>
      <c r="K2610" s="8" t="inlineStr">
        <is>
          <t>IV6505291</t>
        </is>
      </c>
      <c r="L2610" s="8" t="inlineStr">
        <is>
          <t>ราคาที่ระบุเป็นก่อนหักส่วนลด</t>
        </is>
      </c>
    </row>
    <row r="2611">
      <c r="B2611" s="6" t="inlineStr">
        <is>
          <t>แม่สี Matrix  M-212 (สีบรอนซ์หลัก)</t>
        </is>
      </c>
      <c r="C2611" s="8" t="inlineStr">
        <is>
          <t>6กป.</t>
        </is>
      </c>
      <c r="D2611" s="9" t="n">
        <v>930</v>
      </c>
      <c r="F2611" s="8" t="n">
        <v>10</v>
      </c>
      <c r="H2611" s="9" t="n">
        <v>5580</v>
      </c>
      <c r="I2611" s="10" t="inlineStr">
        <is>
          <t>ทรัพย์สินไทย</t>
        </is>
      </c>
      <c r="J2611" s="161" t="n">
        <v>23917</v>
      </c>
      <c r="K2611" s="8" t="inlineStr">
        <is>
          <t>IV6506322</t>
        </is>
      </c>
      <c r="L2611" s="8" t="inlineStr">
        <is>
          <t>ราคาที่ระบุเป็นก่อนหักส่วนลด</t>
        </is>
      </c>
    </row>
    <row r="2612">
      <c r="B2612" s="6" t="inlineStr">
        <is>
          <t>แม่สี Matrix  M-212 (สีบรอนซ์หลัก)</t>
        </is>
      </c>
      <c r="C2612" s="8" t="inlineStr">
        <is>
          <t>12กป.</t>
        </is>
      </c>
      <c r="D2612" s="9" t="n">
        <v>930</v>
      </c>
      <c r="F2612" s="8" t="n">
        <v>10</v>
      </c>
      <c r="H2612" s="9" t="n">
        <v>11160</v>
      </c>
      <c r="I2612" s="10" t="inlineStr">
        <is>
          <t>ทรัพย์สินไทย</t>
        </is>
      </c>
      <c r="J2612" s="161" t="n">
        <v>23920</v>
      </c>
      <c r="K2612" s="8" t="inlineStr">
        <is>
          <t>IV6506336</t>
        </is>
      </c>
      <c r="L2612" s="8" t="inlineStr">
        <is>
          <t>ราคาที่ระบุเป็นก่อนหักส่วนลด</t>
        </is>
      </c>
    </row>
    <row r="2613">
      <c r="B2613" s="6" t="inlineStr">
        <is>
          <t>แม่สี บรอนซ์ละเอียดพิเศษ SC-212 (สีบรอนซ์หลัก)</t>
        </is>
      </c>
      <c r="C2613" s="8" t="inlineStr">
        <is>
          <t>6กป.</t>
        </is>
      </c>
      <c r="D2613" s="9" t="n">
        <v>800</v>
      </c>
      <c r="H2613" s="9" t="n">
        <v>4800</v>
      </c>
      <c r="I2613" s="10" t="inlineStr">
        <is>
          <t>บจก. วีที คัลเลอร์ โปร</t>
        </is>
      </c>
      <c r="J2613" s="161" t="n">
        <v>23956</v>
      </c>
      <c r="K2613" s="8" t="inlineStr">
        <is>
          <t>IV116-65</t>
        </is>
      </c>
      <c r="L2613" s="8" t="inlineStr">
        <is>
          <t>ราคาที่ระบุ ยังไม่รวม VAT7%</t>
        </is>
      </c>
    </row>
    <row r="2614">
      <c r="B2614" s="6" t="inlineStr">
        <is>
          <t>แม่สี บรอนซ์ละเอียดพิเศษ SC-212 (สีบรอนซ์หลัก)</t>
        </is>
      </c>
      <c r="C2614" s="8" t="inlineStr">
        <is>
          <t>8กป.</t>
        </is>
      </c>
      <c r="D2614" s="9" t="n">
        <v>800</v>
      </c>
      <c r="H2614" s="9" t="n">
        <v>6400</v>
      </c>
      <c r="I2614" s="10" t="inlineStr">
        <is>
          <t>บจก. วีที คัลเลอร์ โปร</t>
        </is>
      </c>
      <c r="J2614" s="161" t="n">
        <v>23978</v>
      </c>
      <c r="K2614" s="8" t="inlineStr">
        <is>
          <t>IV148-65</t>
        </is>
      </c>
      <c r="L2614" s="8" t="inlineStr">
        <is>
          <t>ราคาที่ระบุ ยังไม่รวม VAT7%</t>
        </is>
      </c>
    </row>
    <row r="2615">
      <c r="B2615" s="6" t="inlineStr">
        <is>
          <t>แม่สี บรอนซ์ละเอียดพิเศษ SC-212 (สีบรอนซ์หลัก)</t>
        </is>
      </c>
      <c r="C2615" s="8" t="inlineStr">
        <is>
          <t>8กป.</t>
        </is>
      </c>
      <c r="D2615" s="9" t="n">
        <v>800</v>
      </c>
      <c r="H2615" s="9" t="n">
        <v>6400</v>
      </c>
      <c r="I2615" s="10" t="inlineStr">
        <is>
          <t>บจก. วีที คัลเลอร์ โปร</t>
        </is>
      </c>
      <c r="J2615" s="161" t="n">
        <v>23992</v>
      </c>
      <c r="K2615" s="8" t="inlineStr">
        <is>
          <t>IV167-65</t>
        </is>
      </c>
      <c r="L2615" s="8" t="inlineStr">
        <is>
          <t>ราคายังไม่รวม VAT</t>
        </is>
      </c>
    </row>
    <row r="2616">
      <c r="B2616" s="6" t="inlineStr">
        <is>
          <t>แม่สี บรอนซ์ละเอียดพิเศษ SC-212 (สีบรอนซ์หลัก)</t>
        </is>
      </c>
      <c r="C2616" s="8" t="inlineStr">
        <is>
          <t>12กป.</t>
        </is>
      </c>
      <c r="D2616" s="9" t="n">
        <v>800</v>
      </c>
      <c r="H2616" s="9" t="n">
        <v>9600</v>
      </c>
      <c r="I2616" s="10" t="inlineStr">
        <is>
          <t>บจก. วีที คัลเลอร์ โปร</t>
        </is>
      </c>
      <c r="J2616" s="161" t="n">
        <v>24005</v>
      </c>
      <c r="K2616" s="8" t="inlineStr">
        <is>
          <t>IV184-65</t>
        </is>
      </c>
      <c r="L2616" s="8" t="inlineStr">
        <is>
          <t>ราคายังไม่รวม VAT</t>
        </is>
      </c>
    </row>
    <row r="2617">
      <c r="B2617" s="6" t="inlineStr">
        <is>
          <t>แม่สี บรอนซ์ละเอียดพิเศษ SC-212 (สีบรอนซ์หลัก)</t>
        </is>
      </c>
      <c r="C2617" s="8" t="inlineStr">
        <is>
          <t>6กป.</t>
        </is>
      </c>
      <c r="D2617" s="9" t="n">
        <v>800</v>
      </c>
      <c r="H2617" s="9" t="n">
        <v>4800</v>
      </c>
      <c r="I2617" s="10" t="inlineStr">
        <is>
          <t>บจก. วีที คัลเลอร์ โปร</t>
        </is>
      </c>
      <c r="J2617" s="161" t="n">
        <v>24030</v>
      </c>
      <c r="K2617" s="8" t="inlineStr">
        <is>
          <t>IV214-65</t>
        </is>
      </c>
      <c r="L2617" s="8" t="inlineStr">
        <is>
          <t>ราคายังไม่รวม VAT</t>
        </is>
      </c>
    </row>
    <row r="2618">
      <c r="B2618" s="6" t="inlineStr">
        <is>
          <t>แม่สี บรอนซ์ละเอียดพิเศษ SC-212 (สีบรอนซ์หลัก)</t>
        </is>
      </c>
      <c r="C2618" s="8" t="inlineStr">
        <is>
          <t>12กป.</t>
        </is>
      </c>
      <c r="D2618" s="9" t="n">
        <v>800</v>
      </c>
      <c r="H2618" s="9" t="n">
        <v>9600</v>
      </c>
      <c r="I2618" s="10" t="inlineStr">
        <is>
          <t>บจก. วีที คัลเลอร์ โปร</t>
        </is>
      </c>
      <c r="J2618" s="161" t="n">
        <v>24040</v>
      </c>
      <c r="K2618" s="8" t="inlineStr">
        <is>
          <t>IV228-65</t>
        </is>
      </c>
      <c r="L2618" s="8" t="inlineStr">
        <is>
          <t>ราคายังไม่รวม VAT</t>
        </is>
      </c>
    </row>
    <row r="2619">
      <c r="B2619" s="6" t="inlineStr">
        <is>
          <t>แม่สี บรอนซ์ละเอียดพิเศษ SC-212 (สีบรอนซ์หลัก)</t>
        </is>
      </c>
      <c r="C2619" s="8" t="inlineStr">
        <is>
          <t>12กป.</t>
        </is>
      </c>
      <c r="D2619" s="9" t="n">
        <v>800</v>
      </c>
      <c r="H2619" s="9" t="n">
        <v>9600</v>
      </c>
      <c r="I2619" s="10" t="inlineStr">
        <is>
          <t>บจก. วีที คัลเลอร์ โปร</t>
        </is>
      </c>
      <c r="J2619" s="161" t="n">
        <v>24069</v>
      </c>
      <c r="K2619" s="8" t="inlineStr">
        <is>
          <t>IV276-65</t>
        </is>
      </c>
      <c r="L2619" s="8" t="inlineStr">
        <is>
          <t>ราคายังไม่รวม VAT</t>
        </is>
      </c>
    </row>
    <row r="2620">
      <c r="B2620" s="6" t="inlineStr">
        <is>
          <t>แม่สี บรอนซ์ละเอียดพิเศษ SC-212 (สีบรอนซ์หลัก)</t>
        </is>
      </c>
      <c r="C2620" s="8" t="inlineStr">
        <is>
          <t>12กป.</t>
        </is>
      </c>
      <c r="D2620" s="9" t="n">
        <v>800</v>
      </c>
      <c r="H2620" s="9" t="n">
        <v>9600</v>
      </c>
      <c r="I2620" s="10" t="inlineStr">
        <is>
          <t>บจก. วีที คัลเลอร์ โปร</t>
        </is>
      </c>
      <c r="J2620" s="161" t="n">
        <v>24095</v>
      </c>
      <c r="K2620" s="8" t="inlineStr">
        <is>
          <t>IV318-65</t>
        </is>
      </c>
      <c r="L2620" s="8" t="inlineStr">
        <is>
          <t>ราคายังไม่รวม VAT</t>
        </is>
      </c>
    </row>
    <row r="2621">
      <c r="B2621" s="6" t="inlineStr">
        <is>
          <t>แม่สี บรอนซ์ละเอียดพิเศษ SC-212 (สีบรอนซ์หลัก)</t>
        </is>
      </c>
      <c r="C2621" s="8" t="inlineStr">
        <is>
          <t>6กป.</t>
        </is>
      </c>
      <c r="D2621" s="9" t="n">
        <v>800</v>
      </c>
      <c r="H2621" s="9" t="n">
        <v>4800</v>
      </c>
      <c r="I2621" s="10" t="inlineStr">
        <is>
          <t>บจก. วีที คัลเลอร์ โปร</t>
        </is>
      </c>
      <c r="J2621" s="161" t="n">
        <v>24189</v>
      </c>
      <c r="K2621" s="8" t="inlineStr">
        <is>
          <t>IV178-66</t>
        </is>
      </c>
      <c r="L2621" s="8" t="inlineStr">
        <is>
          <t>ราคายังไม่รวม VAT</t>
        </is>
      </c>
    </row>
    <row r="2622">
      <c r="B2622" s="6" t="inlineStr">
        <is>
          <t>แม่สี บรอนซ์ละเอียดพิเศษ SC-212 (สีบรอนซ์หลัก)</t>
        </is>
      </c>
      <c r="C2622" s="8" t="inlineStr">
        <is>
          <t>6กป.</t>
        </is>
      </c>
      <c r="D2622" s="9" t="n">
        <v>800</v>
      </c>
      <c r="H2622" s="9" t="n">
        <v>4800</v>
      </c>
      <c r="I2622" s="10" t="inlineStr">
        <is>
          <t>บจก. วีที คัลเลอร์ โปร</t>
        </is>
      </c>
      <c r="J2622" s="161" t="n">
        <v>24147</v>
      </c>
      <c r="K2622" s="8" t="inlineStr">
        <is>
          <t>IV088-66</t>
        </is>
      </c>
      <c r="L2622" s="8" t="inlineStr">
        <is>
          <t>ราคายังไม่รวม VAT</t>
        </is>
      </c>
    </row>
    <row r="2623">
      <c r="B2623" s="6" t="inlineStr">
        <is>
          <t>แม่สี บรอนซ์ละเอียดพิเศษ SC-212 (สีบรอนซ์หลัก)</t>
        </is>
      </c>
      <c r="C2623" s="8" t="inlineStr">
        <is>
          <t>18กป.</t>
        </is>
      </c>
      <c r="D2623" s="9" t="n">
        <v>800</v>
      </c>
      <c r="H2623" s="9" t="n">
        <v>14400</v>
      </c>
      <c r="I2623" s="10" t="inlineStr">
        <is>
          <t>บจก. วีที คัลเลอร์ โปร</t>
        </is>
      </c>
      <c r="J2623" s="161" t="n">
        <v>24160</v>
      </c>
      <c r="K2623" s="8" t="inlineStr">
        <is>
          <t>IV113-66</t>
        </is>
      </c>
      <c r="L2623" s="8" t="inlineStr">
        <is>
          <t>ราคายังไม่รวม VAT</t>
        </is>
      </c>
    </row>
    <row r="2624">
      <c r="B2624" s="6" t="inlineStr">
        <is>
          <t>แม่สี บรอนซ์ละเอียดพิเศษ SC-212 (สีบรอนซ์หลัก)</t>
        </is>
      </c>
      <c r="C2624" s="8" t="inlineStr">
        <is>
          <t>4กป.</t>
        </is>
      </c>
      <c r="D2624" s="9" t="n">
        <v>800</v>
      </c>
      <c r="H2624" s="9" t="n">
        <v>3200</v>
      </c>
      <c r="I2624" s="10" t="inlineStr">
        <is>
          <t>บจก. วีที คัลเลอร์ โปร</t>
        </is>
      </c>
      <c r="J2624" s="161" t="n">
        <v>24186</v>
      </c>
      <c r="K2624" s="8" t="inlineStr">
        <is>
          <t>IV168-66</t>
        </is>
      </c>
      <c r="L2624" s="8" t="inlineStr">
        <is>
          <t>ราคายังไม่รวม VAT</t>
        </is>
      </c>
    </row>
    <row r="2625">
      <c r="B2625" s="6" t="inlineStr">
        <is>
          <t>แม่สี บรอนซ์ละเอียดพิเศษ SC-212 (สีบรอนซ์หลัก)</t>
        </is>
      </c>
      <c r="C2625" s="8" t="inlineStr">
        <is>
          <t>6กป.</t>
        </is>
      </c>
      <c r="D2625" s="9" t="n">
        <v>800</v>
      </c>
      <c r="H2625" s="9" t="n">
        <v>4800</v>
      </c>
      <c r="I2625" s="10" t="inlineStr">
        <is>
          <t>บจก. วีที คัลเลอร์ โปร</t>
        </is>
      </c>
      <c r="J2625" s="161" t="n">
        <v>24221</v>
      </c>
      <c r="K2625" s="8" t="inlineStr">
        <is>
          <t>IV226-66</t>
        </is>
      </c>
      <c r="L2625" s="8" t="inlineStr">
        <is>
          <t>ราคายังไม่รวม VAT</t>
        </is>
      </c>
    </row>
    <row r="2626">
      <c r="B2626" s="6" t="inlineStr">
        <is>
          <t>แม่สี บรอนซ์ละเอียดพิเศษ SC-212 (สีบรอนซ์หลัก)</t>
        </is>
      </c>
      <c r="C2626" s="8" t="inlineStr">
        <is>
          <t>6กป.</t>
        </is>
      </c>
      <c r="D2626" s="9" t="n">
        <v>800</v>
      </c>
      <c r="H2626" s="9" t="n">
        <v>4800</v>
      </c>
      <c r="I2626" s="10" t="inlineStr">
        <is>
          <t>บจก. วีที คัลเลอร์ โปร</t>
        </is>
      </c>
      <c r="J2626" s="161" t="n">
        <v>24271</v>
      </c>
      <c r="K2626" s="8" t="inlineStr">
        <is>
          <t>IV329-66</t>
        </is>
      </c>
      <c r="L2626" s="8" t="inlineStr">
        <is>
          <t>ราคายังไม่รวม VAT</t>
        </is>
      </c>
    </row>
    <row r="2627">
      <c r="B2627" s="6" t="inlineStr">
        <is>
          <t>แม่สี บรอนซ์ละเอียดพิเศษ SC-212 (สีบรอนซ์หลัก)</t>
        </is>
      </c>
      <c r="C2627" s="8" t="inlineStr">
        <is>
          <t>12กป.</t>
        </is>
      </c>
      <c r="D2627" s="9" t="n">
        <v>800</v>
      </c>
      <c r="H2627" s="9" t="n">
        <v>9600</v>
      </c>
      <c r="I2627" s="10" t="inlineStr">
        <is>
          <t>บจก. วีที คัลเลอร์ โปร</t>
        </is>
      </c>
      <c r="J2627" s="161" t="n">
        <v>24282</v>
      </c>
      <c r="K2627" s="8" t="inlineStr">
        <is>
          <t>IV353-66</t>
        </is>
      </c>
      <c r="L2627" s="8" t="inlineStr">
        <is>
          <t>ราคายังไม่รวม VAT</t>
        </is>
      </c>
    </row>
    <row r="2628">
      <c r="B2628" s="6" t="inlineStr">
        <is>
          <t>แม่สี บรอนซ์ละเอียดพิเศษ Hybrid S212 (สีบรอนซ์หลัก)</t>
        </is>
      </c>
      <c r="C2628" s="8" t="inlineStr">
        <is>
          <t>6กป.</t>
        </is>
      </c>
      <c r="D2628" s="9" t="n">
        <v>800</v>
      </c>
      <c r="H2628" s="9" t="n">
        <v>4800</v>
      </c>
      <c r="I2628" s="10" t="inlineStr">
        <is>
          <t>บจก. วีที คัลเลอร์ โปร</t>
        </is>
      </c>
      <c r="J2628" s="161" t="n">
        <v>24309</v>
      </c>
      <c r="K2628" s="8" t="inlineStr">
        <is>
          <t>IV410-66</t>
        </is>
      </c>
      <c r="L2628" s="8" t="inlineStr">
        <is>
          <t>ราคายังไม่รวม VAT</t>
        </is>
      </c>
    </row>
    <row r="2629">
      <c r="B2629" s="6" t="inlineStr">
        <is>
          <t>แม่สี บรอนซ์ละเอียดพิเศษ Hybrid S212 (สีบรอนซ์หลัก)</t>
        </is>
      </c>
      <c r="C2629" s="8" t="inlineStr">
        <is>
          <t>6กป.</t>
        </is>
      </c>
      <c r="D2629" s="9" t="n">
        <v>800</v>
      </c>
      <c r="H2629" s="9" t="n">
        <v>4800</v>
      </c>
      <c r="I2629" s="10" t="inlineStr">
        <is>
          <t>บจก. วีที คัลเลอร์ โปร</t>
        </is>
      </c>
      <c r="J2629" s="161" t="n">
        <v>24315</v>
      </c>
      <c r="K2629" s="8" t="inlineStr">
        <is>
          <t>IV423-66</t>
        </is>
      </c>
      <c r="L2629" s="8" t="inlineStr">
        <is>
          <t>ราคายังไม่รวม VAT</t>
        </is>
      </c>
    </row>
    <row r="2630">
      <c r="B2630" s="6" t="inlineStr">
        <is>
          <t>แม่สี บรอนซ์ละเอียดพิเศษ Hybrid S212 (สีบรอนซ์หลัก)</t>
        </is>
      </c>
      <c r="C2630" s="8" t="n">
        <v>6</v>
      </c>
      <c r="D2630" s="9" t="n">
        <v>800</v>
      </c>
      <c r="H2630" s="9">
        <f>SUM(D2630*C2630)</f>
        <v/>
      </c>
      <c r="I2630" s="10" t="inlineStr">
        <is>
          <t>บจก. วีที คัลเลอร์ โปร</t>
        </is>
      </c>
      <c r="J2630" s="161" t="n">
        <v>24340</v>
      </c>
      <c r="K2630" s="8" t="inlineStr">
        <is>
          <t>IV469-66</t>
        </is>
      </c>
      <c r="L2630" s="8" t="inlineStr">
        <is>
          <t>ราคายังไม่รวม VAT</t>
        </is>
      </c>
    </row>
    <row r="2631">
      <c r="B2631" s="6" t="inlineStr">
        <is>
          <t>แม่สี บรอนซ์ละเอียดพิเศษ Hybrid S212 (สีบรอนซ์หลัก)</t>
        </is>
      </c>
      <c r="C2631" s="8" t="n">
        <v>12</v>
      </c>
      <c r="D2631" s="9" t="n">
        <v>800</v>
      </c>
      <c r="H2631" s="9">
        <f>SUM(D2631*C2631)</f>
        <v/>
      </c>
      <c r="I2631" s="10" t="inlineStr">
        <is>
          <t>บจก. วีที คัลเลอร์ โปร</t>
        </is>
      </c>
      <c r="J2631" s="161" t="n">
        <v>24372</v>
      </c>
      <c r="K2631" s="8" t="inlineStr">
        <is>
          <t>IV541-66</t>
        </is>
      </c>
      <c r="L2631" s="8" t="inlineStr">
        <is>
          <t>ราคายังไม่รวม VAT</t>
        </is>
      </c>
    </row>
    <row r="2632">
      <c r="B2632" s="6" t="inlineStr">
        <is>
          <t>แม่สี บรอนซ์ละเอียดพิเศษ Hybrid S212 (สีบรอนซ์หลัก)</t>
        </is>
      </c>
      <c r="C2632" s="8" t="n">
        <v>12</v>
      </c>
      <c r="D2632" s="9" t="n">
        <v>800</v>
      </c>
      <c r="H2632" s="9">
        <f>SUM(D2632*C2632)</f>
        <v/>
      </c>
      <c r="I2632" s="10" t="inlineStr">
        <is>
          <t>บจก. วีที คัลเลอร์ โปร</t>
        </is>
      </c>
      <c r="J2632" s="161" t="n">
        <v>24401</v>
      </c>
      <c r="K2632" s="8" t="inlineStr">
        <is>
          <t>IV684-66</t>
        </is>
      </c>
      <c r="L2632" s="8" t="inlineStr">
        <is>
          <t>ราคายังไม่รวม VAT</t>
        </is>
      </c>
    </row>
    <row r="2633">
      <c r="B2633" s="6" t="inlineStr">
        <is>
          <t>แม่สี บรอนซ์ละเอียดพิเศษ Hybrid S212 (สีบรอนซ์หลัก)</t>
        </is>
      </c>
      <c r="C2633" s="8" t="n">
        <v>12</v>
      </c>
      <c r="D2633" s="9" t="n">
        <v>800</v>
      </c>
      <c r="H2633" s="9">
        <f>SUM(D2633*C2633)</f>
        <v/>
      </c>
      <c r="I2633" s="10" t="inlineStr">
        <is>
          <t>บจก. วีที คัลเลอร์ โปร</t>
        </is>
      </c>
      <c r="J2633" s="161" t="n">
        <v>24404</v>
      </c>
      <c r="K2633" s="8" t="inlineStr">
        <is>
          <t>IV619-66</t>
        </is>
      </c>
      <c r="L2633" s="8" t="inlineStr">
        <is>
          <t>ราคายังไม่รวม VAT</t>
        </is>
      </c>
    </row>
    <row r="2634">
      <c r="B2634" s="6" t="inlineStr">
        <is>
          <t>แม่สี บรอนซ์ละเอียดพิเศษ Hybrid S212 (สีบรอนซ์หลัก)</t>
        </is>
      </c>
      <c r="C2634" s="8" t="n">
        <v>6</v>
      </c>
      <c r="D2634" s="9" t="n">
        <v>800</v>
      </c>
      <c r="H2634" s="9">
        <f>SUM(D2634*C2634)</f>
        <v/>
      </c>
      <c r="I2634" s="10" t="inlineStr">
        <is>
          <t>บจก. วีที คัลเลอร์ โปร</t>
        </is>
      </c>
      <c r="J2634" s="161" t="n">
        <v>24462</v>
      </c>
      <c r="K2634" s="8" t="inlineStr">
        <is>
          <t>IV765-66</t>
        </is>
      </c>
      <c r="L2634" s="8" t="inlineStr">
        <is>
          <t>ราคายังไม่รวม VAT</t>
        </is>
      </c>
    </row>
    <row r="2635">
      <c r="B2635" s="6" t="inlineStr">
        <is>
          <t>แม่สี บรอนซ์ละเอียดพิเศษ Hybrid S212 (สีบรอนซ์หลัก)</t>
        </is>
      </c>
      <c r="C2635" s="8" t="n">
        <v>6</v>
      </c>
      <c r="D2635" s="9" t="n">
        <v>800</v>
      </c>
      <c r="H2635" s="9">
        <f>SUM(D2635*C2635)</f>
        <v/>
      </c>
      <c r="I2635" s="10" t="inlineStr">
        <is>
          <t>บจก. วีที คัลเลอร์ โปร</t>
        </is>
      </c>
      <c r="J2635" s="161" t="n">
        <v>24496</v>
      </c>
      <c r="K2635" s="8" t="inlineStr">
        <is>
          <t>IV6701079</t>
        </is>
      </c>
      <c r="L2635" s="8" t="inlineStr">
        <is>
          <t>ราคายังไม่รวม VAT</t>
        </is>
      </c>
    </row>
    <row r="2636">
      <c r="B2636" s="6" t="inlineStr">
        <is>
          <t>แม่สี บรอนซ์ละเอียดพิเศษ Hybrid S212 (สีบรอนซ์หลัก)</t>
        </is>
      </c>
      <c r="C2636" s="8" t="n">
        <v>12</v>
      </c>
      <c r="D2636" s="9" t="n">
        <v>800</v>
      </c>
      <c r="H2636" s="9">
        <f>SUM(D2636*C2636)</f>
        <v/>
      </c>
      <c r="I2636" s="10" t="inlineStr">
        <is>
          <t>บจก. วีที คัลเลอร์ โปร</t>
        </is>
      </c>
      <c r="J2636" s="161" t="n">
        <v>24529</v>
      </c>
      <c r="K2636" s="8" t="inlineStr">
        <is>
          <t>IV6702103</t>
        </is>
      </c>
      <c r="L2636" s="8" t="inlineStr">
        <is>
          <t>ราคายังไม่รวม VAT</t>
        </is>
      </c>
    </row>
    <row r="2637">
      <c r="B2637" s="6" t="inlineStr">
        <is>
          <t>แม่สี บรอนซ์ละเอียดพิเศษ Hybrid S212 (สีบรอนซ์หลัก)</t>
        </is>
      </c>
      <c r="C2637" s="8" t="n">
        <v>6</v>
      </c>
      <c r="D2637" s="9" t="n">
        <v>800</v>
      </c>
      <c r="H2637" s="9">
        <f>SUM(D2637*C2637)</f>
        <v/>
      </c>
      <c r="I2637" s="10" t="inlineStr">
        <is>
          <t>บจก. วีที คัลเลอร์ โปร</t>
        </is>
      </c>
      <c r="J2637" s="161" t="n">
        <v>24584</v>
      </c>
      <c r="K2637" s="8" t="inlineStr">
        <is>
          <t>IV6704071</t>
        </is>
      </c>
      <c r="L2637" s="8" t="inlineStr">
        <is>
          <t>ราคายังไม่รวม VAT</t>
        </is>
      </c>
    </row>
    <row r="2638">
      <c r="B2638" s="6" t="inlineStr">
        <is>
          <t>แม่สี บรอนซ์ละเอียดพิเศษ Hybrid S212 (สีบรอนซ์หลัก)</t>
        </is>
      </c>
      <c r="C2638" s="8" t="n">
        <v>12</v>
      </c>
      <c r="D2638" s="9" t="n">
        <v>800</v>
      </c>
      <c r="H2638" s="9">
        <f>SUM(D2638*C2638)</f>
        <v/>
      </c>
      <c r="I2638" s="10" t="inlineStr">
        <is>
          <t>บจก. วีที คัลเลอร์ โปร</t>
        </is>
      </c>
      <c r="J2638" s="161" t="n">
        <v>24613</v>
      </c>
      <c r="K2638" s="8" t="inlineStr">
        <is>
          <t>IV6705104</t>
        </is>
      </c>
      <c r="L2638" s="8" t="inlineStr">
        <is>
          <t>ราคายังไม่รวม VAT</t>
        </is>
      </c>
    </row>
    <row r="2639">
      <c r="B2639" s="6" t="inlineStr">
        <is>
          <t>แม่สี บรอนซ์ละเอียดพิเศษ Hybrid S212 (สีบรอนซ์หลัก)</t>
        </is>
      </c>
      <c r="C2639" s="8" t="n">
        <v>12</v>
      </c>
      <c r="D2639" s="9" t="n">
        <v>800</v>
      </c>
      <c r="H2639" s="9">
        <f>SUM(D2639*C2639)</f>
        <v/>
      </c>
      <c r="I2639" s="10" t="inlineStr">
        <is>
          <t>บจก. วีที คัลเลอร์ โปร</t>
        </is>
      </c>
      <c r="J2639" s="161" t="n">
        <v>24550</v>
      </c>
      <c r="K2639" s="8" t="inlineStr">
        <is>
          <t>IV6703088</t>
        </is>
      </c>
      <c r="L2639" s="8" t="inlineStr">
        <is>
          <t>ราคายังไม่รวม VAT</t>
        </is>
      </c>
    </row>
    <row r="2640">
      <c r="B2640" s="6" t="inlineStr">
        <is>
          <t>แม่สี บรอนซ์ละเอียดพิเศษ Hybrid S212 (สีบรอนซ์หลัก)</t>
        </is>
      </c>
      <c r="C2640" s="8" t="n">
        <v>12</v>
      </c>
      <c r="D2640" s="9" t="n">
        <v>800</v>
      </c>
      <c r="H2640" s="9">
        <f>SUM(D2640*C2640)</f>
        <v/>
      </c>
      <c r="I2640" s="10" t="inlineStr">
        <is>
          <t>บจก. วีที คัลเลอร์ โปร</t>
        </is>
      </c>
      <c r="J2640" s="161" t="n">
        <v>24644</v>
      </c>
      <c r="K2640" s="8" t="inlineStr">
        <is>
          <t>IV6706124</t>
        </is>
      </c>
      <c r="L2640" s="8" t="inlineStr">
        <is>
          <t>ราคายังไม่รวม VAT</t>
        </is>
      </c>
    </row>
    <row r="2641">
      <c r="B2641" s="6" t="inlineStr">
        <is>
          <t>แม่สี บรอนซ์ละเอียดพิเศษ Hybrid S212 (สีบรอนซ์หลัก)</t>
        </is>
      </c>
      <c r="C2641" s="8" t="n">
        <v>6</v>
      </c>
      <c r="D2641" s="9" t="n">
        <v>800</v>
      </c>
      <c r="H2641" s="9">
        <f>SUM(D2641*C2641)</f>
        <v/>
      </c>
      <c r="I2641" s="10" t="inlineStr">
        <is>
          <t>บจก. วีที คัลเลอร์ โปร</t>
        </is>
      </c>
      <c r="J2641" s="161" t="n">
        <v>24664</v>
      </c>
      <c r="K2641" s="8" t="inlineStr">
        <is>
          <t>IV6707082</t>
        </is>
      </c>
      <c r="L2641" s="8" t="inlineStr">
        <is>
          <t>ราคายังไม่รวม VAT</t>
        </is>
      </c>
    </row>
    <row r="2642">
      <c r="B2642" s="6" t="inlineStr">
        <is>
          <t>แม่สี บรอนซ์ละเอียดพิเศษ Hybrid S212 (สีบรอนซ์หลัก)</t>
        </is>
      </c>
      <c r="C2642" s="8" t="n">
        <v>12</v>
      </c>
      <c r="D2642" s="9" t="n">
        <v>800</v>
      </c>
      <c r="H2642" s="9">
        <f>SUM(D2642*C2642)</f>
        <v/>
      </c>
      <c r="I2642" s="10" t="inlineStr">
        <is>
          <t>บจก. วีที คัลเลอร์ โปร</t>
        </is>
      </c>
      <c r="J2642" s="161" t="n">
        <v>24676</v>
      </c>
      <c r="K2642" s="8" t="inlineStr">
        <is>
          <t>IV6707130</t>
        </is>
      </c>
      <c r="L2642" s="8" t="inlineStr">
        <is>
          <t>ราคายังไม่รวม VAT</t>
        </is>
      </c>
    </row>
    <row r="2643">
      <c r="B2643" s="6" t="inlineStr">
        <is>
          <t>แม่สี บรอนซ์ละเอียดพิเศษ Hybrid S212 (สีบรอนซ์หลัก)</t>
        </is>
      </c>
      <c r="C2643" s="8" t="n">
        <v>12</v>
      </c>
      <c r="D2643" s="9" t="n">
        <v>800</v>
      </c>
      <c r="H2643" s="9">
        <f>SUM(D2643*C2643)</f>
        <v/>
      </c>
      <c r="I2643" s="10" t="inlineStr">
        <is>
          <t>บจก. วีที คัลเลอร์ โปร</t>
        </is>
      </c>
      <c r="J2643" s="161" t="n">
        <v>24707</v>
      </c>
      <c r="K2643" s="8" t="inlineStr">
        <is>
          <t>IV6708116</t>
        </is>
      </c>
      <c r="L2643" s="8" t="inlineStr">
        <is>
          <t>ราคายังไม่รวม VAT</t>
        </is>
      </c>
    </row>
    <row r="2644">
      <c r="B2644" s="6" t="inlineStr">
        <is>
          <t>แม่สี บรอนซ์ละเอียดพิเศษ Hybrid S212 (สีบรอนซ์หลัก)</t>
        </is>
      </c>
      <c r="C2644" s="8" t="n">
        <v>12</v>
      </c>
      <c r="D2644" s="9" t="n">
        <v>800</v>
      </c>
      <c r="H2644" s="9">
        <f>SUM(D2644*C2644)</f>
        <v/>
      </c>
      <c r="I2644" s="10" t="inlineStr">
        <is>
          <t>บจก. วีที คัลเลอร์ โปร</t>
        </is>
      </c>
      <c r="J2644" s="161" t="n">
        <v>24739</v>
      </c>
      <c r="K2644" s="8" t="inlineStr">
        <is>
          <t>IV6709122</t>
        </is>
      </c>
      <c r="L2644" s="8" t="inlineStr">
        <is>
          <t>ราคายังไม่รวม VAT</t>
        </is>
      </c>
    </row>
    <row r="2645">
      <c r="B2645" s="6" t="inlineStr">
        <is>
          <t>แม่สี บรอนซ์ละเอียดพิเศษ Hybrid S212 (สีบรอนซ์หลัก)</t>
        </is>
      </c>
      <c r="C2645" s="8" t="n">
        <v>12</v>
      </c>
      <c r="D2645" s="9" t="n">
        <v>800</v>
      </c>
      <c r="H2645" s="9">
        <f>SUM(D2645*C2645)</f>
        <v/>
      </c>
      <c r="I2645" s="10" t="inlineStr">
        <is>
          <t>บจก. วีที คัลเลอร์ โปร</t>
        </is>
      </c>
      <c r="J2645" s="161" t="n">
        <v>24795</v>
      </c>
      <c r="K2645" s="8" t="inlineStr">
        <is>
          <t>IV6711103</t>
        </is>
      </c>
      <c r="L2645" s="8" t="inlineStr">
        <is>
          <t>ราคายังไม่รวม VAT</t>
        </is>
      </c>
    </row>
    <row r="2646">
      <c r="B2646" s="6" t="inlineStr">
        <is>
          <t>แม่สี บรอนซ์ละเอียดพิเศษ Hybrid S212 (สีบรอนซ์หลัก)</t>
        </is>
      </c>
      <c r="C2646" s="8" t="n">
        <v>12</v>
      </c>
      <c r="D2646" s="9" t="n">
        <v>800</v>
      </c>
      <c r="H2646" s="9">
        <f>SUM(D2646*C2646)</f>
        <v/>
      </c>
      <c r="I2646" s="10" t="inlineStr">
        <is>
          <t>บจก. วีที คัลเลอร์ โปร</t>
        </is>
      </c>
      <c r="J2646" s="161" t="n">
        <v>24824</v>
      </c>
      <c r="K2646" s="8" t="inlineStr">
        <is>
          <t>IV6712085</t>
        </is>
      </c>
      <c r="L2646" s="8" t="inlineStr">
        <is>
          <t>ราคายังไม่รวม VAT</t>
        </is>
      </c>
    </row>
    <row r="2647">
      <c r="B2647" s="6" t="inlineStr">
        <is>
          <t>แม่สี บรอนซ์ละเอียดพิเศษ Hybrid S212 (สีบรอนซ์หลัก)</t>
        </is>
      </c>
      <c r="C2647" s="8" t="n">
        <v>6</v>
      </c>
      <c r="D2647" s="9" t="n">
        <v>856</v>
      </c>
      <c r="H2647" s="9">
        <f>SUM(D2647*C2647)</f>
        <v/>
      </c>
      <c r="I2647" s="10" t="inlineStr">
        <is>
          <t>บจก. วีที คัลเลอร์ โปร</t>
        </is>
      </c>
      <c r="J2647" s="161" t="n">
        <v>24858</v>
      </c>
      <c r="K2647" s="8" t="inlineStr">
        <is>
          <t>IV6801106</t>
        </is>
      </c>
      <c r="L2647" s="8" t="inlineStr">
        <is>
          <t>ราคารวม VAT แล้ว</t>
        </is>
      </c>
    </row>
    <row r="2648">
      <c r="B2648" s="6" t="inlineStr">
        <is>
          <t>แม่สี บรอนซ์ละเอียดพิเศษ Hybrid S212 (สีบรอนซ์หลัก)</t>
        </is>
      </c>
      <c r="C2648" s="8" t="n">
        <v>6</v>
      </c>
      <c r="D2648" s="9" t="n">
        <v>856</v>
      </c>
      <c r="H2648" s="9">
        <f>SUM(D2648*C2648)</f>
        <v/>
      </c>
      <c r="I2648" s="10" t="inlineStr">
        <is>
          <t>บจก. วีที คัลเลอร์ โปร</t>
        </is>
      </c>
      <c r="J2648" s="161" t="n">
        <v>24886</v>
      </c>
      <c r="K2648" s="8" t="inlineStr">
        <is>
          <t>IV6802112</t>
        </is>
      </c>
      <c r="L2648" s="8" t="inlineStr">
        <is>
          <t>ราคารวม VAT แล้ว</t>
        </is>
      </c>
    </row>
    <row r="2649">
      <c r="B2649" s="6" t="inlineStr">
        <is>
          <t>แม่สี บรอนซ์ละเอียดพิเศษ Hybrid S212 (สีบรอนซ์หลัก)</t>
        </is>
      </c>
      <c r="C2649" s="8" t="n">
        <v>6</v>
      </c>
      <c r="D2649" s="9" t="n">
        <v>856</v>
      </c>
      <c r="H2649" s="9">
        <f>SUM(D2649*C2649)</f>
        <v/>
      </c>
      <c r="I2649" s="10" t="inlineStr">
        <is>
          <t>บจก. วีที คัลเลอร์ โปร</t>
        </is>
      </c>
      <c r="J2649" s="161" t="n">
        <v>24892</v>
      </c>
      <c r="K2649" s="8" t="inlineStr">
        <is>
          <t>IV6802144</t>
        </is>
      </c>
      <c r="L2649" s="8" t="inlineStr">
        <is>
          <t>ราคารวม VAT แล้ว</t>
        </is>
      </c>
    </row>
    <row r="2650">
      <c r="B2650" s="6" t="inlineStr">
        <is>
          <t>แม่สี บรอนซ์ละเอียดพิเศษ Hybrid S212 (สีบรอนซ์หลัก)</t>
        </is>
      </c>
      <c r="C2650" s="8" t="n">
        <v>6</v>
      </c>
      <c r="D2650" s="9" t="n">
        <v>856</v>
      </c>
      <c r="H2650" s="9">
        <f>SUM(D2650*C2650)</f>
        <v/>
      </c>
      <c r="I2650" s="10" t="inlineStr">
        <is>
          <t>บจก. วีที คัลเลอร์ โปร</t>
        </is>
      </c>
      <c r="J2650" s="161" t="n">
        <v>24923</v>
      </c>
      <c r="K2650" s="8" t="inlineStr">
        <is>
          <t>IV6803171</t>
        </is>
      </c>
      <c r="L2650" s="8" t="inlineStr">
        <is>
          <t>ราคารวม VAT แล้ว</t>
        </is>
      </c>
    </row>
    <row r="2651">
      <c r="B2651" s="6" t="inlineStr">
        <is>
          <t>แม่สี บรอนซ์ละเอียดพิเศษ Hybrid S212 (สีบรอนซ์หลัก)</t>
        </is>
      </c>
      <c r="C2651" s="8" t="n">
        <v>17</v>
      </c>
      <c r="D2651" s="9" t="n">
        <v>800</v>
      </c>
      <c r="E2651" s="9">
        <f>SUM(C2651*D2651)</f>
        <v/>
      </c>
      <c r="H2651" s="9">
        <f>SUM(E2651*O2651/N2651)</f>
        <v/>
      </c>
      <c r="I2651" s="10" t="inlineStr">
        <is>
          <t>บจก. วีที คัลเลอร์ โปร</t>
        </is>
      </c>
      <c r="J2651" s="161" t="n">
        <v>24979</v>
      </c>
      <c r="K2651" s="8" t="inlineStr">
        <is>
          <t>IV6805147</t>
        </is>
      </c>
      <c r="N2651" s="6" t="n">
        <v>100</v>
      </c>
      <c r="O2651" s="6" t="n">
        <v>107</v>
      </c>
    </row>
    <row r="2652">
      <c r="B2652" s="6" t="inlineStr">
        <is>
          <t>แม่สี บรอนซ์ละเอียดพิเศษ Hybrid S212 (สีบรอนซ์หลัก)</t>
        </is>
      </c>
      <c r="C2652" s="8" t="n">
        <v>4</v>
      </c>
      <c r="D2652" s="9" t="n">
        <v>800</v>
      </c>
      <c r="E2652" s="9">
        <f>SUM(D2652*C2652)</f>
        <v/>
      </c>
      <c r="F2652" s="8" t="n">
        <v>0.07000000000000001</v>
      </c>
      <c r="G2652" s="10" t="inlineStr">
        <is>
          <t>รวม VAT =</t>
        </is>
      </c>
      <c r="H2652" s="9">
        <f>SUM(E2652+N2652)</f>
        <v/>
      </c>
      <c r="I2652" s="10" t="inlineStr">
        <is>
          <t>บจก. วีที คัลเลอร์ โปร</t>
        </is>
      </c>
      <c r="J2652" s="161" t="n">
        <v>25063</v>
      </c>
      <c r="K2652" s="8" t="inlineStr">
        <is>
          <t>IV6808072</t>
        </is>
      </c>
      <c r="N2652" s="6">
        <f>SUM(E2652*F2652)</f>
        <v/>
      </c>
    </row>
    <row r="2653">
      <c r="B2653" s="6" t="inlineStr">
        <is>
          <t>แม่สี บรอนซ์ละเอียดพิเศษ Hybrid S212 (สีบรอนซ์หลัก)</t>
        </is>
      </c>
      <c r="C2653" s="8" t="n">
        <v>6</v>
      </c>
      <c r="D2653" s="9" t="n">
        <v>800</v>
      </c>
      <c r="E2653" s="9">
        <f>SUM(D2653*C2653)</f>
        <v/>
      </c>
      <c r="F2653" s="8" t="n">
        <v>0.07000000000000001</v>
      </c>
      <c r="G2653" s="10" t="inlineStr">
        <is>
          <t>รวม VAT =</t>
        </is>
      </c>
      <c r="H2653" s="9">
        <f>SUM(E2653+N2653)</f>
        <v/>
      </c>
      <c r="I2653" s="10" t="inlineStr">
        <is>
          <t>บจก. วีที คัลเลอร์ โปร</t>
        </is>
      </c>
      <c r="J2653" s="161" t="n">
        <v>25002</v>
      </c>
      <c r="K2653" s="8" t="inlineStr">
        <is>
          <t>IV6806091</t>
        </is>
      </c>
      <c r="N2653" s="6">
        <f>SUM(E2653*F2653)</f>
        <v/>
      </c>
    </row>
    <row r="2654">
      <c r="B2654" s="6" t="inlineStr">
        <is>
          <t>แม่สี บรอนซ์ละเอียดพิเศษ Hybrid S212 (สีบรอนซ์หลัก)</t>
        </is>
      </c>
      <c r="C2654" s="8" t="n">
        <v>10</v>
      </c>
      <c r="D2654" s="9" t="n">
        <v>800</v>
      </c>
      <c r="E2654" s="9">
        <f>SUM(D2654*C2654)</f>
        <v/>
      </c>
      <c r="F2654" s="8" t="n">
        <v>0.07000000000000001</v>
      </c>
      <c r="G2654" s="10" t="inlineStr">
        <is>
          <t>รวม VAT =</t>
        </is>
      </c>
      <c r="H2654" s="9">
        <f>SUM(E2654+N2654)</f>
        <v/>
      </c>
      <c r="I2654" s="10" t="inlineStr">
        <is>
          <t>บจก. วีที คัลเลอร์ โปร</t>
        </is>
      </c>
      <c r="J2654" s="161" t="n">
        <v>25015</v>
      </c>
      <c r="K2654" s="8" t="inlineStr">
        <is>
          <t>IV6806175</t>
        </is>
      </c>
      <c r="N2654" s="6">
        <f>SUM(E2654*F2654)</f>
        <v/>
      </c>
    </row>
    <row r="2655">
      <c r="B2655" s="6" t="inlineStr">
        <is>
          <t>แม่สี บรอนซ์ละเอียดพิเศษ Hybrid S212 (สีบรอนซ์หลัก)</t>
        </is>
      </c>
      <c r="C2655" s="8" t="n">
        <v>6</v>
      </c>
      <c r="D2655" s="9" t="n">
        <v>800</v>
      </c>
      <c r="E2655" s="9">
        <f>SUM(D2655*C2655)</f>
        <v/>
      </c>
      <c r="F2655" s="8" t="n">
        <v>0.07000000000000001</v>
      </c>
      <c r="G2655" s="10" t="inlineStr">
        <is>
          <t>รวม VAT =</t>
        </is>
      </c>
      <c r="H2655" s="9">
        <f>SUM(E2655+N2655)</f>
        <v/>
      </c>
      <c r="I2655" s="10" t="inlineStr">
        <is>
          <t>บจก. วีที คัลเลอร์ โปร</t>
        </is>
      </c>
      <c r="J2655" s="161" t="n">
        <v>25073</v>
      </c>
      <c r="K2655" s="8" t="inlineStr">
        <is>
          <t>IV6808151</t>
        </is>
      </c>
      <c r="N2655" s="6">
        <f>SUM(E2655*F2655)</f>
        <v/>
      </c>
    </row>
    <row r="2656">
      <c r="B2656" s="6" t="inlineStr">
        <is>
          <t>แม่สี บรอนซ์ละเอียดพิเศษ Hybrid S212 (สีบรอนซ์หลัก)</t>
        </is>
      </c>
      <c r="C2656" s="8" t="n">
        <v>4</v>
      </c>
      <c r="D2656" s="9" t="n">
        <v>800</v>
      </c>
      <c r="E2656" s="9">
        <f>SUM(D2656*C2656)</f>
        <v/>
      </c>
      <c r="F2656" s="8" t="n">
        <v>0.07000000000000001</v>
      </c>
      <c r="G2656" s="10" t="inlineStr">
        <is>
          <t>รวม VAT =</t>
        </is>
      </c>
      <c r="H2656" s="9">
        <f>SUM(E2656+N2656)</f>
        <v/>
      </c>
      <c r="I2656" s="10" t="inlineStr">
        <is>
          <t>บจก. วีที คัลเลอร์ โปร</t>
        </is>
      </c>
      <c r="J2656" s="161" t="n">
        <v>25083</v>
      </c>
      <c r="K2656" s="8" t="inlineStr">
        <is>
          <t>IV6809023</t>
        </is>
      </c>
      <c r="N2656" s="6">
        <f>SUM(E2656*F2656)</f>
        <v/>
      </c>
    </row>
    <row r="2657">
      <c r="B2657" s="6" t="inlineStr">
        <is>
          <t>แม่สี บรอนซ์ละเอียดพิเศษ Hybrid S212 (สีบรอนซ์หลัก)</t>
        </is>
      </c>
      <c r="C2657" s="8" t="n">
        <v>4</v>
      </c>
      <c r="D2657" s="9" t="n">
        <v>800</v>
      </c>
      <c r="E2657" s="9">
        <f>SUM(D2657*C2657)</f>
        <v/>
      </c>
      <c r="F2657" s="8" t="n">
        <v>0.07000000000000001</v>
      </c>
      <c r="G2657" s="10" t="inlineStr">
        <is>
          <t>รวม VAT =</t>
        </is>
      </c>
      <c r="H2657" s="9">
        <f>SUM(E2657+N2657)</f>
        <v/>
      </c>
      <c r="I2657" s="10" t="inlineStr">
        <is>
          <t>บจก. วีที คัลเลอร์ โปร</t>
        </is>
      </c>
      <c r="J2657" s="161" t="n">
        <v>25112</v>
      </c>
      <c r="K2657" s="8" t="inlineStr">
        <is>
          <t>IV6810015</t>
        </is>
      </c>
      <c r="N2657" s="6">
        <f>SUM(E2657*F2657)</f>
        <v/>
      </c>
    </row>
    <row r="2658">
      <c r="A2658" s="70" t="n"/>
      <c r="B2658" s="6" t="inlineStr">
        <is>
          <t>แม่สี บรอนซ์ละเอียดพิเศษ Hybrid S212 (สีบรอนซ์หลัก)</t>
        </is>
      </c>
      <c r="C2658" s="8" t="n">
        <v>4</v>
      </c>
      <c r="D2658" s="9" t="n">
        <v>800</v>
      </c>
      <c r="E2658" s="9">
        <f>SUM(C2658*D2658)</f>
        <v/>
      </c>
      <c r="H2658" s="9">
        <f>SUM(E2658*107/100)</f>
        <v/>
      </c>
      <c r="I2658" s="10" t="inlineStr">
        <is>
          <t>บจก. วีที คัลเลอร์ โปร</t>
        </is>
      </c>
      <c r="J2658" s="161" t="n">
        <v>25127</v>
      </c>
      <c r="K2658" s="8" t="inlineStr">
        <is>
          <t>IV6810110</t>
        </is>
      </c>
      <c r="L2658" s="8" t="inlineStr">
        <is>
          <t>ราคาที่ลง ยังไม่รวมภาษี</t>
        </is>
      </c>
    </row>
    <row r="2659">
      <c r="B2659" s="6" t="inlineStr">
        <is>
          <t>แม่สี บรอนซ์ละเอียดพิเศษ Hybrid S212 (สีบรอนซ์หลัก)</t>
        </is>
      </c>
      <c r="C2659" s="8" t="n">
        <v>4</v>
      </c>
      <c r="D2659" s="9" t="n">
        <v>800</v>
      </c>
      <c r="E2659" s="9">
        <f>SUM(D2659*C2659)</f>
        <v/>
      </c>
      <c r="F2659" s="8" t="n">
        <v>0.07000000000000001</v>
      </c>
      <c r="G2659" s="10" t="inlineStr">
        <is>
          <t>รวม VAT =</t>
        </is>
      </c>
      <c r="H2659" s="9">
        <f>SUM(E2659+N2659)</f>
        <v/>
      </c>
      <c r="I2659" s="10" t="inlineStr">
        <is>
          <t>บจก. วีที คัลเลอร์ โปร</t>
        </is>
      </c>
      <c r="J2659" s="161" t="n">
        <v>25145</v>
      </c>
      <c r="K2659" s="8" t="inlineStr">
        <is>
          <t>IV6811023</t>
        </is>
      </c>
      <c r="L2659" s="8" t="inlineStr">
        <is>
          <t>ราคาที่ระบุ ยังไม่รวม VAT7%</t>
        </is>
      </c>
      <c r="N2659" s="6">
        <f>SUM(E2659*F2659)</f>
        <v/>
      </c>
    </row>
    <row r="2660">
      <c r="B2660" s="6" t="inlineStr">
        <is>
          <t>แม่สี บรอนซ์ละเอียดพิเศษ Hybrid S212 (สีบรอนซ์หลัก)</t>
        </is>
      </c>
      <c r="C2660" s="8" t="n">
        <v>4</v>
      </c>
      <c r="D2660" s="9" t="n">
        <v>800</v>
      </c>
      <c r="E2660" s="9">
        <f>SUM(D2660*C2660)</f>
        <v/>
      </c>
      <c r="F2660" s="8" t="n">
        <v>0.07000000000000001</v>
      </c>
      <c r="G2660" s="10" t="inlineStr">
        <is>
          <t>รวม VAT =</t>
        </is>
      </c>
      <c r="H2660" s="9">
        <f>SUM(E2660+N2660)</f>
        <v/>
      </c>
      <c r="I2660" s="10" t="inlineStr">
        <is>
          <t>บจก. วีที คัลเลอร์ โปร</t>
        </is>
      </c>
      <c r="J2660" s="161" t="n">
        <v>25168</v>
      </c>
      <c r="K2660" s="8" t="inlineStr">
        <is>
          <t>IV6811188</t>
        </is>
      </c>
      <c r="N2660" s="6">
        <f>SUM(E2660*F2660)</f>
        <v/>
      </c>
    </row>
    <row r="2661">
      <c r="B2661" s="6" t="inlineStr">
        <is>
          <t>แม่สี บรอนซ์ละเอียดพิเศษ Hybrid S212 (สีบรอนซ์หลัก)</t>
        </is>
      </c>
      <c r="C2661" s="8" t="n">
        <v>4</v>
      </c>
      <c r="D2661" s="9" t="n">
        <v>800</v>
      </c>
      <c r="E2661" s="9">
        <f>SUM(D2661*C2661)</f>
        <v/>
      </c>
      <c r="F2661" s="8" t="n">
        <v>0.07000000000000001</v>
      </c>
      <c r="G2661" s="10" t="inlineStr">
        <is>
          <t>รวม VAT =</t>
        </is>
      </c>
      <c r="H2661" s="9">
        <f>SUM(E2661+N2661)</f>
        <v/>
      </c>
      <c r="I2661" s="10" t="inlineStr">
        <is>
          <t>บจก. วีที คัลเลอร์ โปร</t>
        </is>
      </c>
      <c r="J2661" s="161" t="n">
        <v>25180</v>
      </c>
      <c r="K2661" s="8" t="inlineStr">
        <is>
          <t>IV6812065</t>
        </is>
      </c>
      <c r="N2661" s="6">
        <f>SUM(E2661*F2661)</f>
        <v/>
      </c>
    </row>
    <row r="2662">
      <c r="B2662" s="6" t="inlineStr">
        <is>
          <t>แม่สี บรอนซ์ละเอียดพิเศษ Hybrid S212 (สีบรอนซ์หลัก)</t>
        </is>
      </c>
      <c r="C2662" s="8" t="n">
        <v>4</v>
      </c>
      <c r="D2662" s="9" t="n">
        <v>800</v>
      </c>
      <c r="E2662" s="9">
        <f>SUM(D2662*C2662)</f>
        <v/>
      </c>
      <c r="F2662" s="8" t="n">
        <v>0.07000000000000001</v>
      </c>
      <c r="G2662" s="10" t="inlineStr">
        <is>
          <t>รวม VAT =</t>
        </is>
      </c>
      <c r="H2662" s="9">
        <f>SUM(E2662+N2662)</f>
        <v/>
      </c>
      <c r="I2662" s="10" t="inlineStr">
        <is>
          <t>บจก. วีที คัลเลอร์ โปร</t>
        </is>
      </c>
      <c r="J2662" s="161" t="n">
        <v>25194</v>
      </c>
      <c r="K2662" s="8" t="inlineStr">
        <is>
          <t>IV6812142</t>
        </is>
      </c>
      <c r="N2662" s="6">
        <f>SUM(E2662*F2662)</f>
        <v/>
      </c>
    </row>
    <row r="2664">
      <c r="B2664" s="6" t="inlineStr">
        <is>
          <t>แม่สี Matrix  M-213</t>
        </is>
      </c>
      <c r="C2664" s="8" t="inlineStr">
        <is>
          <t>1กป.</t>
        </is>
      </c>
      <c r="D2664" s="9" t="n">
        <v>930</v>
      </c>
      <c r="F2664" s="8" t="n">
        <v>10</v>
      </c>
      <c r="H2664" s="9" t="n">
        <v>930</v>
      </c>
      <c r="I2664" s="10" t="inlineStr">
        <is>
          <t>ทรัพย์สินไทย</t>
        </is>
      </c>
      <c r="J2664" s="161" t="n">
        <v>23859</v>
      </c>
      <c r="K2664" s="8" t="inlineStr">
        <is>
          <t>IV6504236</t>
        </is>
      </c>
      <c r="L2664" s="8" t="inlineStr">
        <is>
          <t>ราคาที่ระบุเป็นก่อนหักส่วนลด</t>
        </is>
      </c>
    </row>
    <row r="2666">
      <c r="B2666" s="6" t="inlineStr">
        <is>
          <t>แม่สี Matrix  M-214</t>
        </is>
      </c>
      <c r="C2666" s="8" t="inlineStr">
        <is>
          <t>1กป.</t>
        </is>
      </c>
      <c r="D2666" s="9" t="n">
        <v>1900</v>
      </c>
      <c r="F2666" s="8" t="n">
        <v>10</v>
      </c>
      <c r="H2666" s="9" t="n">
        <v>1900</v>
      </c>
      <c r="I2666" s="10" t="inlineStr">
        <is>
          <t>ทรัพย์สินไทย</t>
        </is>
      </c>
      <c r="J2666" s="161" t="n">
        <v>23277</v>
      </c>
      <c r="L2666" s="8" t="inlineStr">
        <is>
          <t>ราคาที่ระบุเป็นก่อนหักส่วนลด</t>
        </is>
      </c>
    </row>
    <row r="2667">
      <c r="B2667" s="6" t="inlineStr">
        <is>
          <t>แม่สี Matrix  M-214</t>
        </is>
      </c>
      <c r="C2667" s="8" t="inlineStr">
        <is>
          <t>1กป.</t>
        </is>
      </c>
      <c r="D2667" s="9" t="n">
        <v>1900</v>
      </c>
      <c r="F2667" s="8" t="n">
        <v>10</v>
      </c>
      <c r="H2667" s="9" t="n">
        <v>1900</v>
      </c>
      <c r="I2667" s="10" t="inlineStr">
        <is>
          <t>ทรัพย์สินไทย</t>
        </is>
      </c>
      <c r="J2667" s="161" t="n">
        <v>23340</v>
      </c>
      <c r="L2667" s="8" t="inlineStr">
        <is>
          <t>ราคาที่ระบุเป็นก่อนหักส่วนลด</t>
        </is>
      </c>
    </row>
    <row r="2669">
      <c r="B2669" s="6" t="inlineStr">
        <is>
          <t>แม่สี บิลเลี่ยนส้ม Hybrid S215</t>
        </is>
      </c>
      <c r="C2669" s="8" t="n">
        <v>1</v>
      </c>
      <c r="D2669" s="9" t="n">
        <v>1800</v>
      </c>
      <c r="E2669" s="9">
        <f>SUM(D2669*C2669)</f>
        <v/>
      </c>
      <c r="F2669" s="8" t="n">
        <v>0.07000000000000001</v>
      </c>
      <c r="G2669" s="10" t="inlineStr">
        <is>
          <t>รวม VAT =</t>
        </is>
      </c>
      <c r="H2669" s="9">
        <f>SUM(E2669+N2669)</f>
        <v/>
      </c>
      <c r="I2669" s="10" t="inlineStr">
        <is>
          <t>บจก. วีที คัลเลอร์ โปร</t>
        </is>
      </c>
      <c r="J2669" s="161" t="n">
        <v>25093</v>
      </c>
      <c r="K2669" s="8" t="inlineStr">
        <is>
          <t>IV6809088</t>
        </is>
      </c>
      <c r="N2669" s="6">
        <f>SUM(E2669*F2669)</f>
        <v/>
      </c>
    </row>
    <row r="2672">
      <c r="B2672" s="6" t="inlineStr">
        <is>
          <t>แม่สี Matrix  M-216</t>
        </is>
      </c>
      <c r="C2672" s="8" t="inlineStr">
        <is>
          <t>1กป.</t>
        </is>
      </c>
      <c r="D2672" s="9" t="n">
        <v>1900</v>
      </c>
      <c r="F2672" s="8" t="n">
        <v>10</v>
      </c>
      <c r="H2672" s="9" t="n">
        <v>1900</v>
      </c>
      <c r="I2672" s="10" t="inlineStr">
        <is>
          <t>ทรัพย์สินไทย</t>
        </is>
      </c>
      <c r="J2672" s="161" t="n">
        <v>23277</v>
      </c>
      <c r="L2672" s="8" t="inlineStr">
        <is>
          <t>ราคาที่ระบุเป็นก่อนหักส่วนลด</t>
        </is>
      </c>
    </row>
    <row r="2673">
      <c r="B2673" s="6" t="inlineStr">
        <is>
          <t>แม่สี แดงพิเศษ Hybrid S216</t>
        </is>
      </c>
      <c r="C2673" s="8" t="n">
        <v>1</v>
      </c>
      <c r="D2673" s="9" t="n">
        <v>1800</v>
      </c>
      <c r="H2673" s="9">
        <f>SUM(D2673*C2673)</f>
        <v/>
      </c>
      <c r="I2673" s="10" t="inlineStr">
        <is>
          <t>บจก. วีที คัลเลอร์ โปร</t>
        </is>
      </c>
      <c r="J2673" s="161" t="n">
        <v>24372</v>
      </c>
      <c r="K2673" s="8" t="inlineStr">
        <is>
          <t>IV541-66</t>
        </is>
      </c>
    </row>
    <row r="2674">
      <c r="B2674" s="6" t="inlineStr">
        <is>
          <t>แม่สี แดงพิเศษ Hybrid S216</t>
        </is>
      </c>
      <c r="C2674" s="8" t="n">
        <v>2</v>
      </c>
      <c r="D2674" s="9" t="n">
        <v>1800</v>
      </c>
      <c r="E2674" s="9">
        <f>SUM(C2674*D2674)</f>
        <v/>
      </c>
      <c r="H2674" s="9">
        <f>SUM(E2674*O2674/N2674)</f>
        <v/>
      </c>
      <c r="I2674" s="10" t="inlineStr">
        <is>
          <t>บจก. วีที คัลเลอร์ โปร</t>
        </is>
      </c>
      <c r="J2674" s="161" t="n">
        <v>25112</v>
      </c>
      <c r="K2674" s="8" t="inlineStr">
        <is>
          <t>IV6810015</t>
        </is>
      </c>
      <c r="N2674" s="6" t="n">
        <v>100</v>
      </c>
      <c r="O2674" s="6" t="n">
        <v>107</v>
      </c>
    </row>
    <row r="2676">
      <c r="B2676" s="6" t="inlineStr">
        <is>
          <t>แม่สี Matrix  M-218</t>
        </is>
      </c>
      <c r="C2676" s="8" t="inlineStr">
        <is>
          <t>2กป.</t>
        </is>
      </c>
      <c r="D2676" s="9" t="n">
        <v>1900</v>
      </c>
      <c r="F2676" s="8" t="n">
        <v>10</v>
      </c>
      <c r="H2676" s="9" t="n">
        <v>3800</v>
      </c>
      <c r="I2676" s="10" t="inlineStr">
        <is>
          <t>ทรัพย์สินไทย</t>
        </is>
      </c>
      <c r="J2676" s="161" t="n">
        <v>23277</v>
      </c>
      <c r="L2676" s="8" t="inlineStr">
        <is>
          <t>ราคาที่ระบุเป็นก่อนหักส่วนลด</t>
        </is>
      </c>
    </row>
    <row r="2677">
      <c r="B2677" s="6" t="inlineStr">
        <is>
          <t>แม่สี บรอนซ์ละเอียดพิเศษ Hybrid S218</t>
        </is>
      </c>
      <c r="C2677" s="8" t="n">
        <v>1</v>
      </c>
      <c r="D2677" s="9" t="n">
        <v>1800</v>
      </c>
      <c r="H2677" s="9">
        <f>SUM(D2677*C2677)</f>
        <v/>
      </c>
      <c r="I2677" s="10" t="inlineStr">
        <is>
          <t>บจก. วีที คัลเลอร์ โปร</t>
        </is>
      </c>
      <c r="J2677" s="161" t="n">
        <v>24676</v>
      </c>
      <c r="K2677" s="8" t="inlineStr">
        <is>
          <t>IV6707130</t>
        </is>
      </c>
      <c r="L2677" s="8" t="inlineStr">
        <is>
          <t>ราคายังไม่รวม VAT</t>
        </is>
      </c>
    </row>
    <row r="2678">
      <c r="B2678" s="6" t="inlineStr">
        <is>
          <t>แม่สี บรอนซ์ละเอียดพิเศษ Hybrid S218</t>
        </is>
      </c>
      <c r="C2678" s="8" t="n">
        <v>1</v>
      </c>
      <c r="D2678" s="9" t="n">
        <v>1800</v>
      </c>
      <c r="H2678" s="9">
        <f>SUM(D2678*C2678)</f>
        <v/>
      </c>
      <c r="I2678" s="10" t="inlineStr">
        <is>
          <t>บจก. วีที คัลเลอร์ โปร</t>
        </is>
      </c>
      <c r="J2678" s="161" t="n">
        <v>24795</v>
      </c>
      <c r="K2678" s="8" t="inlineStr">
        <is>
          <t>IV6711103</t>
        </is>
      </c>
      <c r="L2678" s="8" t="inlineStr">
        <is>
          <t>ราคายังไม่รวม VAT</t>
        </is>
      </c>
    </row>
    <row r="2679">
      <c r="B2679" s="6" t="inlineStr">
        <is>
          <t>แม่สี บรอนซ์ละเอียดพิเศษ Hybrid S218</t>
        </is>
      </c>
      <c r="C2679" s="8" t="n">
        <v>1</v>
      </c>
      <c r="D2679" s="9" t="n">
        <v>1800</v>
      </c>
      <c r="H2679" s="9">
        <f>SUM(D2679*C2679)</f>
        <v/>
      </c>
      <c r="I2679" s="10" t="inlineStr">
        <is>
          <t>บจก. วีที คัลเลอร์ โปร</t>
        </is>
      </c>
      <c r="J2679" s="161" t="n">
        <v>24824</v>
      </c>
      <c r="K2679" s="8" t="inlineStr">
        <is>
          <t>IV6712085</t>
        </is>
      </c>
      <c r="L2679" s="8" t="inlineStr">
        <is>
          <t>ราคายังไม่รวม VAT</t>
        </is>
      </c>
    </row>
    <row r="2680">
      <c r="B2680" s="6" t="inlineStr">
        <is>
          <t>แม่สี บรอนซ์ละเอียดพิเศษ Hybrid S218</t>
        </is>
      </c>
      <c r="C2680" s="8" t="n">
        <v>2</v>
      </c>
      <c r="D2680" s="9" t="n">
        <v>1800</v>
      </c>
      <c r="E2680" s="9">
        <f>SUM(C2680*D2680)</f>
        <v/>
      </c>
      <c r="H2680" s="9">
        <f>SUM(E2680*O2680/N2680)</f>
        <v/>
      </c>
      <c r="I2680" s="10" t="inlineStr">
        <is>
          <t>บจก. วีที คัลเลอร์ โปร</t>
        </is>
      </c>
      <c r="J2680" s="161" t="n">
        <v>24979</v>
      </c>
      <c r="K2680" s="8" t="inlineStr">
        <is>
          <t>IV6805147</t>
        </is>
      </c>
      <c r="N2680" s="6" t="n">
        <v>100</v>
      </c>
      <c r="O2680" s="6" t="n">
        <v>107</v>
      </c>
    </row>
    <row r="2681">
      <c r="B2681" s="6" t="inlineStr">
        <is>
          <t>แม่สี บรอนซ์ละเอียดพิเศษ Hybrid S218</t>
        </is>
      </c>
      <c r="C2681" s="8" t="n">
        <v>1</v>
      </c>
      <c r="D2681" s="9" t="n">
        <v>1800</v>
      </c>
      <c r="E2681" s="9">
        <f>SUM(D2681*C2681)</f>
        <v/>
      </c>
      <c r="F2681" s="8" t="n">
        <v>0.07000000000000001</v>
      </c>
      <c r="G2681" s="10" t="inlineStr">
        <is>
          <t>รวม VAT =</t>
        </is>
      </c>
      <c r="H2681" s="9">
        <f>SUM(E2681+N2681)</f>
        <v/>
      </c>
      <c r="I2681" s="10" t="inlineStr">
        <is>
          <t>บจก. วีที คัลเลอร์ โปร</t>
        </is>
      </c>
      <c r="J2681" s="161" t="n">
        <v>25015</v>
      </c>
      <c r="K2681" s="8" t="inlineStr">
        <is>
          <t>IV6806175</t>
        </is>
      </c>
      <c r="L2681" s="8" t="inlineStr">
        <is>
          <t>ราคาที่ระบุ ยังไม่รวม VAT7%</t>
        </is>
      </c>
      <c r="N2681" s="6">
        <f>SUM(E2681*F2681)</f>
        <v/>
      </c>
    </row>
    <row r="2683">
      <c r="B2683" s="6" t="inlineStr">
        <is>
          <t>แม่สี Matrix  M-221</t>
        </is>
      </c>
      <c r="C2683" s="8" t="inlineStr">
        <is>
          <t>1กป.</t>
        </is>
      </c>
      <c r="D2683" s="9" t="n">
        <v>1680</v>
      </c>
      <c r="F2683" s="8" t="n">
        <v>10</v>
      </c>
      <c r="H2683" s="9" t="n">
        <v>1680</v>
      </c>
      <c r="I2683" s="10" t="inlineStr">
        <is>
          <t>ทรัพย์สินไทย</t>
        </is>
      </c>
      <c r="J2683" s="161" t="n">
        <v>22429</v>
      </c>
      <c r="L2683" s="8" t="inlineStr">
        <is>
          <t>ราคาที่ระบุเป็นก่อนหักส่วนลด</t>
        </is>
      </c>
    </row>
    <row r="2684">
      <c r="B2684" s="6" t="inlineStr">
        <is>
          <t>แม่สี Matrix  M-221</t>
        </is>
      </c>
      <c r="C2684" s="8" t="inlineStr">
        <is>
          <t>1กป.</t>
        </is>
      </c>
      <c r="D2684" s="9" t="n">
        <v>1680</v>
      </c>
      <c r="F2684" s="8" t="n">
        <v>10</v>
      </c>
      <c r="H2684" s="9" t="n">
        <v>1680</v>
      </c>
      <c r="I2684" s="10" t="inlineStr">
        <is>
          <t>ทรัพย์สินไทย</t>
        </is>
      </c>
      <c r="J2684" s="161" t="n">
        <v>22804</v>
      </c>
      <c r="L2684" s="8" t="inlineStr">
        <is>
          <t>ราคาที่ระบุเป็นก่อนหักส่วนลด</t>
        </is>
      </c>
    </row>
    <row r="2685">
      <c r="B2685" s="6" t="inlineStr">
        <is>
          <t>แม่สี Matrix  M-221</t>
        </is>
      </c>
      <c r="C2685" s="8" t="inlineStr">
        <is>
          <t>1กป.</t>
        </is>
      </c>
      <c r="D2685" s="9" t="n">
        <v>1680</v>
      </c>
      <c r="F2685" s="8" t="n">
        <v>10</v>
      </c>
      <c r="H2685" s="9" t="n">
        <v>1680</v>
      </c>
      <c r="I2685" s="10" t="inlineStr">
        <is>
          <t>ทรัพย์สินไทย</t>
        </is>
      </c>
      <c r="J2685" s="161" t="n">
        <v>22851</v>
      </c>
      <c r="L2685" s="8" t="inlineStr">
        <is>
          <t>ราคาที่ระบุเป็นก่อนหักส่วนลด</t>
        </is>
      </c>
    </row>
    <row r="2686">
      <c r="B2686" s="6" t="inlineStr">
        <is>
          <t>แม่สี Matrix  M-221</t>
        </is>
      </c>
      <c r="C2686" s="8" t="inlineStr">
        <is>
          <t>1กป.</t>
        </is>
      </c>
      <c r="D2686" s="9" t="n">
        <v>1680</v>
      </c>
      <c r="F2686" s="8" t="n">
        <v>10</v>
      </c>
      <c r="H2686" s="9" t="n">
        <v>1680</v>
      </c>
      <c r="I2686" s="10" t="inlineStr">
        <is>
          <t>ทรัพย์สินไทย</t>
        </is>
      </c>
      <c r="J2686" s="161" t="n">
        <v>23277</v>
      </c>
      <c r="L2686" s="8" t="inlineStr">
        <is>
          <t>ราคาที่ระบุเป็นก่อนหักส่วนลด</t>
        </is>
      </c>
    </row>
    <row r="2687">
      <c r="B2687" s="6" t="inlineStr">
        <is>
          <t>แม่สี Matrix  M-221</t>
        </is>
      </c>
      <c r="C2687" s="8" t="inlineStr">
        <is>
          <t>1กป.</t>
        </is>
      </c>
      <c r="D2687" s="9" t="n">
        <v>1680</v>
      </c>
      <c r="F2687" s="8" t="n">
        <v>10</v>
      </c>
      <c r="H2687" s="9" t="n">
        <v>1680</v>
      </c>
      <c r="I2687" s="10" t="inlineStr">
        <is>
          <t>ทรัพย์สินไทย</t>
        </is>
      </c>
      <c r="J2687" s="161" t="n">
        <v>22920</v>
      </c>
      <c r="L2687" s="8" t="inlineStr">
        <is>
          <t>ราคาที่ระบุเป็นก่อนหักส่วนลด</t>
        </is>
      </c>
    </row>
    <row r="2688">
      <c r="B2688" s="6" t="inlineStr">
        <is>
          <t>แม่สี Matrix  M-221</t>
        </is>
      </c>
      <c r="C2688" s="8" t="inlineStr">
        <is>
          <t>2กป.</t>
        </is>
      </c>
      <c r="D2688" s="9" t="n">
        <v>1680</v>
      </c>
      <c r="F2688" s="8" t="n">
        <v>10</v>
      </c>
      <c r="H2688" s="9" t="n">
        <v>3360</v>
      </c>
      <c r="I2688" s="10" t="inlineStr">
        <is>
          <t>ทรัพย์สินไทย</t>
        </is>
      </c>
      <c r="J2688" s="161" t="n">
        <v>23340</v>
      </c>
      <c r="L2688" s="8" t="inlineStr">
        <is>
          <t>ราคาที่ระบุเป็นก่อนหักส่วนลด</t>
        </is>
      </c>
    </row>
    <row r="2689">
      <c r="B2689" s="6" t="inlineStr">
        <is>
          <t>แม่สี Matrix  M-221</t>
        </is>
      </c>
      <c r="C2689" s="8" t="inlineStr">
        <is>
          <t>1กป.</t>
        </is>
      </c>
      <c r="D2689" s="9" t="n">
        <v>1680</v>
      </c>
      <c r="F2689" s="8" t="n">
        <v>10</v>
      </c>
      <c r="H2689" s="9" t="n">
        <v>1680</v>
      </c>
      <c r="I2689" s="10" t="inlineStr">
        <is>
          <t>ทรัพย์สินไทย</t>
        </is>
      </c>
      <c r="J2689" s="161" t="n">
        <v>23763</v>
      </c>
      <c r="K2689" s="8" t="inlineStr">
        <is>
          <t>IV6501225</t>
        </is>
      </c>
      <c r="L2689" s="8" t="inlineStr">
        <is>
          <t>ราคาที่ระบุเป็นก่อนหักส่วนลด</t>
        </is>
      </c>
    </row>
    <row r="2690">
      <c r="B2690" s="6" t="inlineStr">
        <is>
          <t>แม่สี Matrix  M-221</t>
        </is>
      </c>
      <c r="C2690" s="8" t="inlineStr">
        <is>
          <t>1กป.</t>
        </is>
      </c>
      <c r="D2690" s="9" t="n">
        <v>1680</v>
      </c>
      <c r="F2690" s="8" t="n">
        <v>10</v>
      </c>
      <c r="H2690" s="9" t="n">
        <v>1680</v>
      </c>
      <c r="I2690" s="10" t="inlineStr">
        <is>
          <t>ทรัพย์สินไทย</t>
        </is>
      </c>
      <c r="J2690" s="161" t="n">
        <v>23887</v>
      </c>
      <c r="K2690" s="8" t="inlineStr">
        <is>
          <t>IV6505291</t>
        </is>
      </c>
      <c r="L2690" s="8" t="inlineStr">
        <is>
          <t>ราคาที่ระบุเป็นก่อนหักส่วนลด</t>
        </is>
      </c>
    </row>
    <row r="2691">
      <c r="B2691" s="6" t="inlineStr">
        <is>
          <t>แม่สี มุกแดงชมพู SC-221</t>
        </is>
      </c>
      <c r="C2691" s="8" t="inlineStr">
        <is>
          <t>1กป.</t>
        </is>
      </c>
      <c r="D2691" s="9" t="n">
        <v>1400</v>
      </c>
      <c r="H2691" s="9" t="n">
        <v>1400</v>
      </c>
      <c r="I2691" s="10" t="inlineStr">
        <is>
          <t>บจก. วีที คัลเลอร์ โปร</t>
        </is>
      </c>
      <c r="J2691" s="161" t="n">
        <v>24160</v>
      </c>
      <c r="K2691" s="8" t="inlineStr">
        <is>
          <t>IV113-66</t>
        </is>
      </c>
      <c r="L2691" s="8" t="inlineStr">
        <is>
          <t>ราคายังไม่รวม VAT</t>
        </is>
      </c>
    </row>
    <row r="2692">
      <c r="B2692" s="6" t="inlineStr">
        <is>
          <t>แม่สี มุกแดงชมพู SC-221</t>
        </is>
      </c>
      <c r="C2692" s="8" t="inlineStr">
        <is>
          <t>2กป.</t>
        </is>
      </c>
      <c r="D2692" s="9" t="n">
        <v>1400</v>
      </c>
      <c r="H2692" s="9" t="n">
        <v>2800</v>
      </c>
      <c r="I2692" s="10" t="inlineStr">
        <is>
          <t>บจก. วีที คัลเลอร์ โปร</t>
        </is>
      </c>
      <c r="J2692" s="161" t="n">
        <v>24271</v>
      </c>
      <c r="K2692" s="8" t="inlineStr">
        <is>
          <t>IV329-66</t>
        </is>
      </c>
      <c r="L2692" s="8" t="inlineStr">
        <is>
          <t>ราคายังไม่รวม VAT</t>
        </is>
      </c>
    </row>
    <row r="2693">
      <c r="B2693" s="6" t="inlineStr">
        <is>
          <t>แม่สี มุกแดงชมพู Hybrid S221</t>
        </is>
      </c>
      <c r="C2693" s="8" t="n">
        <v>1</v>
      </c>
      <c r="D2693" s="9" t="n">
        <v>1400</v>
      </c>
      <c r="H2693" s="9">
        <f>SUM(D2693*C2693)</f>
        <v/>
      </c>
      <c r="I2693" s="10" t="inlineStr">
        <is>
          <t>บจก. วีที คัลเลอร์ โปร</t>
        </is>
      </c>
      <c r="J2693" s="161" t="n">
        <v>24550</v>
      </c>
      <c r="K2693" s="8" t="inlineStr">
        <is>
          <t>IV6703088</t>
        </is>
      </c>
      <c r="L2693" s="8" t="inlineStr">
        <is>
          <t>ราคายังไม่รวม VAT</t>
        </is>
      </c>
    </row>
    <row r="2694">
      <c r="B2694" s="6" t="inlineStr">
        <is>
          <t>แม่สี มุกแดงชมพู Hybrid S221</t>
        </is>
      </c>
      <c r="C2694" s="8" t="n">
        <v>1</v>
      </c>
      <c r="D2694" s="9" t="n">
        <v>1400</v>
      </c>
      <c r="H2694" s="9">
        <f>SUM(D2694*C2694)</f>
        <v/>
      </c>
      <c r="I2694" s="10" t="inlineStr">
        <is>
          <t>บจก. วีที คัลเลอร์ โปร</t>
        </is>
      </c>
      <c r="J2694" s="161" t="n">
        <v>24634</v>
      </c>
      <c r="K2694" s="8" t="inlineStr">
        <is>
          <t>IV6706078</t>
        </is>
      </c>
      <c r="L2694" s="8" t="inlineStr">
        <is>
          <t>ราคายังไม่รวม VAT</t>
        </is>
      </c>
    </row>
    <row r="2695">
      <c r="B2695" s="6" t="inlineStr">
        <is>
          <t>แม่สี มุกแดงชมพู Hybrid S221</t>
        </is>
      </c>
      <c r="C2695" s="8" t="n">
        <v>1</v>
      </c>
      <c r="D2695" s="9" t="n">
        <v>1400</v>
      </c>
      <c r="H2695" s="9">
        <f>SUM(D2695*C2695)</f>
        <v/>
      </c>
      <c r="I2695" s="10" t="inlineStr">
        <is>
          <t>บจก. วีที คัลเลอร์ โปร</t>
        </is>
      </c>
      <c r="J2695" s="161" t="n">
        <v>24731</v>
      </c>
      <c r="K2695" s="8" t="inlineStr">
        <is>
          <t>IV6709082</t>
        </is>
      </c>
      <c r="L2695" s="8" t="inlineStr">
        <is>
          <t>ราคายังไม่รวม VAT</t>
        </is>
      </c>
    </row>
    <row r="2696">
      <c r="B2696" s="6" t="inlineStr">
        <is>
          <t>แม่สี มุกแดงชมพู Hybrid S221</t>
        </is>
      </c>
      <c r="C2696" s="8" t="n">
        <v>2</v>
      </c>
      <c r="D2696" s="9" t="n">
        <v>1400</v>
      </c>
      <c r="E2696" s="9">
        <f>SUM(D2696*C2696)</f>
        <v/>
      </c>
      <c r="F2696" s="8" t="n">
        <v>0.07000000000000001</v>
      </c>
      <c r="G2696" s="10" t="inlineStr">
        <is>
          <t>รวม VAT =</t>
        </is>
      </c>
      <c r="H2696" s="9">
        <f>SUM(E2696+N2696)</f>
        <v/>
      </c>
      <c r="I2696" s="10" t="inlineStr">
        <is>
          <t>บจก. วีที คัลเลอร์ โปร</t>
        </is>
      </c>
      <c r="J2696" s="161" t="n">
        <v>25063</v>
      </c>
      <c r="K2696" s="8" t="inlineStr">
        <is>
          <t>IV6808072</t>
        </is>
      </c>
      <c r="L2696" s="8" t="inlineStr">
        <is>
          <t>ราคาที่ระบุ ยังไม่รวม VAT7%</t>
        </is>
      </c>
      <c r="N2696" s="6">
        <f>SUM(E2696*F2696)</f>
        <v/>
      </c>
    </row>
    <row r="2697">
      <c r="B2697" s="6" t="inlineStr">
        <is>
          <t>แม่สี มุกแดงชมพู Hybrid S221</t>
        </is>
      </c>
      <c r="C2697" s="8" t="n">
        <v>2</v>
      </c>
      <c r="D2697" s="9" t="n">
        <v>1400</v>
      </c>
      <c r="E2697" s="9">
        <f>SUM(D2697*C2697)</f>
        <v/>
      </c>
      <c r="F2697" s="8" t="n">
        <v>0.07000000000000001</v>
      </c>
      <c r="G2697" s="10" t="inlineStr">
        <is>
          <t>รวม VAT =</t>
        </is>
      </c>
      <c r="H2697" s="9">
        <f>SUM(E2697+N2697)</f>
        <v/>
      </c>
      <c r="I2697" s="10" t="inlineStr">
        <is>
          <t>บจก. วีที คัลเลอร์ โปร</t>
        </is>
      </c>
      <c r="J2697" s="161" t="n">
        <v>25042</v>
      </c>
      <c r="K2697" s="8" t="inlineStr">
        <is>
          <t>IV6807180</t>
        </is>
      </c>
      <c r="L2697" s="8" t="inlineStr">
        <is>
          <t>ราคาที่ระบุ ยังไม่รวม VAT7%</t>
        </is>
      </c>
      <c r="N2697" s="6">
        <f>SUM(E2697*F2697)</f>
        <v/>
      </c>
    </row>
    <row r="2699">
      <c r="B2699" s="6" t="inlineStr">
        <is>
          <t>แม่สี Matrix  M-223</t>
        </is>
      </c>
      <c r="C2699" s="8" t="inlineStr">
        <is>
          <t>2กป.</t>
        </is>
      </c>
      <c r="D2699" s="9" t="n">
        <v>1680</v>
      </c>
      <c r="F2699" s="8" t="n">
        <v>10</v>
      </c>
      <c r="H2699" s="9" t="n">
        <v>3360</v>
      </c>
      <c r="I2699" s="10" t="inlineStr">
        <is>
          <t>ทรัพย์สินไทย</t>
        </is>
      </c>
      <c r="J2699" s="161" t="n">
        <v>23062</v>
      </c>
      <c r="L2699" s="8" t="inlineStr">
        <is>
          <t>ราคาที่ระบุเป็นก่อนหักส่วนลด</t>
        </is>
      </c>
    </row>
    <row r="2701">
      <c r="B2701" s="6" t="inlineStr">
        <is>
          <t>แม่สี Matrix  M-224</t>
        </is>
      </c>
      <c r="C2701" s="8" t="inlineStr">
        <is>
          <t>1กป.</t>
        </is>
      </c>
      <c r="D2701" s="9" t="n">
        <v>1680</v>
      </c>
      <c r="F2701" s="8" t="n">
        <v>10</v>
      </c>
      <c r="H2701" s="9" t="n">
        <v>1680</v>
      </c>
      <c r="I2701" s="10" t="inlineStr">
        <is>
          <t>ทรัพย์สินไทย</t>
        </is>
      </c>
      <c r="J2701" s="161" t="n">
        <v>23570</v>
      </c>
      <c r="L2701" s="8" t="inlineStr">
        <is>
          <t>ราคาที่ระบุเป็นก่อนหักส่วนลด</t>
        </is>
      </c>
    </row>
    <row r="2702">
      <c r="B2702" s="6" t="inlineStr">
        <is>
          <t>แม่สี Matrix  M-224</t>
        </is>
      </c>
      <c r="C2702" s="8" t="inlineStr">
        <is>
          <t>1กป.</t>
        </is>
      </c>
      <c r="D2702" s="9" t="n">
        <v>1680</v>
      </c>
      <c r="F2702" s="8" t="n">
        <v>10</v>
      </c>
      <c r="H2702" s="9" t="n">
        <v>1680</v>
      </c>
      <c r="I2702" s="10" t="inlineStr">
        <is>
          <t>ทรัพย์สินไทย</t>
        </is>
      </c>
      <c r="J2702" s="161" t="n">
        <v>23763</v>
      </c>
      <c r="K2702" s="8" t="inlineStr">
        <is>
          <t>IV6501225</t>
        </is>
      </c>
      <c r="L2702" s="8" t="inlineStr">
        <is>
          <t>ราคาที่ระบุเป็นก่อนหักส่วนลด</t>
        </is>
      </c>
    </row>
    <row r="2703">
      <c r="B2703" s="6" t="inlineStr">
        <is>
          <t>แม่สี มุกเหลือบเขียว Hybrid S224</t>
        </is>
      </c>
      <c r="C2703" s="8" t="n">
        <v>1</v>
      </c>
      <c r="D2703" s="9" t="n">
        <v>1400</v>
      </c>
      <c r="H2703" s="9">
        <f>SUM(D2703*C2703)</f>
        <v/>
      </c>
      <c r="I2703" s="10" t="inlineStr">
        <is>
          <t>บจก. วีที คัลเลอร์ โปร</t>
        </is>
      </c>
      <c r="J2703" s="161" t="n">
        <v>24634</v>
      </c>
      <c r="K2703" s="8" t="inlineStr">
        <is>
          <t>IV6706078</t>
        </is>
      </c>
      <c r="L2703" s="8" t="inlineStr">
        <is>
          <t>ราคายังไม่รวม VAT</t>
        </is>
      </c>
    </row>
    <row r="2704">
      <c r="B2704" s="6" t="inlineStr">
        <is>
          <t>แม่สี มุกเหลือบเขียว Hybrid S224</t>
        </is>
      </c>
      <c r="C2704" s="8" t="n">
        <v>1</v>
      </c>
      <c r="D2704" s="9" t="n">
        <v>1400</v>
      </c>
      <c r="H2704" s="9">
        <f>SUM(D2704*C2704)</f>
        <v/>
      </c>
      <c r="I2704" s="10" t="inlineStr">
        <is>
          <t>บจก. วีที คัลเลอร์ โปร</t>
        </is>
      </c>
      <c r="J2704" s="161" t="n">
        <v>24731</v>
      </c>
      <c r="K2704" s="8" t="inlineStr">
        <is>
          <t>IV6709082</t>
        </is>
      </c>
      <c r="L2704" s="8" t="inlineStr">
        <is>
          <t>ราคายังไม่รวม VAT</t>
        </is>
      </c>
    </row>
    <row r="2705">
      <c r="B2705" s="6" t="inlineStr">
        <is>
          <t>แม่สี มุกเหลือบเขียว Hybrid S224</t>
        </is>
      </c>
      <c r="C2705" s="8" t="n">
        <v>2</v>
      </c>
      <c r="D2705" s="9" t="n">
        <v>1400</v>
      </c>
      <c r="E2705" s="9">
        <f>SUM(D2705*C2705)</f>
        <v/>
      </c>
      <c r="F2705" s="8" t="n">
        <v>0.07000000000000001</v>
      </c>
      <c r="G2705" s="10" t="inlineStr">
        <is>
          <t>รวม VAT =</t>
        </is>
      </c>
      <c r="H2705" s="9">
        <f>SUM(E2705+N2705)</f>
        <v/>
      </c>
      <c r="I2705" s="10" t="inlineStr">
        <is>
          <t>บจก. วีที คัลเลอร์ โปร</t>
        </is>
      </c>
      <c r="J2705" s="161" t="n">
        <v>25063</v>
      </c>
      <c r="K2705" s="8" t="inlineStr">
        <is>
          <t>IV6808072</t>
        </is>
      </c>
      <c r="L2705" s="8" t="inlineStr">
        <is>
          <t>ราคาที่ระบุ ยังไม่รวม VAT7%</t>
        </is>
      </c>
      <c r="N2705" s="6">
        <f>SUM(E2705*F2705)</f>
        <v/>
      </c>
    </row>
    <row r="2706">
      <c r="B2706" s="6" t="inlineStr">
        <is>
          <t>แม่สี มุกเหลือบเขียว Hybrid S224</t>
        </is>
      </c>
      <c r="C2706" s="8" t="n">
        <v>2</v>
      </c>
      <c r="D2706" s="9" t="n">
        <v>1400</v>
      </c>
      <c r="E2706" s="9">
        <f>SUM(D2706*C2706)</f>
        <v/>
      </c>
      <c r="F2706" s="8" t="n">
        <v>0.07000000000000001</v>
      </c>
      <c r="G2706" s="10" t="inlineStr">
        <is>
          <t>รวม VAT =</t>
        </is>
      </c>
      <c r="H2706" s="9">
        <f>SUM(E2706+N2706)</f>
        <v/>
      </c>
      <c r="I2706" s="10" t="inlineStr">
        <is>
          <t>บจก. วีที คัลเลอร์ โปร</t>
        </is>
      </c>
      <c r="J2706" s="161" t="n">
        <v>25042</v>
      </c>
      <c r="K2706" s="8" t="inlineStr">
        <is>
          <t>IV6807180</t>
        </is>
      </c>
      <c r="L2706" s="8" t="inlineStr">
        <is>
          <t>ราคาที่ระบุ ยังไม่รวม VAT7%</t>
        </is>
      </c>
      <c r="N2706" s="6">
        <f>SUM(E2706*F2706)</f>
        <v/>
      </c>
    </row>
    <row r="2708">
      <c r="B2708" s="6" t="inlineStr">
        <is>
          <t>แม่สี Matrix  M-225</t>
        </is>
      </c>
      <c r="C2708" s="8" t="inlineStr">
        <is>
          <t>1กป.</t>
        </is>
      </c>
      <c r="D2708" s="9" t="n">
        <v>1680</v>
      </c>
      <c r="F2708" s="8" t="n">
        <v>10</v>
      </c>
      <c r="H2708" s="9" t="n">
        <v>1680</v>
      </c>
      <c r="I2708" s="10" t="inlineStr">
        <is>
          <t>ทรัพย์สินไทย</t>
        </is>
      </c>
      <c r="J2708" s="161" t="n">
        <v>22822</v>
      </c>
      <c r="L2708" s="8" t="inlineStr">
        <is>
          <t>ราคาที่ระบุเป็นก่อนหักส่วนลด</t>
        </is>
      </c>
    </row>
    <row r="2709">
      <c r="B2709" s="6" t="inlineStr">
        <is>
          <t>แม่สี Matrix  M-225</t>
        </is>
      </c>
      <c r="C2709" s="8" t="inlineStr">
        <is>
          <t>1กป.</t>
        </is>
      </c>
      <c r="D2709" s="9" t="n">
        <v>1680</v>
      </c>
      <c r="F2709" s="8" t="n">
        <v>10</v>
      </c>
      <c r="H2709" s="9" t="n">
        <v>1680</v>
      </c>
      <c r="I2709" s="10" t="inlineStr">
        <is>
          <t>ทรัพย์สินไทย</t>
        </is>
      </c>
      <c r="J2709" s="161" t="n">
        <v>22920</v>
      </c>
      <c r="L2709" s="8" t="inlineStr">
        <is>
          <t>ราคาที่ระบุเป็นก่อนหักส่วนลด</t>
        </is>
      </c>
    </row>
    <row r="2710">
      <c r="B2710" s="6" t="inlineStr">
        <is>
          <t>แม่สี Matrix  M-225</t>
        </is>
      </c>
      <c r="C2710" s="8" t="inlineStr">
        <is>
          <t>1กป.</t>
        </is>
      </c>
      <c r="D2710" s="9" t="n">
        <v>1680</v>
      </c>
      <c r="F2710" s="8" t="n">
        <v>10</v>
      </c>
      <c r="H2710" s="9" t="n">
        <v>1680</v>
      </c>
      <c r="I2710" s="10" t="inlineStr">
        <is>
          <t>ทรัพย์สินไทย</t>
        </is>
      </c>
      <c r="J2710" s="161" t="n">
        <v>23081</v>
      </c>
      <c r="L2710" s="8" t="inlineStr">
        <is>
          <t>ราคาที่ระบุเป็นก่อนหักส่วนลด</t>
        </is>
      </c>
    </row>
    <row r="2711">
      <c r="B2711" s="6" t="inlineStr">
        <is>
          <t>แม่สี Matrix  M-225</t>
        </is>
      </c>
      <c r="C2711" s="8" t="inlineStr">
        <is>
          <t>2กป.</t>
        </is>
      </c>
      <c r="D2711" s="9" t="n">
        <v>1680</v>
      </c>
      <c r="F2711" s="8" t="n">
        <v>10</v>
      </c>
      <c r="H2711" s="9" t="n">
        <v>3360</v>
      </c>
      <c r="I2711" s="10" t="inlineStr">
        <is>
          <t>ทรัพย์สินไทย</t>
        </is>
      </c>
      <c r="J2711" s="161" t="n">
        <v>23124</v>
      </c>
      <c r="L2711" s="8" t="inlineStr">
        <is>
          <t>ราคาที่ระบุเป็นก่อนหักส่วนลด</t>
        </is>
      </c>
    </row>
    <row r="2712">
      <c r="B2712" s="6" t="inlineStr">
        <is>
          <t>แม่สี Matrix  M-225</t>
        </is>
      </c>
      <c r="C2712" s="8" t="inlineStr">
        <is>
          <t>2กป.</t>
        </is>
      </c>
      <c r="D2712" s="9" t="n">
        <v>1680</v>
      </c>
      <c r="F2712" s="8" t="n">
        <v>10</v>
      </c>
      <c r="H2712" s="9" t="n">
        <v>3360</v>
      </c>
      <c r="I2712" s="10" t="inlineStr">
        <is>
          <t>ทรัพย์สินไทย</t>
        </is>
      </c>
      <c r="J2712" s="161" t="n">
        <v>23387</v>
      </c>
      <c r="L2712" s="8" t="inlineStr">
        <is>
          <t>ราคาที่ระบุเป็นก่อนหักส่วนลด</t>
        </is>
      </c>
    </row>
    <row r="2713">
      <c r="B2713" s="6" t="inlineStr">
        <is>
          <t>แม่สี Matrix  M-225</t>
        </is>
      </c>
      <c r="C2713" s="8" t="inlineStr">
        <is>
          <t>1กป.</t>
        </is>
      </c>
      <c r="D2713" s="9" t="n">
        <v>1680</v>
      </c>
      <c r="F2713" s="8" t="n">
        <v>10</v>
      </c>
      <c r="H2713" s="9" t="n">
        <v>1680</v>
      </c>
      <c r="I2713" s="10" t="inlineStr">
        <is>
          <t>ทรัพย์สินไทย</t>
        </is>
      </c>
      <c r="J2713" s="161" t="n">
        <v>23763</v>
      </c>
      <c r="K2713" s="8" t="inlineStr">
        <is>
          <t>IV6501225</t>
        </is>
      </c>
      <c r="L2713" s="8" t="inlineStr">
        <is>
          <t>ราคาที่ระบุเป็นก่อนหักส่วนลด</t>
        </is>
      </c>
    </row>
    <row r="2714">
      <c r="B2714" s="6" t="inlineStr">
        <is>
          <t>แม่สี Matrix  M-225</t>
        </is>
      </c>
      <c r="C2714" s="8" t="inlineStr">
        <is>
          <t>2กป.</t>
        </is>
      </c>
      <c r="D2714" s="9" t="n">
        <v>1680</v>
      </c>
      <c r="F2714" s="8" t="n">
        <v>10</v>
      </c>
      <c r="H2714" s="9" t="n">
        <v>3360</v>
      </c>
      <c r="I2714" s="10" t="inlineStr">
        <is>
          <t>ทรัพย์สินไทย</t>
        </is>
      </c>
      <c r="J2714" s="161" t="n">
        <v>23431</v>
      </c>
      <c r="L2714" s="8" t="inlineStr">
        <is>
          <t>ราคาที่ระบุเป็นก่อนหักส่วนลด</t>
        </is>
      </c>
    </row>
    <row r="2715">
      <c r="B2715" s="6" t="inlineStr">
        <is>
          <t>แม่สี Matrix  M-225</t>
        </is>
      </c>
      <c r="C2715" s="8" t="inlineStr">
        <is>
          <t>1กป.</t>
        </is>
      </c>
      <c r="D2715" s="9" t="n">
        <v>1680</v>
      </c>
      <c r="F2715" s="8" t="n">
        <v>10</v>
      </c>
      <c r="H2715" s="9" t="n">
        <v>1680</v>
      </c>
      <c r="I2715" s="10" t="inlineStr">
        <is>
          <t>ทรัพย์สินไทย</t>
        </is>
      </c>
      <c r="J2715" s="161" t="n">
        <v>23920</v>
      </c>
      <c r="K2715" s="8" t="inlineStr">
        <is>
          <t>IV6506337</t>
        </is>
      </c>
      <c r="L2715" s="8" t="inlineStr">
        <is>
          <t>ราคาที่ระบุเป็นก่อนหักส่วนลด</t>
        </is>
      </c>
    </row>
    <row r="2717">
      <c r="B2717" s="6" t="inlineStr">
        <is>
          <t>แม่สี มุกน้ำเงินละเอียด SC-225</t>
        </is>
      </c>
      <c r="C2717" s="8" t="inlineStr">
        <is>
          <t>2กป.</t>
        </is>
      </c>
      <c r="D2717" s="9" t="n">
        <v>1400</v>
      </c>
      <c r="H2717" s="9" t="n">
        <v>2800</v>
      </c>
      <c r="I2717" s="10" t="inlineStr">
        <is>
          <t>บจก. วีที คัลเลอร์ โปร</t>
        </is>
      </c>
      <c r="J2717" s="161" t="n">
        <v>24160</v>
      </c>
      <c r="K2717" s="8" t="inlineStr">
        <is>
          <t>IV113-66</t>
        </is>
      </c>
      <c r="L2717" s="8" t="inlineStr">
        <is>
          <t>ราคายังไม่รวม VAT</t>
        </is>
      </c>
    </row>
    <row r="2718">
      <c r="B2718" s="6" t="inlineStr">
        <is>
          <t>แม่สี มุกน้ำเงินละเอียด SC-225</t>
        </is>
      </c>
      <c r="C2718" s="8" t="inlineStr">
        <is>
          <t>1กป.</t>
        </is>
      </c>
      <c r="D2718" s="9" t="n">
        <v>1400</v>
      </c>
      <c r="H2718" s="9" t="n">
        <v>1400</v>
      </c>
      <c r="I2718" s="10" t="inlineStr">
        <is>
          <t>บจก. วีที คัลเลอร์ โปร</t>
        </is>
      </c>
      <c r="J2718" s="161" t="n">
        <v>24282</v>
      </c>
      <c r="K2718" s="8" t="inlineStr">
        <is>
          <t>IV353-66</t>
        </is>
      </c>
      <c r="L2718" s="8" t="inlineStr">
        <is>
          <t>ราคายังไม่รวม VAT</t>
        </is>
      </c>
    </row>
    <row r="2719">
      <c r="B2719" s="6" t="inlineStr">
        <is>
          <t>แม่สี มุกน้ำเงินละเอียด SC-225</t>
        </is>
      </c>
      <c r="C2719" s="8" t="inlineStr">
        <is>
          <t>1กป.</t>
        </is>
      </c>
      <c r="D2719" s="9" t="n">
        <v>1400</v>
      </c>
      <c r="H2719" s="9" t="n">
        <v>1400</v>
      </c>
      <c r="I2719" s="10" t="inlineStr">
        <is>
          <t>บจก. วีที คัลเลอร์ โปร</t>
        </is>
      </c>
      <c r="J2719" s="161" t="n">
        <v>24315</v>
      </c>
      <c r="K2719" s="8" t="inlineStr">
        <is>
          <t>IV423-66</t>
        </is>
      </c>
      <c r="L2719" s="8" t="inlineStr">
        <is>
          <t>ราคายังไม่รวม VAT</t>
        </is>
      </c>
    </row>
    <row r="2720">
      <c r="B2720" s="6" t="inlineStr">
        <is>
          <t>แม่สี น้ำเงินละเอียดพิเศษ Hybrid S225</t>
        </is>
      </c>
      <c r="C2720" s="8" t="n">
        <v>1</v>
      </c>
      <c r="D2720" s="9" t="n">
        <v>1400</v>
      </c>
      <c r="H2720" s="9">
        <f>SUM(D2720*C2720)</f>
        <v/>
      </c>
      <c r="I2720" s="10" t="inlineStr">
        <is>
          <t>บจก. วีที คัลเลอร์ โปร</t>
        </is>
      </c>
      <c r="J2720" s="161" t="n">
        <v>24496</v>
      </c>
      <c r="K2720" s="8" t="inlineStr">
        <is>
          <t>IV6701079</t>
        </is>
      </c>
      <c r="L2720" s="8" t="inlineStr">
        <is>
          <t>ราคายังไม่รวม VAT</t>
        </is>
      </c>
    </row>
    <row r="2721">
      <c r="B2721" s="6" t="inlineStr">
        <is>
          <t>แม่สี น้ำเงินละเอียดพิเศษ Hybrid S225</t>
        </is>
      </c>
      <c r="C2721" s="8" t="n">
        <v>1</v>
      </c>
      <c r="D2721" s="9" t="n">
        <v>1400</v>
      </c>
      <c r="H2721" s="9">
        <f>SUM(D2721*C2721)</f>
        <v/>
      </c>
      <c r="I2721" s="10" t="inlineStr">
        <is>
          <t>บจก. วีที คัลเลอร์ โปร</t>
        </is>
      </c>
      <c r="J2721" s="161" t="n">
        <v>24550</v>
      </c>
      <c r="K2721" s="8" t="inlineStr">
        <is>
          <t>IV6703088</t>
        </is>
      </c>
      <c r="L2721" s="8" t="inlineStr">
        <is>
          <t>ราคายังไม่รวม VAT</t>
        </is>
      </c>
    </row>
    <row r="2722">
      <c r="B2722" s="6" t="inlineStr">
        <is>
          <t>แม่สี น้ำเงินละเอียดพิเศษ Hybrid S225</t>
        </is>
      </c>
      <c r="C2722" s="8" t="n">
        <v>1</v>
      </c>
      <c r="D2722" s="9" t="n">
        <v>1400</v>
      </c>
      <c r="H2722" s="9">
        <f>SUM(D2722*C2722)</f>
        <v/>
      </c>
      <c r="I2722" s="10" t="inlineStr">
        <is>
          <t>บจก. วีที คัลเลอร์ โปร</t>
        </is>
      </c>
      <c r="J2722" s="161" t="n">
        <v>24634</v>
      </c>
      <c r="K2722" s="8" t="inlineStr">
        <is>
          <t>IV6706078</t>
        </is>
      </c>
      <c r="L2722" s="8" t="inlineStr">
        <is>
          <t>ราคายังไม่รวม VAT</t>
        </is>
      </c>
    </row>
    <row r="2723">
      <c r="B2723" s="6" t="inlineStr">
        <is>
          <t>แม่สี น้ำเงินละเอียดพิเศษ Hybrid S225</t>
        </is>
      </c>
      <c r="C2723" s="8" t="n">
        <v>1</v>
      </c>
      <c r="D2723" s="9" t="n">
        <v>1400</v>
      </c>
      <c r="H2723" s="9">
        <f>SUM(D2723*C2723)</f>
        <v/>
      </c>
      <c r="I2723" s="10" t="inlineStr">
        <is>
          <t>บจก. วีที คัลเลอร์ โปร</t>
        </is>
      </c>
      <c r="J2723" s="161" t="n">
        <v>24664</v>
      </c>
      <c r="K2723" s="8" t="inlineStr">
        <is>
          <t>IV6707082</t>
        </is>
      </c>
      <c r="L2723" s="8" t="inlineStr">
        <is>
          <t>ราคายังไม่รวม VAT</t>
        </is>
      </c>
    </row>
    <row r="2724">
      <c r="B2724" s="6" t="inlineStr">
        <is>
          <t>แม่สี น้ำเงินละเอียดพิเศษ Hybrid S225</t>
        </is>
      </c>
      <c r="C2724" s="8" t="n">
        <v>1</v>
      </c>
      <c r="D2724" s="9" t="n">
        <v>1400</v>
      </c>
      <c r="H2724" s="9">
        <f>SUM(D2724*C2724)</f>
        <v/>
      </c>
      <c r="I2724" s="10" t="inlineStr">
        <is>
          <t>บจก. วีที คัลเลอร์ โปร</t>
        </is>
      </c>
      <c r="J2724" s="161" t="n">
        <v>24676</v>
      </c>
      <c r="K2724" s="8" t="inlineStr">
        <is>
          <t>IV6707130</t>
        </is>
      </c>
      <c r="L2724" s="8" t="inlineStr">
        <is>
          <t>ราคายังไม่รวม VAT</t>
        </is>
      </c>
    </row>
    <row r="2725">
      <c r="B2725" s="6" t="inlineStr">
        <is>
          <t>แม่สี น้ำเงินละเอียดพิเศษ Hybrid S225</t>
        </is>
      </c>
      <c r="C2725" s="8" t="n">
        <v>1</v>
      </c>
      <c r="D2725" s="9" t="n">
        <v>1498</v>
      </c>
      <c r="H2725" s="9">
        <f>SUM(D2725*C2725)</f>
        <v/>
      </c>
      <c r="I2725" s="10" t="inlineStr">
        <is>
          <t>บจก. วีที คัลเลอร์ โปร</t>
        </is>
      </c>
      <c r="J2725" s="161" t="n">
        <v>24892</v>
      </c>
      <c r="K2725" s="8" t="inlineStr">
        <is>
          <t>IV6802144</t>
        </is>
      </c>
      <c r="L2725" s="8" t="inlineStr">
        <is>
          <t>ราคารวม VAT แล้ว</t>
        </is>
      </c>
    </row>
    <row r="2726">
      <c r="B2726" s="6" t="inlineStr">
        <is>
          <t>แม่สี น้ำเงินละเอียดพิเศษ Hybrid S225</t>
        </is>
      </c>
      <c r="C2726" s="8" t="n">
        <v>1</v>
      </c>
      <c r="D2726" s="9" t="n">
        <v>1400</v>
      </c>
      <c r="E2726" s="9">
        <f>SUM(D2726*C2726)</f>
        <v/>
      </c>
      <c r="F2726" s="8" t="n">
        <v>0.07000000000000001</v>
      </c>
      <c r="G2726" s="10" t="inlineStr">
        <is>
          <t>รวม VAT =</t>
        </is>
      </c>
      <c r="H2726" s="9">
        <f>SUM(E2726+N2726)</f>
        <v/>
      </c>
      <c r="I2726" s="10" t="inlineStr">
        <is>
          <t>บจก. วีที คัลเลอร์ โปร</t>
        </is>
      </c>
      <c r="J2726" s="161" t="n">
        <v>25015</v>
      </c>
      <c r="K2726" s="8" t="inlineStr">
        <is>
          <t>IV6806175</t>
        </is>
      </c>
      <c r="L2726" s="8" t="inlineStr">
        <is>
          <t>ราคาที่ระบุ ยังไม่รวม VAT7%</t>
        </is>
      </c>
      <c r="N2726" s="6">
        <f>SUM(E2726*F2726)</f>
        <v/>
      </c>
    </row>
    <row r="2727">
      <c r="B2727" s="6" t="inlineStr">
        <is>
          <t>แม่สี น้ำเงินละเอียดพิเศษ Hybrid S225</t>
        </is>
      </c>
      <c r="C2727" s="8" t="n">
        <v>2</v>
      </c>
      <c r="D2727" s="9" t="n">
        <v>1400</v>
      </c>
      <c r="E2727" s="9">
        <f>SUM(D2727*C2727)</f>
        <v/>
      </c>
      <c r="F2727" s="8" t="n">
        <v>0.07000000000000001</v>
      </c>
      <c r="G2727" s="10" t="inlineStr">
        <is>
          <t>รวม VAT =</t>
        </is>
      </c>
      <c r="H2727" s="9">
        <f>SUM(E2727+N2727)</f>
        <v/>
      </c>
      <c r="I2727" s="10" t="inlineStr">
        <is>
          <t>บจก. วีที คัลเลอร์ โปร</t>
        </is>
      </c>
      <c r="J2727" s="161" t="n">
        <v>25042</v>
      </c>
      <c r="K2727" s="8" t="inlineStr">
        <is>
          <t>IV6807180</t>
        </is>
      </c>
      <c r="L2727" s="8" t="inlineStr">
        <is>
          <t>ราคาที่ระบุ ยังไม่รวม VAT7%</t>
        </is>
      </c>
      <c r="N2727" s="6">
        <f>SUM(E2727*F2727)</f>
        <v/>
      </c>
    </row>
    <row r="2728">
      <c r="B2728" s="6" t="inlineStr">
        <is>
          <t>แม่สี น้ำเงินละเอียดพิเศษ Hybrid S225</t>
        </is>
      </c>
      <c r="C2728" s="8" t="n">
        <v>2</v>
      </c>
      <c r="D2728" s="9" t="n">
        <v>1400</v>
      </c>
      <c r="E2728" s="9">
        <f>SUM(D2728*C2728)</f>
        <v/>
      </c>
      <c r="F2728" s="8" t="n">
        <v>0.07000000000000001</v>
      </c>
      <c r="G2728" s="10" t="inlineStr">
        <is>
          <t>รวม VAT =</t>
        </is>
      </c>
      <c r="H2728" s="9">
        <f>SUM(E2728+N2728)</f>
        <v/>
      </c>
      <c r="I2728" s="10" t="inlineStr">
        <is>
          <t>บจก. วีที คัลเลอร์ โปร</t>
        </is>
      </c>
      <c r="J2728" s="161" t="n">
        <v>25168</v>
      </c>
      <c r="K2728" s="8" t="inlineStr">
        <is>
          <t>IV6811188</t>
        </is>
      </c>
      <c r="N2728" s="6">
        <f>SUM(E2728*F2728)</f>
        <v/>
      </c>
    </row>
    <row r="2730">
      <c r="B2730" s="6" t="inlineStr">
        <is>
          <t>แม่สี Matrix  M-226</t>
        </is>
      </c>
      <c r="C2730" s="8" t="inlineStr">
        <is>
          <t>3กป.</t>
        </is>
      </c>
      <c r="D2730" s="9" t="n">
        <v>1680</v>
      </c>
      <c r="F2730" s="8" t="n">
        <v>10</v>
      </c>
      <c r="H2730" s="9" t="n">
        <v>5040</v>
      </c>
      <c r="I2730" s="10" t="inlineStr">
        <is>
          <t>ทรัพย์สินไทย</t>
        </is>
      </c>
      <c r="J2730" s="161" t="n">
        <v>22790</v>
      </c>
      <c r="L2730" s="8" t="inlineStr">
        <is>
          <t>ราคาที่ระบุเป็นก่อนหักส่วนลด</t>
        </is>
      </c>
    </row>
    <row r="2731">
      <c r="B2731" s="6" t="inlineStr">
        <is>
          <t>แม่สี Matrix  M-226</t>
        </is>
      </c>
      <c r="C2731" s="8" t="inlineStr">
        <is>
          <t>2กป.</t>
        </is>
      </c>
      <c r="D2731" s="9" t="n">
        <v>1680</v>
      </c>
      <c r="F2731" s="8" t="n">
        <v>10</v>
      </c>
      <c r="H2731" s="9" t="n">
        <v>3360</v>
      </c>
      <c r="I2731" s="10" t="inlineStr">
        <is>
          <t>ทรัพย์สินไทย</t>
        </is>
      </c>
      <c r="J2731" s="161" t="n">
        <v>22822</v>
      </c>
      <c r="L2731" s="8" t="inlineStr">
        <is>
          <t>ราคาที่ระบุเป็นก่อนหักส่วนลด</t>
        </is>
      </c>
    </row>
    <row r="2732">
      <c r="B2732" s="6" t="inlineStr">
        <is>
          <t>แม่สี Matrix  M-226</t>
        </is>
      </c>
      <c r="C2732" s="8" t="inlineStr">
        <is>
          <t>3กป.</t>
        </is>
      </c>
      <c r="D2732" s="9" t="n">
        <v>1680</v>
      </c>
      <c r="F2732" s="8" t="n">
        <v>10</v>
      </c>
      <c r="H2732" s="9" t="n">
        <v>5040</v>
      </c>
      <c r="I2732" s="10" t="inlineStr">
        <is>
          <t>ทรัพย์สินไทย</t>
        </is>
      </c>
      <c r="J2732" s="161" t="n">
        <v>22851</v>
      </c>
      <c r="L2732" s="8" t="inlineStr">
        <is>
          <t>ราคาที่ระบุเป็นก่อนหักส่วนลด</t>
        </is>
      </c>
    </row>
    <row r="2733">
      <c r="B2733" s="6" t="inlineStr">
        <is>
          <t>แม่สี Matrix  M-226</t>
        </is>
      </c>
      <c r="C2733" s="8" t="inlineStr">
        <is>
          <t>2กป.</t>
        </is>
      </c>
      <c r="D2733" s="9" t="n">
        <v>1680</v>
      </c>
      <c r="F2733" s="8" t="n">
        <v>10</v>
      </c>
      <c r="H2733" s="9" t="n">
        <v>3360</v>
      </c>
      <c r="I2733" s="10" t="inlineStr">
        <is>
          <t>ทรัพย์สินไทย</t>
        </is>
      </c>
      <c r="J2733" s="161" t="n">
        <v>22852</v>
      </c>
      <c r="L2733" s="8" t="inlineStr">
        <is>
          <t>ราคาที่ระบุเป็นก่อนหักส่วนลด</t>
        </is>
      </c>
    </row>
    <row r="2734">
      <c r="B2734" s="6" t="inlineStr">
        <is>
          <t>แม่สี Matrix  M-226</t>
        </is>
      </c>
      <c r="C2734" s="8" t="inlineStr">
        <is>
          <t>2กป.</t>
        </is>
      </c>
      <c r="D2734" s="9" t="n">
        <v>1680</v>
      </c>
      <c r="F2734" s="8" t="n">
        <v>10</v>
      </c>
      <c r="H2734" s="9" t="n">
        <v>3360</v>
      </c>
      <c r="I2734" s="10" t="inlineStr">
        <is>
          <t>ทรัพย์สินไทย</t>
        </is>
      </c>
      <c r="J2734" s="161" t="n">
        <v>22877</v>
      </c>
      <c r="L2734" s="8" t="inlineStr">
        <is>
          <t>ราคาที่ระบุเป็นก่อนหักส่วนลด</t>
        </is>
      </c>
    </row>
    <row r="2735">
      <c r="B2735" s="6" t="inlineStr">
        <is>
          <t>แม่สี Matrix  M-226</t>
        </is>
      </c>
      <c r="C2735" s="8" t="inlineStr">
        <is>
          <t>2กป.</t>
        </is>
      </c>
      <c r="D2735" s="9" t="n">
        <v>1680</v>
      </c>
      <c r="F2735" s="8" t="n">
        <v>10</v>
      </c>
      <c r="H2735" s="9" t="n">
        <v>3360</v>
      </c>
      <c r="I2735" s="10" t="inlineStr">
        <is>
          <t>ทรัพย์สินไทย</t>
        </is>
      </c>
      <c r="J2735" s="161" t="n">
        <v>22899</v>
      </c>
      <c r="L2735" s="8" t="inlineStr">
        <is>
          <t>ราคาที่ระบุเป็นก่อนหักส่วนลด</t>
        </is>
      </c>
    </row>
    <row r="2736">
      <c r="B2736" s="6" t="inlineStr">
        <is>
          <t>แม่สี Matrix  M-226</t>
        </is>
      </c>
      <c r="C2736" s="8" t="inlineStr">
        <is>
          <t>2กป.</t>
        </is>
      </c>
      <c r="D2736" s="9" t="n">
        <v>1680</v>
      </c>
      <c r="F2736" s="8" t="n">
        <v>10</v>
      </c>
      <c r="H2736" s="9" t="n">
        <v>3360</v>
      </c>
      <c r="I2736" s="10" t="inlineStr">
        <is>
          <t>ทรัพย์สินไทย</t>
        </is>
      </c>
      <c r="J2736" s="161" t="n">
        <v>22916</v>
      </c>
      <c r="L2736" s="8" t="inlineStr">
        <is>
          <t>ราคาที่ระบุเป็นก่อนหักส่วนลด</t>
        </is>
      </c>
    </row>
    <row r="2737">
      <c r="B2737" s="6" t="inlineStr">
        <is>
          <t>แม่สี Matrix  M-226</t>
        </is>
      </c>
      <c r="C2737" s="8" t="inlineStr">
        <is>
          <t>2กป.</t>
        </is>
      </c>
      <c r="D2737" s="9" t="n">
        <v>1680</v>
      </c>
      <c r="F2737" s="8" t="n">
        <v>10</v>
      </c>
      <c r="H2737" s="9" t="n">
        <v>3360</v>
      </c>
      <c r="I2737" s="10" t="inlineStr">
        <is>
          <t>ทรัพย์สินไทย</t>
        </is>
      </c>
      <c r="J2737" s="161" t="n">
        <v>23038</v>
      </c>
      <c r="L2737" s="8" t="inlineStr">
        <is>
          <t>ราคาที่ระบุเป็นก่อนหักส่วนลด</t>
        </is>
      </c>
    </row>
    <row r="2738">
      <c r="B2738" s="6" t="inlineStr">
        <is>
          <t>แม่สี Matrix  M-226</t>
        </is>
      </c>
      <c r="C2738" s="8" t="inlineStr">
        <is>
          <t>3กป.</t>
        </is>
      </c>
      <c r="D2738" s="9" t="n">
        <v>1680</v>
      </c>
      <c r="F2738" s="8" t="n">
        <v>10</v>
      </c>
      <c r="H2738" s="9" t="n">
        <v>5040</v>
      </c>
      <c r="I2738" s="10" t="inlineStr">
        <is>
          <t>ทรัพย์สินไทย</t>
        </is>
      </c>
      <c r="J2738" s="161" t="n">
        <v>23081</v>
      </c>
      <c r="L2738" s="8" t="inlineStr">
        <is>
          <t>ราคาที่ระบุเป็นก่อนหักส่วนลด</t>
        </is>
      </c>
    </row>
    <row r="2739">
      <c r="B2739" s="6" t="inlineStr">
        <is>
          <t>แม่สี Matrix  M-226</t>
        </is>
      </c>
      <c r="C2739" s="8" t="inlineStr">
        <is>
          <t>2กป.</t>
        </is>
      </c>
      <c r="D2739" s="9" t="n">
        <v>1680</v>
      </c>
      <c r="F2739" s="8" t="n">
        <v>10</v>
      </c>
      <c r="H2739" s="9" t="n">
        <v>3360</v>
      </c>
      <c r="I2739" s="10" t="inlineStr">
        <is>
          <t>ทรัพย์สินไทย</t>
        </is>
      </c>
      <c r="J2739" s="161" t="n">
        <v>23094</v>
      </c>
      <c r="L2739" s="8" t="inlineStr">
        <is>
          <t>ราคาที่ระบุเป็นก่อนหักส่วนลด</t>
        </is>
      </c>
    </row>
    <row r="2740">
      <c r="B2740" s="6" t="inlineStr">
        <is>
          <t>แม่สี Matrix  M-226</t>
        </is>
      </c>
      <c r="C2740" s="8" t="inlineStr">
        <is>
          <t>1กป.</t>
        </is>
      </c>
      <c r="D2740" s="9" t="n">
        <v>1680</v>
      </c>
      <c r="F2740" s="8" t="n">
        <v>10</v>
      </c>
      <c r="H2740" s="9" t="n">
        <v>1680</v>
      </c>
      <c r="I2740" s="10" t="inlineStr">
        <is>
          <t>ทรัพย์สินไทย</t>
        </is>
      </c>
      <c r="J2740" s="161" t="n">
        <v>23095</v>
      </c>
      <c r="L2740" s="8" t="inlineStr">
        <is>
          <t>ราคาที่ระบุเป็นก่อนหักส่วนลด</t>
        </is>
      </c>
    </row>
    <row r="2741">
      <c r="B2741" s="6" t="inlineStr">
        <is>
          <t>แม่สี Matrix  M-226</t>
        </is>
      </c>
      <c r="C2741" s="8" t="inlineStr">
        <is>
          <t>2กป.</t>
        </is>
      </c>
      <c r="D2741" s="9" t="n">
        <v>1680</v>
      </c>
      <c r="F2741" s="8" t="n">
        <v>10</v>
      </c>
      <c r="H2741" s="9" t="n">
        <v>3360</v>
      </c>
      <c r="I2741" s="10" t="inlineStr">
        <is>
          <t>ทรัพย์สินไทย</t>
        </is>
      </c>
      <c r="J2741" s="161" t="n">
        <v>23124</v>
      </c>
      <c r="L2741" s="8" t="inlineStr">
        <is>
          <t>ราคาที่ระบุเป็นก่อนหักส่วนลด</t>
        </is>
      </c>
    </row>
    <row r="2742">
      <c r="B2742" s="6" t="inlineStr">
        <is>
          <t>แม่สี Matrix  M-226</t>
        </is>
      </c>
      <c r="C2742" s="8" t="inlineStr">
        <is>
          <t>2กป.</t>
        </is>
      </c>
      <c r="D2742" s="9" t="n">
        <v>1680</v>
      </c>
      <c r="F2742" s="8" t="n">
        <v>10</v>
      </c>
      <c r="H2742" s="9" t="n">
        <v>3360</v>
      </c>
      <c r="I2742" s="10" t="inlineStr">
        <is>
          <t>ทรัพย์สินไทย</t>
        </is>
      </c>
      <c r="J2742" s="161" t="n">
        <v>23216</v>
      </c>
      <c r="L2742" s="8" t="inlineStr">
        <is>
          <t>ราคาที่ระบุเป็นก่อนหักส่วนลด</t>
        </is>
      </c>
    </row>
    <row r="2743">
      <c r="B2743" s="6" t="inlineStr">
        <is>
          <t>แม่สี Matrix  M-226</t>
        </is>
      </c>
      <c r="C2743" s="8" t="inlineStr">
        <is>
          <t>6กป.</t>
        </is>
      </c>
      <c r="D2743" s="9" t="n">
        <v>1680</v>
      </c>
      <c r="F2743" s="8" t="n">
        <v>10</v>
      </c>
      <c r="H2743" s="9" t="n">
        <v>10080</v>
      </c>
      <c r="I2743" s="10" t="inlineStr">
        <is>
          <t>ทรัพย์สินไทย</t>
        </is>
      </c>
      <c r="J2743" s="161" t="n">
        <v>23247</v>
      </c>
      <c r="L2743" s="8" t="inlineStr">
        <is>
          <t>ราคาที่ระบุเป็นก่อนหักส่วนลด</t>
        </is>
      </c>
    </row>
    <row r="2744">
      <c r="B2744" s="6" t="inlineStr">
        <is>
          <t>แม่สี Matrix  M-226</t>
        </is>
      </c>
      <c r="C2744" s="8" t="inlineStr">
        <is>
          <t>3กป.</t>
        </is>
      </c>
      <c r="D2744" s="9" t="n">
        <v>1680</v>
      </c>
      <c r="F2744" s="8" t="n">
        <v>10</v>
      </c>
      <c r="H2744" s="9" t="n">
        <v>5040</v>
      </c>
      <c r="I2744" s="10" t="inlineStr">
        <is>
          <t>ทรัพย์สินไทย</t>
        </is>
      </c>
      <c r="J2744" s="161" t="n">
        <v>23277</v>
      </c>
      <c r="L2744" s="8" t="inlineStr">
        <is>
          <t>ราคาที่ระบุเป็นก่อนหักส่วนลด</t>
        </is>
      </c>
    </row>
    <row r="2745">
      <c r="B2745" s="6" t="inlineStr">
        <is>
          <t>แม่สี Matrix  M-226</t>
        </is>
      </c>
      <c r="C2745" s="8" t="inlineStr">
        <is>
          <t>4กป.</t>
        </is>
      </c>
      <c r="D2745" s="9" t="n">
        <v>1680</v>
      </c>
      <c r="F2745" s="8" t="n">
        <v>10</v>
      </c>
      <c r="H2745" s="9" t="n">
        <v>6720</v>
      </c>
      <c r="I2745" s="10" t="inlineStr">
        <is>
          <t>ทรัพย์สินไทย</t>
        </is>
      </c>
      <c r="J2745" s="161" t="n">
        <v>23340</v>
      </c>
      <c r="L2745" s="8" t="inlineStr">
        <is>
          <t>ราคาที่ระบุเป็นก่อนหักส่วนลด</t>
        </is>
      </c>
    </row>
    <row r="2746">
      <c r="B2746" s="6" t="inlineStr">
        <is>
          <t>แม่สี Matrix  M-226</t>
        </is>
      </c>
      <c r="C2746" s="8" t="inlineStr">
        <is>
          <t>2กป.</t>
        </is>
      </c>
      <c r="D2746" s="9" t="n">
        <v>1680</v>
      </c>
      <c r="F2746" s="8" t="n">
        <v>10</v>
      </c>
      <c r="H2746" s="9" t="n">
        <v>3360</v>
      </c>
      <c r="I2746" s="10" t="inlineStr">
        <is>
          <t>ทรัพย์สินไทย</t>
        </is>
      </c>
      <c r="J2746" s="161" t="n">
        <v>23366</v>
      </c>
      <c r="L2746" s="8" t="inlineStr">
        <is>
          <t>ราคาที่ระบุเป็นก่อนหักส่วนลด</t>
        </is>
      </c>
    </row>
    <row r="2747">
      <c r="B2747" s="6" t="inlineStr">
        <is>
          <t>แม่สี Matrix  M-226</t>
        </is>
      </c>
      <c r="C2747" s="8" t="inlineStr">
        <is>
          <t>2กป.</t>
        </is>
      </c>
      <c r="D2747" s="9" t="n">
        <v>1680</v>
      </c>
      <c r="F2747" s="8" t="n">
        <v>10</v>
      </c>
      <c r="H2747" s="9" t="n">
        <v>3360</v>
      </c>
      <c r="I2747" s="10" t="inlineStr">
        <is>
          <t>ทรัพย์สินไทย</t>
        </is>
      </c>
      <c r="J2747" s="161" t="n">
        <v>23422</v>
      </c>
      <c r="L2747" s="8" t="inlineStr">
        <is>
          <t>ราคาที่ระบุเป็นก่อนหักส่วนลด</t>
        </is>
      </c>
    </row>
    <row r="2748">
      <c r="B2748" s="6" t="inlineStr">
        <is>
          <t>แม่สี Matrix  M-226</t>
        </is>
      </c>
      <c r="C2748" s="8" t="inlineStr">
        <is>
          <t>4กป.</t>
        </is>
      </c>
      <c r="D2748" s="9" t="n">
        <v>1680</v>
      </c>
      <c r="F2748" s="8" t="n">
        <v>10</v>
      </c>
      <c r="H2748" s="9" t="n">
        <v>6720</v>
      </c>
      <c r="I2748" s="10" t="inlineStr">
        <is>
          <t>ทรัพย์สินไทย</t>
        </is>
      </c>
      <c r="J2748" s="161" t="n">
        <v>23430</v>
      </c>
      <c r="L2748" s="8" t="inlineStr">
        <is>
          <t>ราคาที่ระบุเป็นก่อนหักส่วนลด</t>
        </is>
      </c>
    </row>
    <row r="2749">
      <c r="B2749" s="6" t="inlineStr">
        <is>
          <t>แม่สี Matrix  M-226</t>
        </is>
      </c>
      <c r="C2749" s="8" t="inlineStr">
        <is>
          <t>4กป.</t>
        </is>
      </c>
      <c r="D2749" s="9" t="n">
        <v>1680</v>
      </c>
      <c r="F2749" s="8" t="n">
        <v>10</v>
      </c>
      <c r="H2749" s="9" t="n">
        <v>6720</v>
      </c>
      <c r="I2749" s="10" t="inlineStr">
        <is>
          <t>ทรัพย์สินไทย</t>
        </is>
      </c>
      <c r="J2749" s="161" t="n">
        <v>23460</v>
      </c>
      <c r="L2749" s="8" t="inlineStr">
        <is>
          <t>ราคาที่ระบุเป็นก่อนหักส่วนลด</t>
        </is>
      </c>
    </row>
    <row r="2750">
      <c r="B2750" s="6" t="inlineStr">
        <is>
          <t>แม่สี Matrix  M-226</t>
        </is>
      </c>
      <c r="C2750" s="8" t="inlineStr">
        <is>
          <t>2กป.</t>
        </is>
      </c>
      <c r="D2750" s="9" t="n">
        <v>1680</v>
      </c>
      <c r="F2750" s="8" t="n">
        <v>10</v>
      </c>
      <c r="H2750" s="9" t="n">
        <v>3360</v>
      </c>
      <c r="I2750" s="10" t="inlineStr">
        <is>
          <t>ทรัพย์สินไทย</t>
        </is>
      </c>
      <c r="J2750" s="161" t="n">
        <v>23546</v>
      </c>
      <c r="L2750" s="8" t="inlineStr">
        <is>
          <t>ราคาที่ระบุเป็นก่อนหักส่วนลด</t>
        </is>
      </c>
    </row>
    <row r="2751">
      <c r="B2751" s="6" t="inlineStr">
        <is>
          <t>แม่สี Matrix  M-226</t>
        </is>
      </c>
      <c r="C2751" s="8" t="inlineStr">
        <is>
          <t>4กป.</t>
        </is>
      </c>
      <c r="D2751" s="9" t="n">
        <v>1680</v>
      </c>
      <c r="F2751" s="8" t="n">
        <v>10</v>
      </c>
      <c r="H2751" s="9" t="n">
        <v>6720</v>
      </c>
      <c r="I2751" s="10" t="inlineStr">
        <is>
          <t>ทรัพย์สินไทย</t>
        </is>
      </c>
      <c r="J2751" s="161" t="n">
        <v>23584</v>
      </c>
      <c r="L2751" s="8" t="inlineStr">
        <is>
          <t>ราคาที่ระบุเป็นก่อนหักส่วนลด</t>
        </is>
      </c>
    </row>
    <row r="2752">
      <c r="B2752" s="6" t="inlineStr">
        <is>
          <t>แม่สี Matrix  M-226</t>
        </is>
      </c>
      <c r="C2752" s="8" t="inlineStr">
        <is>
          <t>3กป.</t>
        </is>
      </c>
      <c r="D2752" s="9" t="n">
        <v>1680</v>
      </c>
      <c r="F2752" s="8" t="n">
        <v>10</v>
      </c>
      <c r="H2752" s="9" t="n">
        <v>5040</v>
      </c>
      <c r="I2752" s="10" t="inlineStr">
        <is>
          <t>ทรัพย์สินไทย</t>
        </is>
      </c>
      <c r="J2752" s="161" t="n">
        <v>23615</v>
      </c>
      <c r="L2752" s="8" t="inlineStr">
        <is>
          <t>ราคาที่ระบุเป็นก่อนหักส่วนลด</t>
        </is>
      </c>
    </row>
    <row r="2753">
      <c r="B2753" s="6" t="inlineStr">
        <is>
          <t>แม่สี Matrix  M-226</t>
        </is>
      </c>
      <c r="C2753" s="8" t="inlineStr">
        <is>
          <t>2กป.</t>
        </is>
      </c>
      <c r="D2753" s="9" t="n">
        <v>1680</v>
      </c>
      <c r="F2753" s="8" t="n">
        <v>10</v>
      </c>
      <c r="H2753" s="9" t="n">
        <v>3360</v>
      </c>
      <c r="I2753" s="10" t="inlineStr">
        <is>
          <t>ทรัพย์สินไทย</t>
        </is>
      </c>
      <c r="J2753" s="161" t="n">
        <v>23676</v>
      </c>
      <c r="K2753" s="8" t="inlineStr">
        <is>
          <t>IV6410364</t>
        </is>
      </c>
      <c r="L2753" s="8" t="inlineStr">
        <is>
          <t>ราคาที่ระบุเป็นก่อนหักส่วนลด</t>
        </is>
      </c>
    </row>
    <row r="2754">
      <c r="B2754" s="6" t="inlineStr">
        <is>
          <t>แม่สี Matrix  M-226</t>
        </is>
      </c>
      <c r="C2754" s="8" t="inlineStr">
        <is>
          <t>2กป.</t>
        </is>
      </c>
      <c r="D2754" s="9" t="n">
        <v>1680</v>
      </c>
      <c r="F2754" s="8" t="n">
        <v>10</v>
      </c>
      <c r="H2754" s="9" t="n">
        <v>3360</v>
      </c>
      <c r="I2754" s="10" t="inlineStr">
        <is>
          <t>ทรัพย์สินไทย</t>
        </is>
      </c>
      <c r="J2754" s="161" t="n">
        <v>23704</v>
      </c>
      <c r="K2754" s="8" t="inlineStr">
        <is>
          <t>IV6411320</t>
        </is>
      </c>
      <c r="L2754" s="8" t="inlineStr">
        <is>
          <t>ราคาที่ระบุเป็นก่อนหักส่วนลด</t>
        </is>
      </c>
    </row>
    <row r="2755">
      <c r="B2755" s="6" t="inlineStr">
        <is>
          <t>แม่สี Matrix  M-226</t>
        </is>
      </c>
      <c r="C2755" s="8" t="inlineStr">
        <is>
          <t>3กป.</t>
        </is>
      </c>
      <c r="D2755" s="9" t="n">
        <v>1680</v>
      </c>
      <c r="F2755" s="8" t="n">
        <v>10</v>
      </c>
      <c r="H2755" s="9" t="n">
        <v>5040</v>
      </c>
      <c r="I2755" s="10" t="inlineStr">
        <is>
          <t>ทรัพย์สินไทย</t>
        </is>
      </c>
      <c r="J2755" s="161" t="n">
        <v>23733</v>
      </c>
      <c r="K2755" s="8" t="inlineStr">
        <is>
          <t>IV6412302</t>
        </is>
      </c>
      <c r="L2755" s="8" t="inlineStr">
        <is>
          <t>ราคาที่ระบุเป็นก่อนหักส่วนลด</t>
        </is>
      </c>
    </row>
    <row r="2756">
      <c r="B2756" s="6" t="inlineStr">
        <is>
          <t>แม่สี Matrix  M-226</t>
        </is>
      </c>
      <c r="C2756" s="8" t="inlineStr">
        <is>
          <t>2กป.</t>
        </is>
      </c>
      <c r="D2756" s="9" t="n">
        <v>1680</v>
      </c>
      <c r="F2756" s="8" t="n">
        <v>10</v>
      </c>
      <c r="H2756" s="9" t="n">
        <v>3360</v>
      </c>
      <c r="I2756" s="10" t="inlineStr">
        <is>
          <t>ทรัพย์สินไทย</t>
        </is>
      </c>
      <c r="J2756" s="161" t="n">
        <v>23795</v>
      </c>
      <c r="K2756" s="8" t="inlineStr">
        <is>
          <t>IV6502258</t>
        </is>
      </c>
      <c r="L2756" s="8" t="inlineStr">
        <is>
          <t>ราคาที่ระบุเป็นก่อนหักส่วนลด</t>
        </is>
      </c>
    </row>
    <row r="2757">
      <c r="B2757" s="6" t="inlineStr">
        <is>
          <t>แม่สี Matrix  M-226</t>
        </is>
      </c>
      <c r="C2757" s="8" t="inlineStr">
        <is>
          <t>3กป.</t>
        </is>
      </c>
      <c r="D2757" s="9" t="n">
        <v>1680</v>
      </c>
      <c r="F2757" s="8" t="n">
        <v>10</v>
      </c>
      <c r="H2757" s="9" t="n">
        <v>5040</v>
      </c>
      <c r="I2757" s="10" t="inlineStr">
        <is>
          <t>ทรัพย์สินไทย</t>
        </is>
      </c>
      <c r="J2757" s="161" t="n">
        <v>23803</v>
      </c>
      <c r="K2757" s="8" t="inlineStr">
        <is>
          <t>IV6503046</t>
        </is>
      </c>
      <c r="L2757" s="8" t="inlineStr">
        <is>
          <t>ราคาที่ระบุเป็นก่อนหักส่วนลด</t>
        </is>
      </c>
    </row>
    <row r="2758">
      <c r="B2758" s="6" t="inlineStr">
        <is>
          <t>แม่สี Matrix  M-226</t>
        </is>
      </c>
      <c r="C2758" s="8" t="inlineStr">
        <is>
          <t>2กป.</t>
        </is>
      </c>
      <c r="D2758" s="9" t="n">
        <v>1680</v>
      </c>
      <c r="F2758" s="8" t="n">
        <v>10</v>
      </c>
      <c r="H2758" s="9" t="n">
        <v>3360</v>
      </c>
      <c r="I2758" s="10" t="inlineStr">
        <is>
          <t>ทรัพย์สินไทย</t>
        </is>
      </c>
      <c r="J2758" s="161" t="n">
        <v>23819</v>
      </c>
      <c r="K2758" s="8" t="inlineStr">
        <is>
          <t>IV6503253</t>
        </is>
      </c>
      <c r="L2758" s="8" t="inlineStr">
        <is>
          <t>ราคาที่ระบุเป็นก่อนหักส่วนลด</t>
        </is>
      </c>
    </row>
    <row r="2759">
      <c r="B2759" s="6" t="inlineStr">
        <is>
          <t>แม่สี Matrix  M-226</t>
        </is>
      </c>
      <c r="C2759" s="8" t="inlineStr">
        <is>
          <t>2กป.</t>
        </is>
      </c>
      <c r="D2759" s="9" t="n">
        <v>1680</v>
      </c>
      <c r="F2759" s="8" t="n">
        <v>10</v>
      </c>
      <c r="H2759" s="9" t="n">
        <v>3360</v>
      </c>
      <c r="I2759" s="10" t="inlineStr">
        <is>
          <t>ทรัพย์สินไทย</t>
        </is>
      </c>
      <c r="J2759" s="161" t="n">
        <v>23824</v>
      </c>
      <c r="K2759" s="8" t="inlineStr">
        <is>
          <t>IV6503301</t>
        </is>
      </c>
      <c r="L2759" s="8" t="inlineStr">
        <is>
          <t>ราคาที่ระบุเป็นก่อนหักส่วนลด</t>
        </is>
      </c>
    </row>
    <row r="2760">
      <c r="B2760" s="6" t="inlineStr">
        <is>
          <t>แม่สี Matrix  M-226</t>
        </is>
      </c>
      <c r="C2760" s="8" t="inlineStr">
        <is>
          <t>2กป.</t>
        </is>
      </c>
      <c r="D2760" s="9" t="n">
        <v>1680</v>
      </c>
      <c r="F2760" s="8" t="n">
        <v>10</v>
      </c>
      <c r="H2760" s="9" t="n">
        <v>3360</v>
      </c>
      <c r="I2760" s="10" t="inlineStr">
        <is>
          <t>ทรัพย์สินไทย</t>
        </is>
      </c>
      <c r="J2760" s="161" t="n">
        <v>23829</v>
      </c>
      <c r="K2760" s="8" t="inlineStr">
        <is>
          <t>IV6503340</t>
        </is>
      </c>
      <c r="L2760" s="8" t="inlineStr">
        <is>
          <t>ราคาที่ระบุเป็นก่อนหักส่วนลด</t>
        </is>
      </c>
    </row>
    <row r="2761">
      <c r="B2761" s="6" t="inlineStr">
        <is>
          <t>แม่สี Matrix  M-226</t>
        </is>
      </c>
      <c r="C2761" s="8" t="inlineStr">
        <is>
          <t>2กป.</t>
        </is>
      </c>
      <c r="D2761" s="9" t="n">
        <v>1680</v>
      </c>
      <c r="F2761" s="8" t="n">
        <v>10</v>
      </c>
      <c r="H2761" s="9" t="n">
        <v>3360</v>
      </c>
      <c r="I2761" s="10" t="inlineStr">
        <is>
          <t>ทรัพย์สินไทย</t>
        </is>
      </c>
      <c r="J2761" s="161" t="n">
        <v>23859</v>
      </c>
      <c r="K2761" s="8" t="inlineStr">
        <is>
          <t>IV6504236</t>
        </is>
      </c>
      <c r="L2761" s="8" t="inlineStr">
        <is>
          <t>ราคาที่ระบุเป็นก่อนหักส่วนลด</t>
        </is>
      </c>
    </row>
    <row r="2762">
      <c r="B2762" s="6" t="inlineStr">
        <is>
          <t>แม่สี Matrix  M-226</t>
        </is>
      </c>
      <c r="C2762" s="8" t="inlineStr">
        <is>
          <t>3กป.</t>
        </is>
      </c>
      <c r="D2762" s="9" t="n">
        <v>1680</v>
      </c>
      <c r="F2762" s="8" t="n">
        <v>10</v>
      </c>
      <c r="H2762" s="9" t="n">
        <v>5040</v>
      </c>
      <c r="I2762" s="10" t="inlineStr">
        <is>
          <t>ทรัพย์สินไทย</t>
        </is>
      </c>
      <c r="J2762" s="161" t="n">
        <v>23920</v>
      </c>
      <c r="K2762" s="8" t="inlineStr">
        <is>
          <t>IV6506336</t>
        </is>
      </c>
      <c r="L2762" s="8" t="inlineStr">
        <is>
          <t>ราคาที่ระบุเป็นก่อนหักส่วนลด</t>
        </is>
      </c>
    </row>
    <row r="2763">
      <c r="B2763" s="6" t="inlineStr">
        <is>
          <t>แม่สี Matrix  M-226</t>
        </is>
      </c>
      <c r="C2763" s="8" t="inlineStr">
        <is>
          <t>2กป.</t>
        </is>
      </c>
      <c r="D2763" s="9" t="n">
        <v>1880</v>
      </c>
      <c r="F2763" s="8" t="n">
        <v>10</v>
      </c>
      <c r="H2763" s="9" t="n">
        <v>3760</v>
      </c>
      <c r="I2763" s="10" t="inlineStr">
        <is>
          <t>ทรัพย์สินไทย</t>
        </is>
      </c>
      <c r="J2763" s="161" t="n">
        <v>23930</v>
      </c>
      <c r="K2763" s="8" t="inlineStr">
        <is>
          <t>IV6507108</t>
        </is>
      </c>
      <c r="L2763" s="8" t="inlineStr">
        <is>
          <t>ราคาที่ระบุเป็นก่อนหักส่วนลด</t>
        </is>
      </c>
    </row>
    <row r="2764">
      <c r="B2764" s="6" t="inlineStr">
        <is>
          <t>แม่สี มุกขาวละเอียดพิเศษ SC-226</t>
        </is>
      </c>
      <c r="C2764" s="8" t="inlineStr">
        <is>
          <t>2กป.</t>
        </is>
      </c>
      <c r="D2764" s="9" t="n">
        <v>1400</v>
      </c>
      <c r="H2764" s="9" t="n">
        <v>2800</v>
      </c>
      <c r="I2764" s="10" t="inlineStr">
        <is>
          <t>บจก. วีที คัลเลอร์ โปร</t>
        </is>
      </c>
      <c r="J2764" s="161" t="n">
        <v>23956</v>
      </c>
      <c r="K2764" s="8" t="inlineStr">
        <is>
          <t>IV116-65</t>
        </is>
      </c>
      <c r="L2764" s="8" t="inlineStr">
        <is>
          <t>ราคาที่ระบุ ยังไม่รวม VAT7%</t>
        </is>
      </c>
    </row>
    <row r="2765">
      <c r="B2765" s="6" t="inlineStr">
        <is>
          <t>แม่สี มุกขาวละเอียดพิเศษ SC-226</t>
        </is>
      </c>
      <c r="C2765" s="8" t="inlineStr">
        <is>
          <t>3กป.</t>
        </is>
      </c>
      <c r="D2765" s="9" t="n">
        <v>1400</v>
      </c>
      <c r="H2765" s="9" t="n">
        <v>4200</v>
      </c>
      <c r="I2765" s="10" t="inlineStr">
        <is>
          <t>บจก. วีที คัลเลอร์ โปร</t>
        </is>
      </c>
      <c r="J2765" s="161" t="n">
        <v>23992</v>
      </c>
      <c r="K2765" s="8" t="inlineStr">
        <is>
          <t>IV167-65</t>
        </is>
      </c>
      <c r="L2765" s="8" t="inlineStr">
        <is>
          <t>ราคายังไม่รวม VAT</t>
        </is>
      </c>
    </row>
    <row r="2766">
      <c r="B2766" s="6" t="inlineStr">
        <is>
          <t>แม่สี มุกขาวละเอียดพิเศษ SC-226</t>
        </is>
      </c>
      <c r="C2766" s="8" t="inlineStr">
        <is>
          <t>3กป.</t>
        </is>
      </c>
      <c r="D2766" s="9" t="n">
        <v>1400</v>
      </c>
      <c r="H2766" s="9" t="n">
        <v>4200</v>
      </c>
      <c r="I2766" s="10" t="inlineStr">
        <is>
          <t>บจก. วีที คัลเลอร์ โปร</t>
        </is>
      </c>
      <c r="J2766" s="161" t="n">
        <v>24005</v>
      </c>
      <c r="K2766" s="8" t="inlineStr">
        <is>
          <t>IV184-65</t>
        </is>
      </c>
      <c r="L2766" s="8" t="inlineStr">
        <is>
          <t>ราคายังไม่รวม VAT</t>
        </is>
      </c>
    </row>
    <row r="2767">
      <c r="B2767" s="6" t="inlineStr">
        <is>
          <t>แม่สี มุกขาวละเอียดพิเศษ SC-226</t>
        </is>
      </c>
      <c r="C2767" s="8" t="inlineStr">
        <is>
          <t>3กป.</t>
        </is>
      </c>
      <c r="D2767" s="9" t="n">
        <v>1400</v>
      </c>
      <c r="H2767" s="9" t="n">
        <v>4200</v>
      </c>
      <c r="I2767" s="10" t="inlineStr">
        <is>
          <t>บจก. วีที คัลเลอร์ โปร</t>
        </is>
      </c>
      <c r="J2767" s="161" t="n">
        <v>24040</v>
      </c>
      <c r="K2767" s="8" t="inlineStr">
        <is>
          <t>IV228-65</t>
        </is>
      </c>
      <c r="L2767" s="8" t="inlineStr">
        <is>
          <t>ราคายังไม่รวม VAT</t>
        </is>
      </c>
    </row>
    <row r="2768">
      <c r="B2768" s="6" t="inlineStr">
        <is>
          <t>แม่สี มุกขาวละเอียดพิเศษ SC-226</t>
        </is>
      </c>
      <c r="C2768" s="8" t="inlineStr">
        <is>
          <t>3กป.</t>
        </is>
      </c>
      <c r="D2768" s="9" t="n">
        <v>1400</v>
      </c>
      <c r="H2768" s="9" t="n">
        <v>4200</v>
      </c>
      <c r="I2768" s="10" t="inlineStr">
        <is>
          <t>บจก. วีที คัลเลอร์ โปร</t>
        </is>
      </c>
      <c r="J2768" s="161" t="n">
        <v>24069</v>
      </c>
      <c r="K2768" s="8" t="inlineStr">
        <is>
          <t>IV276-65</t>
        </is>
      </c>
      <c r="L2768" s="8" t="inlineStr">
        <is>
          <t>ราคายังไม่รวม VAT</t>
        </is>
      </c>
    </row>
    <row r="2769">
      <c r="B2769" s="6" t="inlineStr">
        <is>
          <t>แม่สี มุกขาวละเอียดพิเศษ SC-226</t>
        </is>
      </c>
      <c r="C2769" s="8" t="inlineStr">
        <is>
          <t>3กป.</t>
        </is>
      </c>
      <c r="D2769" s="9" t="n">
        <v>1400</v>
      </c>
      <c r="H2769" s="9" t="n">
        <v>4200</v>
      </c>
      <c r="I2769" s="10" t="inlineStr">
        <is>
          <t>บจก. วีที คัลเลอร์ โปร</t>
        </is>
      </c>
      <c r="J2769" s="161" t="n">
        <v>24095</v>
      </c>
      <c r="K2769" s="8" t="inlineStr">
        <is>
          <t>IV318-65</t>
        </is>
      </c>
      <c r="L2769" s="8" t="inlineStr">
        <is>
          <t>ราคายังไม่รวม VAT</t>
        </is>
      </c>
    </row>
    <row r="2770">
      <c r="B2770" s="6" t="inlineStr">
        <is>
          <t>แม่สี มุกขาวละเอียดพิเศษ SC-226</t>
        </is>
      </c>
      <c r="C2770" s="8" t="inlineStr">
        <is>
          <t>2กป.</t>
        </is>
      </c>
      <c r="D2770" s="9" t="n">
        <v>1400</v>
      </c>
      <c r="H2770" s="9" t="n">
        <v>2800</v>
      </c>
      <c r="I2770" s="10" t="inlineStr">
        <is>
          <t>บจก. วีที คัลเลอร์ โปร</t>
        </is>
      </c>
      <c r="J2770" s="161" t="n">
        <v>24147</v>
      </c>
      <c r="K2770" s="8" t="inlineStr">
        <is>
          <t>IV088-66</t>
        </is>
      </c>
      <c r="L2770" s="8" t="inlineStr">
        <is>
          <t>ราคายังไม่รวม VAT</t>
        </is>
      </c>
    </row>
    <row r="2771">
      <c r="B2771" s="6" t="inlineStr">
        <is>
          <t>แม่สี มุกขาวละเอียดพิเศษ SC-226</t>
        </is>
      </c>
      <c r="C2771" s="8" t="inlineStr">
        <is>
          <t>3กป.</t>
        </is>
      </c>
      <c r="D2771" s="9" t="n">
        <v>1400</v>
      </c>
      <c r="H2771" s="9" t="n">
        <v>4200</v>
      </c>
      <c r="I2771" s="10" t="inlineStr">
        <is>
          <t>บจก. วีที คัลเลอร์ โปร</t>
        </is>
      </c>
      <c r="J2771" s="161" t="n">
        <v>24160</v>
      </c>
      <c r="K2771" s="8" t="inlineStr">
        <is>
          <t>IV113-66</t>
        </is>
      </c>
      <c r="L2771" s="8" t="inlineStr">
        <is>
          <t>ราคายังไม่รวม VAT</t>
        </is>
      </c>
    </row>
    <row r="2772">
      <c r="B2772" s="6" t="inlineStr">
        <is>
          <t>แม่สี มุกขาวละเอียดพิเศษ SC-226</t>
        </is>
      </c>
      <c r="C2772" s="8" t="inlineStr">
        <is>
          <t>2กป.</t>
        </is>
      </c>
      <c r="D2772" s="9" t="n">
        <v>1400</v>
      </c>
      <c r="H2772" s="9" t="n">
        <v>2800</v>
      </c>
      <c r="I2772" s="10" t="inlineStr">
        <is>
          <t>บจก. วีที คัลเลอร์ โปร</t>
        </is>
      </c>
      <c r="J2772" s="161" t="n">
        <v>24168</v>
      </c>
      <c r="K2772" s="8" t="inlineStr">
        <is>
          <t>IV130-66</t>
        </is>
      </c>
      <c r="L2772" s="8" t="inlineStr">
        <is>
          <t>ราคายังไม่รวม VAT</t>
        </is>
      </c>
    </row>
    <row r="2773">
      <c r="B2773" s="6" t="inlineStr">
        <is>
          <t>แม่สี มุกขาวละเอียดพิเศษ SC-226</t>
        </is>
      </c>
      <c r="C2773" s="8" t="inlineStr">
        <is>
          <t>2กป.</t>
        </is>
      </c>
      <c r="D2773" s="9" t="n">
        <v>1400</v>
      </c>
      <c r="H2773" s="9" t="n">
        <v>2800</v>
      </c>
      <c r="I2773" s="10" t="inlineStr">
        <is>
          <t>บจก. วีที คัลเลอร์ โปร</t>
        </is>
      </c>
      <c r="J2773" s="161" t="n">
        <v>24189</v>
      </c>
      <c r="K2773" s="8" t="inlineStr">
        <is>
          <t>IV178-66</t>
        </is>
      </c>
      <c r="L2773" s="8" t="inlineStr">
        <is>
          <t>ราคายังไม่รวม VAT</t>
        </is>
      </c>
    </row>
    <row r="2774">
      <c r="B2774" s="6" t="inlineStr">
        <is>
          <t>แม่สี มุกขาวละเอียดพิเศษ SC-226</t>
        </is>
      </c>
      <c r="C2774" s="8" t="inlineStr">
        <is>
          <t>3กป.</t>
        </is>
      </c>
      <c r="D2774" s="9" t="n">
        <v>1400</v>
      </c>
      <c r="H2774" s="9" t="n">
        <v>4200</v>
      </c>
      <c r="I2774" s="10" t="inlineStr">
        <is>
          <t>บจก. วีที คัลเลอร์ โปร</t>
        </is>
      </c>
      <c r="J2774" s="161" t="n">
        <v>24221</v>
      </c>
      <c r="K2774" s="8" t="inlineStr">
        <is>
          <t>IV226-66</t>
        </is>
      </c>
      <c r="L2774" s="8" t="inlineStr">
        <is>
          <t>ราคายังไม่รวม VAT</t>
        </is>
      </c>
    </row>
    <row r="2775">
      <c r="B2775" s="6" t="inlineStr">
        <is>
          <t>แม่สี มุกขาวละเอียดพิเศษ Hybrid S226</t>
        </is>
      </c>
      <c r="C2775" s="8" t="inlineStr">
        <is>
          <t>3กป.</t>
        </is>
      </c>
      <c r="D2775" s="9" t="n">
        <v>1400</v>
      </c>
      <c r="H2775" s="9" t="n">
        <v>4200</v>
      </c>
      <c r="I2775" s="10" t="inlineStr">
        <is>
          <t>บจก. วีที คัลเลอร์ โปร</t>
        </is>
      </c>
      <c r="J2775" s="161" t="n">
        <v>24298</v>
      </c>
      <c r="K2775" s="8" t="inlineStr">
        <is>
          <t>IV387-66</t>
        </is>
      </c>
      <c r="L2775" s="8" t="inlineStr">
        <is>
          <t>ราคายังไม่รวม VAT</t>
        </is>
      </c>
    </row>
    <row r="2776">
      <c r="B2776" s="6" t="inlineStr">
        <is>
          <t>แม่สี มุกขาวละเอียดพิเศษ Hybrid S226</t>
        </is>
      </c>
      <c r="C2776" s="8" t="inlineStr">
        <is>
          <t>2กป.</t>
        </is>
      </c>
      <c r="D2776" s="9" t="n">
        <v>1400</v>
      </c>
      <c r="H2776" s="9" t="n">
        <v>2800</v>
      </c>
      <c r="I2776" s="10" t="inlineStr">
        <is>
          <t>บจก. วีที คัลเลอร์ โปร</t>
        </is>
      </c>
      <c r="J2776" s="161" t="n">
        <v>24309</v>
      </c>
      <c r="K2776" s="8" t="inlineStr">
        <is>
          <t>IV410-66</t>
        </is>
      </c>
      <c r="L2776" s="8" t="inlineStr">
        <is>
          <t>ราคายังไม่รวม VAT</t>
        </is>
      </c>
    </row>
    <row r="2777">
      <c r="B2777" s="6" t="inlineStr">
        <is>
          <t>แม่สี มุกขาวละเอียดพิเศษ Hybrid S226</t>
        </is>
      </c>
      <c r="C2777" s="8" t="inlineStr">
        <is>
          <t>4กป.</t>
        </is>
      </c>
      <c r="D2777" s="9" t="n">
        <v>1400</v>
      </c>
      <c r="H2777" s="9" t="n">
        <v>5600</v>
      </c>
      <c r="I2777" s="10" t="inlineStr">
        <is>
          <t>บจก. วีที คัลเลอร์ โปร</t>
        </is>
      </c>
      <c r="J2777" s="161" t="n">
        <v>24315</v>
      </c>
      <c r="K2777" s="8" t="inlineStr">
        <is>
          <t>IV423-66</t>
        </is>
      </c>
      <c r="L2777" s="8" t="inlineStr">
        <is>
          <t>ราคายังไม่รวม VAT</t>
        </is>
      </c>
    </row>
    <row r="2778">
      <c r="B2778" s="6" t="inlineStr">
        <is>
          <t>แม่สี มุกขาวละเอียดพิเศษ Hybrid S226</t>
        </is>
      </c>
      <c r="C2778" s="8" t="n">
        <v>6</v>
      </c>
      <c r="D2778" s="9" t="n">
        <v>1400</v>
      </c>
      <c r="H2778" s="9">
        <f>SUM(D2778*C2778)</f>
        <v/>
      </c>
      <c r="I2778" s="10" t="inlineStr">
        <is>
          <t>บจก. วีที คัลเลอร์ โปร</t>
        </is>
      </c>
      <c r="J2778" s="161" t="n">
        <v>24340</v>
      </c>
      <c r="K2778" s="8" t="inlineStr">
        <is>
          <t>IV469-66</t>
        </is>
      </c>
      <c r="L2778" s="8" t="inlineStr">
        <is>
          <t>ราคายังไม่รวม VAT</t>
        </is>
      </c>
    </row>
    <row r="2779">
      <c r="B2779" s="6" t="inlineStr">
        <is>
          <t>แม่สี มุกขาวละเอียดพิเศษ Hybrid S226</t>
        </is>
      </c>
      <c r="C2779" s="8" t="n">
        <v>4</v>
      </c>
      <c r="D2779" s="9" t="n">
        <v>1400</v>
      </c>
      <c r="H2779" s="9">
        <f>SUM(D2779*C2779)</f>
        <v/>
      </c>
      <c r="I2779" s="10" t="inlineStr">
        <is>
          <t>บจก. วีที คัลเลอร์ โปร</t>
        </is>
      </c>
      <c r="J2779" s="161" t="n">
        <v>24372</v>
      </c>
      <c r="K2779" s="8" t="inlineStr">
        <is>
          <t>IV541-66</t>
        </is>
      </c>
      <c r="L2779" s="8" t="inlineStr">
        <is>
          <t>ราคายังไม่รวม VAT</t>
        </is>
      </c>
    </row>
    <row r="2780">
      <c r="B2780" s="6" t="inlineStr">
        <is>
          <t>แม่สี มุกขาวละเอียดพิเศษ Hybrid S226</t>
        </is>
      </c>
      <c r="C2780" s="8" t="n">
        <v>3</v>
      </c>
      <c r="D2780" s="9" t="n">
        <v>1400</v>
      </c>
      <c r="H2780" s="9">
        <f>SUM(D2780*C2780)</f>
        <v/>
      </c>
      <c r="I2780" s="10" t="inlineStr">
        <is>
          <t>บจก. วีที คัลเลอร์ โปร</t>
        </is>
      </c>
      <c r="J2780" s="161" t="n">
        <v>24401</v>
      </c>
      <c r="K2780" s="8" t="inlineStr">
        <is>
          <t>IV684-66</t>
        </is>
      </c>
      <c r="L2780" s="8" t="inlineStr">
        <is>
          <t>ราคายังไม่รวม VAT</t>
        </is>
      </c>
    </row>
    <row r="2781">
      <c r="B2781" s="6" t="inlineStr">
        <is>
          <t>แม่สี มุกขาวละเอียดพิเศษ Hybrid S226</t>
        </is>
      </c>
      <c r="C2781" s="8" t="n">
        <v>3</v>
      </c>
      <c r="D2781" s="9" t="n">
        <v>1400</v>
      </c>
      <c r="H2781" s="9">
        <f>SUM(D2781*C2781)</f>
        <v/>
      </c>
      <c r="I2781" s="10" t="inlineStr">
        <is>
          <t>บจก. วีที คัลเลอร์ โปร</t>
        </is>
      </c>
      <c r="J2781" s="161" t="n">
        <v>24404</v>
      </c>
      <c r="K2781" s="8" t="inlineStr">
        <is>
          <t>IV619-66</t>
        </is>
      </c>
      <c r="L2781" s="8" t="inlineStr">
        <is>
          <t>ราคายังไม่รวม VAT</t>
        </is>
      </c>
    </row>
    <row r="2782">
      <c r="B2782" s="6" t="inlineStr">
        <is>
          <t>แม่สี มุกขาวละเอียดพิเศษ Hybrid S226</t>
        </is>
      </c>
      <c r="C2782" s="8" t="n">
        <v>4</v>
      </c>
      <c r="D2782" s="9" t="n">
        <v>1400</v>
      </c>
      <c r="H2782" s="9">
        <f>SUM(D2782*C2782)</f>
        <v/>
      </c>
      <c r="I2782" s="10" t="inlineStr">
        <is>
          <t>บจก. วีที คัลเลอร์ โปร</t>
        </is>
      </c>
      <c r="J2782" s="161" t="n">
        <v>24462</v>
      </c>
      <c r="K2782" s="8" t="inlineStr">
        <is>
          <t>IV765-66</t>
        </is>
      </c>
      <c r="L2782" s="8" t="inlineStr">
        <is>
          <t>ราคายังไม่รวม VAT</t>
        </is>
      </c>
    </row>
    <row r="2783">
      <c r="B2783" s="6" t="inlineStr">
        <is>
          <t>แม่สี มุกขาวละเอียดพิเศษ Hybrid S226</t>
        </is>
      </c>
      <c r="C2783" s="8" t="n">
        <v>3</v>
      </c>
      <c r="D2783" s="9" t="n">
        <v>1400</v>
      </c>
      <c r="H2783" s="9">
        <f>SUM(D2783*C2783)</f>
        <v/>
      </c>
      <c r="I2783" s="10" t="inlineStr">
        <is>
          <t>บจก. วีที คัลเลอร์ โปร</t>
        </is>
      </c>
      <c r="J2783" s="161" t="n">
        <v>24496</v>
      </c>
      <c r="K2783" s="8" t="inlineStr">
        <is>
          <t>IV6701079</t>
        </is>
      </c>
      <c r="L2783" s="8" t="inlineStr">
        <is>
          <t>ราคายังไม่รวม VAT</t>
        </is>
      </c>
    </row>
    <row r="2784">
      <c r="B2784" s="6" t="inlineStr">
        <is>
          <t>แม่สี มุกขาวละเอียดพิเศษ Hybrid S226</t>
        </is>
      </c>
      <c r="C2784" s="8" t="n">
        <v>2</v>
      </c>
      <c r="D2784" s="9" t="n">
        <v>1400</v>
      </c>
      <c r="H2784" s="9">
        <f>SUM(D2784*C2784)</f>
        <v/>
      </c>
      <c r="I2784" s="10" t="inlineStr">
        <is>
          <t>บจก. วีที คัลเลอร์ โปร</t>
        </is>
      </c>
      <c r="J2784" s="161" t="n">
        <v>24584</v>
      </c>
      <c r="K2784" s="8" t="inlineStr">
        <is>
          <t>IV6704071</t>
        </is>
      </c>
      <c r="L2784" s="8" t="inlineStr">
        <is>
          <t>ราคายังไม่รวม VAT</t>
        </is>
      </c>
    </row>
    <row r="2785">
      <c r="B2785" s="6" t="inlineStr">
        <is>
          <t>แม่สี มุกขาวละเอียดพิเศษ Hybrid S226</t>
        </is>
      </c>
      <c r="C2785" s="8" t="n">
        <v>4</v>
      </c>
      <c r="D2785" s="9" t="n">
        <v>1400</v>
      </c>
      <c r="H2785" s="9">
        <f>SUM(D2785*C2785)</f>
        <v/>
      </c>
      <c r="I2785" s="10" t="inlineStr">
        <is>
          <t>บจก. วีที คัลเลอร์ โปร</t>
        </is>
      </c>
      <c r="J2785" s="161" t="n">
        <v>24550</v>
      </c>
      <c r="K2785" s="8" t="inlineStr">
        <is>
          <t>IV6703088</t>
        </is>
      </c>
      <c r="L2785" s="8" t="inlineStr">
        <is>
          <t>ราคายังไม่รวม VAT</t>
        </is>
      </c>
    </row>
    <row r="2786">
      <c r="B2786" s="6" t="inlineStr">
        <is>
          <t>แม่สี มุกขาวละเอียดพิเศษ Hybrid S226</t>
        </is>
      </c>
      <c r="C2786" s="8" t="n">
        <v>2</v>
      </c>
      <c r="D2786" s="9" t="n">
        <v>1400</v>
      </c>
      <c r="H2786" s="9">
        <f>SUM(D2786*C2786)</f>
        <v/>
      </c>
      <c r="I2786" s="10" t="inlineStr">
        <is>
          <t>บจก. วีที คัลเลอร์ โปร</t>
        </is>
      </c>
      <c r="J2786" s="161" t="n">
        <v>24634</v>
      </c>
      <c r="K2786" s="8" t="inlineStr">
        <is>
          <t>IV6706078</t>
        </is>
      </c>
      <c r="L2786" s="8" t="inlineStr">
        <is>
          <t>ราคายังไม่รวม VAT</t>
        </is>
      </c>
    </row>
    <row r="2787">
      <c r="B2787" s="6" t="inlineStr">
        <is>
          <t>แม่สี มุกขาวละเอียดพิเศษ Hybrid S226</t>
        </is>
      </c>
      <c r="C2787" s="8" t="n">
        <v>4</v>
      </c>
      <c r="D2787" s="9" t="n">
        <v>1400</v>
      </c>
      <c r="H2787" s="9">
        <f>SUM(D2787*C2787)</f>
        <v/>
      </c>
      <c r="I2787" s="10" t="inlineStr">
        <is>
          <t>บจก. วีที คัลเลอร์ โปร</t>
        </is>
      </c>
      <c r="J2787" s="161" t="n">
        <v>24644</v>
      </c>
      <c r="K2787" s="8" t="inlineStr">
        <is>
          <t>IV6706124</t>
        </is>
      </c>
      <c r="L2787" s="8" t="inlineStr">
        <is>
          <t>ราคายังไม่รวม VAT</t>
        </is>
      </c>
    </row>
    <row r="2788">
      <c r="B2788" s="6" t="inlineStr">
        <is>
          <t>แม่สี มุกขาวละเอียดพิเศษ Hybrid S226</t>
        </is>
      </c>
      <c r="C2788" s="8" t="n">
        <v>4</v>
      </c>
      <c r="D2788" s="9" t="n">
        <v>1400</v>
      </c>
      <c r="H2788" s="9">
        <f>SUM(D2788*C2788)</f>
        <v/>
      </c>
      <c r="I2788" s="10" t="inlineStr">
        <is>
          <t>บจก. วีที คัลเลอร์ โปร</t>
        </is>
      </c>
      <c r="J2788" s="161" t="n">
        <v>24676</v>
      </c>
      <c r="K2788" s="8" t="inlineStr">
        <is>
          <t>IV6707130</t>
        </is>
      </c>
      <c r="L2788" s="8" t="inlineStr">
        <is>
          <t>ราคายังไม่รวม VAT</t>
        </is>
      </c>
    </row>
    <row r="2789">
      <c r="B2789" s="6" t="inlineStr">
        <is>
          <t>แม่สี มุกขาวละเอียดพิเศษ Hybrid S226</t>
        </is>
      </c>
      <c r="C2789" s="8" t="n">
        <v>4</v>
      </c>
      <c r="D2789" s="9" t="n">
        <v>1400</v>
      </c>
      <c r="H2789" s="9">
        <f>SUM(D2789*C2789)</f>
        <v/>
      </c>
      <c r="I2789" s="10" t="inlineStr">
        <is>
          <t>บจก. วีที คัลเลอร์ โปร</t>
        </is>
      </c>
      <c r="J2789" s="161" t="n">
        <v>24707</v>
      </c>
      <c r="K2789" s="8" t="inlineStr">
        <is>
          <t>IV6708116</t>
        </is>
      </c>
      <c r="L2789" s="8" t="inlineStr">
        <is>
          <t>ราคายังไม่รวม VAT</t>
        </is>
      </c>
    </row>
    <row r="2790">
      <c r="B2790" s="6" t="inlineStr">
        <is>
          <t>แม่สี มุกขาวละเอียดพิเศษ Hybrid S226</t>
        </is>
      </c>
      <c r="C2790" s="8" t="n">
        <v>3</v>
      </c>
      <c r="D2790" s="9" t="n">
        <v>1400</v>
      </c>
      <c r="H2790" s="9">
        <f>SUM(D2790*C2790)</f>
        <v/>
      </c>
      <c r="I2790" s="10" t="inlineStr">
        <is>
          <t>บจก. วีที คัลเลอร์ โปร</t>
        </is>
      </c>
      <c r="J2790" s="161" t="n">
        <v>24739</v>
      </c>
      <c r="K2790" s="8" t="inlineStr">
        <is>
          <t>IV6709122</t>
        </is>
      </c>
      <c r="L2790" s="8" t="inlineStr">
        <is>
          <t>ราคายังไม่รวม VAT</t>
        </is>
      </c>
    </row>
    <row r="2791">
      <c r="B2791" s="6" t="inlineStr">
        <is>
          <t>แม่สี มุกขาวละเอียดพิเศษ Hybrid S226</t>
        </is>
      </c>
      <c r="C2791" s="8" t="n">
        <v>4</v>
      </c>
      <c r="D2791" s="9" t="n">
        <v>1400</v>
      </c>
      <c r="H2791" s="9">
        <f>SUM(D2791*C2791)</f>
        <v/>
      </c>
      <c r="I2791" s="10" t="inlineStr">
        <is>
          <t>บจก. วีที คัลเลอร์ โปร</t>
        </is>
      </c>
      <c r="J2791" s="161" t="n">
        <v>24795</v>
      </c>
      <c r="K2791" s="8" t="inlineStr">
        <is>
          <t>IV6711103</t>
        </is>
      </c>
      <c r="L2791" s="8" t="inlineStr">
        <is>
          <t>ราคายังไม่รวม VAT</t>
        </is>
      </c>
    </row>
    <row r="2792">
      <c r="B2792" s="6" t="inlineStr">
        <is>
          <t>แม่สี มุกขาวละเอียดพิเศษ Hybrid S226</t>
        </is>
      </c>
      <c r="C2792" s="8" t="n">
        <v>4</v>
      </c>
      <c r="D2792" s="9" t="n">
        <v>1400</v>
      </c>
      <c r="H2792" s="9">
        <f>SUM(D2792*C2792)</f>
        <v/>
      </c>
      <c r="I2792" s="10" t="inlineStr">
        <is>
          <t>บจก. วีที คัลเลอร์ โปร</t>
        </is>
      </c>
      <c r="J2792" s="161" t="n">
        <v>24824</v>
      </c>
      <c r="K2792" s="8" t="inlineStr">
        <is>
          <t>IV6712085</t>
        </is>
      </c>
      <c r="L2792" s="8" t="inlineStr">
        <is>
          <t>ราคายังไม่รวม VAT</t>
        </is>
      </c>
    </row>
    <row r="2793">
      <c r="B2793" s="6" t="inlineStr">
        <is>
          <t>แม่สี มุกขาวละเอียดพิเศษ Hybrid S226</t>
        </is>
      </c>
      <c r="C2793" s="8" t="n">
        <v>5</v>
      </c>
      <c r="D2793" s="9" t="n">
        <v>1498</v>
      </c>
      <c r="H2793" s="9">
        <f>SUM(D2793*C2793)</f>
        <v/>
      </c>
      <c r="I2793" s="10" t="inlineStr">
        <is>
          <t>บจก. วีที คัลเลอร์ โปร</t>
        </is>
      </c>
      <c r="J2793" s="161" t="n">
        <v>24858</v>
      </c>
      <c r="K2793" s="8" t="inlineStr">
        <is>
          <t>IV6801106</t>
        </is>
      </c>
      <c r="L2793" s="8" t="inlineStr">
        <is>
          <t>ราคารวม VAT แล้ว</t>
        </is>
      </c>
    </row>
    <row r="2794">
      <c r="B2794" s="6" t="inlineStr">
        <is>
          <t>แม่สี มุกขาวละเอียดพิเศษ Hybrid S226</t>
        </is>
      </c>
      <c r="C2794" s="8" t="n">
        <v>3</v>
      </c>
      <c r="D2794" s="9" t="n">
        <v>1498</v>
      </c>
      <c r="H2794" s="9">
        <f>SUM(D2794*C2794)</f>
        <v/>
      </c>
      <c r="I2794" s="10" t="inlineStr">
        <is>
          <t>บจก. วีที คัลเลอร์ โปร</t>
        </is>
      </c>
      <c r="J2794" s="161" t="n">
        <v>24886</v>
      </c>
      <c r="K2794" s="8" t="inlineStr">
        <is>
          <t>IV6802112</t>
        </is>
      </c>
      <c r="L2794" s="8" t="inlineStr">
        <is>
          <t>ราคารวม VAT แล้ว</t>
        </is>
      </c>
    </row>
    <row r="2795">
      <c r="B2795" s="6" t="inlineStr">
        <is>
          <t>แม่สี มุกขาวละเอียดพิเศษ Hybrid S226</t>
        </is>
      </c>
      <c r="C2795" s="8" t="n">
        <v>2</v>
      </c>
      <c r="D2795" s="9" t="n">
        <v>1498</v>
      </c>
      <c r="H2795" s="9">
        <f>SUM(D2795*C2795)</f>
        <v/>
      </c>
      <c r="I2795" s="10" t="inlineStr">
        <is>
          <t>บจก. วีที คัลเลอร์ โปร</t>
        </is>
      </c>
      <c r="J2795" s="161" t="n">
        <v>24892</v>
      </c>
      <c r="K2795" s="8" t="inlineStr">
        <is>
          <t>IV6802144</t>
        </is>
      </c>
      <c r="L2795" s="8" t="inlineStr">
        <is>
          <t>ราคารวม VAT แล้ว</t>
        </is>
      </c>
    </row>
    <row r="2796">
      <c r="B2796" s="6" t="inlineStr">
        <is>
          <t>แม่สี มุกขาวละเอียดพิเศษ Hybrid S226</t>
        </is>
      </c>
      <c r="C2796" s="8" t="n">
        <v>6</v>
      </c>
      <c r="D2796" s="9" t="n">
        <v>1498</v>
      </c>
      <c r="H2796" s="9">
        <f>SUM(D2796*C2796)</f>
        <v/>
      </c>
      <c r="I2796" s="10" t="inlineStr">
        <is>
          <t>บจก. วีที คัลเลอร์ โปร</t>
        </is>
      </c>
      <c r="J2796" s="161" t="n">
        <v>24923</v>
      </c>
      <c r="K2796" s="8" t="inlineStr">
        <is>
          <t>IV6803171</t>
        </is>
      </c>
      <c r="L2796" s="8" t="inlineStr">
        <is>
          <t>ราคารวม VAT แล้ว</t>
        </is>
      </c>
    </row>
    <row r="2797">
      <c r="B2797" s="6" t="inlineStr">
        <is>
          <t>แม่สี มุกขาวละเอียดพิเศษ Hybrid S226</t>
        </is>
      </c>
      <c r="C2797" s="8" t="n">
        <v>6</v>
      </c>
      <c r="D2797" s="9" t="n">
        <v>1400</v>
      </c>
      <c r="E2797" s="9">
        <f>SUM(C2797*D2797)</f>
        <v/>
      </c>
      <c r="H2797" s="9">
        <f>SUM(E2797*O2797/N2797)</f>
        <v/>
      </c>
      <c r="I2797" s="10" t="inlineStr">
        <is>
          <t>บจก. วีที คัลเลอร์ โปร</t>
        </is>
      </c>
      <c r="J2797" s="161" t="n">
        <v>24979</v>
      </c>
      <c r="K2797" s="8" t="inlineStr">
        <is>
          <t>IV6805147</t>
        </is>
      </c>
      <c r="N2797" s="6" t="n">
        <v>100</v>
      </c>
      <c r="O2797" s="6" t="n">
        <v>107</v>
      </c>
    </row>
    <row r="2798">
      <c r="B2798" s="6" t="inlineStr">
        <is>
          <t>แม่สี มุกขาวละเอียดพิเศษ Hybrid S226</t>
        </is>
      </c>
      <c r="C2798" s="8" t="n">
        <v>6</v>
      </c>
      <c r="D2798" s="9" t="n">
        <v>1400</v>
      </c>
      <c r="E2798" s="9">
        <f>SUM(D2798*C2798)</f>
        <v/>
      </c>
      <c r="F2798" s="8" t="n">
        <v>0.07000000000000001</v>
      </c>
      <c r="G2798" s="10" t="inlineStr">
        <is>
          <t>รวม VAT =</t>
        </is>
      </c>
      <c r="H2798" s="9">
        <f>SUM(E2798+N2798)</f>
        <v/>
      </c>
      <c r="I2798" s="10" t="inlineStr">
        <is>
          <t>บจก. วีที คัลเลอร์ โปร</t>
        </is>
      </c>
      <c r="J2798" s="161" t="n">
        <v>25015</v>
      </c>
      <c r="K2798" s="8" t="inlineStr">
        <is>
          <t>IV6806175</t>
        </is>
      </c>
      <c r="L2798" s="8" t="inlineStr">
        <is>
          <t>ราคาที่ระบุ ยังไม่รวม VAT7%</t>
        </is>
      </c>
      <c r="N2798" s="6">
        <f>SUM(E2798*F2798)</f>
        <v/>
      </c>
    </row>
    <row r="2800">
      <c r="B2800" s="6" t="inlineStr">
        <is>
          <t>แม่สี มุกแดงละเอียดพิเศษ SC-227</t>
        </is>
      </c>
      <c r="C2800" s="8" t="inlineStr">
        <is>
          <t>2กป.</t>
        </is>
      </c>
      <c r="D2800" s="9" t="n">
        <v>1400</v>
      </c>
      <c r="H2800" s="9" t="n">
        <v>2800</v>
      </c>
      <c r="I2800" s="10" t="inlineStr">
        <is>
          <t>บจก. วีที คัลเลอร์ โปร</t>
        </is>
      </c>
      <c r="J2800" s="161" t="n">
        <v>24282</v>
      </c>
      <c r="K2800" s="8" t="inlineStr">
        <is>
          <t>IV353-66</t>
        </is>
      </c>
      <c r="L2800" s="8" t="inlineStr">
        <is>
          <t>ราคายังไม่รวม VAT</t>
        </is>
      </c>
    </row>
    <row r="2801">
      <c r="B2801" s="6" t="inlineStr">
        <is>
          <t>แม่สี มุกแดงละเอียดพิเศษ Hybrid S227</t>
        </is>
      </c>
      <c r="C2801" s="8" t="n">
        <v>1</v>
      </c>
      <c r="D2801" s="9" t="n">
        <v>1400</v>
      </c>
      <c r="H2801" s="9">
        <f>SUM(D2801*C2801)</f>
        <v/>
      </c>
      <c r="I2801" s="10" t="inlineStr">
        <is>
          <t>บจก. วีที คัลเลอร์ โปร</t>
        </is>
      </c>
      <c r="J2801" s="161" t="n">
        <v>24698</v>
      </c>
      <c r="K2801" s="8" t="inlineStr">
        <is>
          <t>IV6708064</t>
        </is>
      </c>
      <c r="L2801" s="8" t="inlineStr">
        <is>
          <t>ราคายังไม่รวม VAT</t>
        </is>
      </c>
    </row>
    <row r="2802">
      <c r="B2802" s="6" t="inlineStr">
        <is>
          <t>แม่สี มุกแดงละเอียดพิเศษ Hybrid S227</t>
        </is>
      </c>
      <c r="C2802" s="8" t="n">
        <v>1</v>
      </c>
      <c r="D2802" s="9" t="n">
        <v>1498</v>
      </c>
      <c r="H2802" s="9">
        <f>SUM(D2802*C2802)</f>
        <v/>
      </c>
      <c r="I2802" s="10" t="inlineStr">
        <is>
          <t>บจก. วีที คัลเลอร์ โปร</t>
        </is>
      </c>
      <c r="J2802" s="161" t="n">
        <v>24892</v>
      </c>
      <c r="K2802" s="8" t="inlineStr">
        <is>
          <t>IV6802144</t>
        </is>
      </c>
      <c r="L2802" s="8" t="inlineStr">
        <is>
          <t>ราคารวม VAT แล้ว</t>
        </is>
      </c>
    </row>
    <row r="2803">
      <c r="B2803" s="6" t="inlineStr">
        <is>
          <t>แม่สี มุกแดงละเอียดพิเศษ Hybrid S227</t>
        </is>
      </c>
      <c r="C2803" s="8" t="n">
        <v>1</v>
      </c>
      <c r="D2803" s="9" t="n">
        <v>1400</v>
      </c>
      <c r="E2803" s="9">
        <f>SUM(C2803*D2803)</f>
        <v/>
      </c>
      <c r="H2803" s="9">
        <f>SUM(E2803*O2803/N2803)</f>
        <v/>
      </c>
      <c r="I2803" s="10" t="inlineStr">
        <is>
          <t>บจก. วีที คัลเลอร์ โปร</t>
        </is>
      </c>
      <c r="J2803" s="161" t="n">
        <v>24979</v>
      </c>
      <c r="K2803" s="8" t="inlineStr">
        <is>
          <t>IV6805147</t>
        </is>
      </c>
      <c r="N2803" s="6" t="n">
        <v>100</v>
      </c>
      <c r="O2803" s="6" t="n">
        <v>107</v>
      </c>
    </row>
    <row r="2804">
      <c r="B2804" s="6" t="inlineStr">
        <is>
          <t>แม่สี มุกแดงละเอียดพิเศษ Hybrid S227</t>
        </is>
      </c>
      <c r="C2804" s="8" t="n">
        <v>2</v>
      </c>
      <c r="D2804" s="9" t="n">
        <v>1400</v>
      </c>
      <c r="E2804" s="9">
        <f>SUM(D2804*C2804)</f>
        <v/>
      </c>
      <c r="F2804" s="8" t="n">
        <v>0.07000000000000001</v>
      </c>
      <c r="G2804" s="10" t="inlineStr">
        <is>
          <t>รวม VAT =</t>
        </is>
      </c>
      <c r="H2804" s="9">
        <f>SUM(E2804+N2804)</f>
        <v/>
      </c>
      <c r="I2804" s="10" t="inlineStr">
        <is>
          <t>บจก. วีที คัลเลอร์ โปร</t>
        </is>
      </c>
      <c r="J2804" s="161" t="n">
        <v>25042</v>
      </c>
      <c r="K2804" s="8" t="inlineStr">
        <is>
          <t>IV6807180</t>
        </is>
      </c>
      <c r="N2804" s="6">
        <f>SUM(E2804*F2804)</f>
        <v/>
      </c>
    </row>
    <row r="2805">
      <c r="B2805" s="6" t="inlineStr">
        <is>
          <t>แม่สี มุกแดงละเอียดพิเศษ Hybrid S227</t>
        </is>
      </c>
      <c r="C2805" s="8" t="n">
        <v>2</v>
      </c>
      <c r="D2805" s="9" t="n">
        <v>1400</v>
      </c>
      <c r="E2805" s="9">
        <f>SUM(D2805*C2805)</f>
        <v/>
      </c>
      <c r="F2805" s="8" t="n">
        <v>0.07000000000000001</v>
      </c>
      <c r="G2805" s="10" t="inlineStr">
        <is>
          <t>รวม VAT =</t>
        </is>
      </c>
      <c r="H2805" s="9">
        <f>SUM(E2805+N2805)</f>
        <v/>
      </c>
      <c r="I2805" s="10" t="inlineStr">
        <is>
          <t>บจก. วีที คัลเลอร์ โปร</t>
        </is>
      </c>
      <c r="J2805" s="161" t="n">
        <v>25093</v>
      </c>
      <c r="K2805" s="8" t="inlineStr">
        <is>
          <t>IV6809088</t>
        </is>
      </c>
      <c r="N2805" s="6">
        <f>SUM(E2805*F2805)</f>
        <v/>
      </c>
    </row>
    <row r="2806">
      <c r="B2806" s="6" t="inlineStr">
        <is>
          <t>แม่สี มุกแดงละเอียดพิเศษ Hybrid S227</t>
        </is>
      </c>
      <c r="C2806" s="8" t="n">
        <v>1</v>
      </c>
      <c r="D2806" s="9" t="n">
        <v>1400</v>
      </c>
      <c r="E2806" s="9">
        <f>SUM(D2806*C2806)</f>
        <v/>
      </c>
      <c r="F2806" s="8" t="n">
        <v>0.07000000000000001</v>
      </c>
      <c r="G2806" s="10" t="inlineStr">
        <is>
          <t>รวม VAT =</t>
        </is>
      </c>
      <c r="H2806" s="9">
        <f>SUM(E2806+N2806)</f>
        <v/>
      </c>
      <c r="I2806" s="10" t="inlineStr">
        <is>
          <t>บจก. วีที คัลเลอร์ โปร</t>
        </is>
      </c>
      <c r="J2806" s="161" t="n">
        <v>25168</v>
      </c>
      <c r="K2806" s="8" t="inlineStr">
        <is>
          <t>IV6811188</t>
        </is>
      </c>
      <c r="N2806" s="6">
        <f>SUM(E2806*F2806)</f>
        <v/>
      </c>
    </row>
    <row r="2808">
      <c r="B2808" s="6" t="inlineStr">
        <is>
          <t>แม่สี มุกขาวละเอียด SC-229</t>
        </is>
      </c>
      <c r="C2808" s="8" t="inlineStr">
        <is>
          <t>2กป.</t>
        </is>
      </c>
      <c r="D2808" s="9" t="n">
        <v>1400</v>
      </c>
      <c r="H2808" s="9" t="n">
        <v>2800</v>
      </c>
      <c r="I2808" s="10" t="inlineStr">
        <is>
          <t>บจก. วีที คัลเลอร์ โปร</t>
        </is>
      </c>
      <c r="J2808" s="161" t="n">
        <v>24147</v>
      </c>
      <c r="K2808" s="8" t="inlineStr">
        <is>
          <t>IV088-66</t>
        </is>
      </c>
      <c r="L2808" s="8" t="inlineStr">
        <is>
          <t>ราคายังไม่รวม VAT</t>
        </is>
      </c>
    </row>
    <row r="2809">
      <c r="B2809" s="6" t="inlineStr">
        <is>
          <t>แม่สี มุกขาวละเอียด SC-229</t>
        </is>
      </c>
      <c r="C2809" s="8" t="inlineStr">
        <is>
          <t>1กป.</t>
        </is>
      </c>
      <c r="D2809" s="9" t="n">
        <v>1400</v>
      </c>
      <c r="H2809" s="9" t="n">
        <v>1400</v>
      </c>
      <c r="I2809" s="10" t="inlineStr">
        <is>
          <t>บจก. วีที คัลเลอร์ โปร</t>
        </is>
      </c>
      <c r="J2809" s="161" t="n">
        <v>24282</v>
      </c>
      <c r="K2809" s="8" t="inlineStr">
        <is>
          <t>IV353-66</t>
        </is>
      </c>
      <c r="L2809" s="8" t="inlineStr">
        <is>
          <t>ราคายังไม่รวม VAT</t>
        </is>
      </c>
    </row>
    <row r="2810">
      <c r="B2810" s="6" t="inlineStr">
        <is>
          <t>แม่สี มุกขาวละเอียด Hybrid S229</t>
        </is>
      </c>
      <c r="C2810" s="8" t="n">
        <v>1</v>
      </c>
      <c r="D2810" s="9" t="n">
        <v>1400</v>
      </c>
      <c r="H2810" s="9">
        <f>SUM(D2810*C2810)</f>
        <v/>
      </c>
      <c r="I2810" s="10" t="inlineStr">
        <is>
          <t>บจก. วีที คัลเลอร์ โปร</t>
        </is>
      </c>
      <c r="J2810" s="161" t="n">
        <v>24340</v>
      </c>
      <c r="K2810" s="8" t="inlineStr">
        <is>
          <t>IV469-66</t>
        </is>
      </c>
      <c r="L2810" s="8" t="inlineStr">
        <is>
          <t>ราคายังไม่รวม VAT</t>
        </is>
      </c>
    </row>
    <row r="2811">
      <c r="B2811" s="6" t="inlineStr">
        <is>
          <t>แม่สี มุกขาวละเอียด Hybrid S229</t>
        </is>
      </c>
      <c r="C2811" s="8" t="n">
        <v>2</v>
      </c>
      <c r="D2811" s="9" t="n">
        <v>1400</v>
      </c>
      <c r="H2811" s="9">
        <f>SUM(D2811*C2811)</f>
        <v/>
      </c>
      <c r="I2811" s="10" t="inlineStr">
        <is>
          <t>บจก. วีที คัลเลอร์ โปร</t>
        </is>
      </c>
      <c r="J2811" s="161" t="n">
        <v>24494</v>
      </c>
      <c r="K2811" s="8" t="inlineStr">
        <is>
          <t>IV6701069</t>
        </is>
      </c>
      <c r="L2811" s="8" t="inlineStr">
        <is>
          <t>ราคายังไม่รวม VAT</t>
        </is>
      </c>
    </row>
    <row r="2812">
      <c r="B2812" s="6" t="inlineStr">
        <is>
          <t>แม่สี มุกขาวละเอียด Hybrid S229</t>
        </is>
      </c>
      <c r="C2812" s="8" t="n">
        <v>1</v>
      </c>
      <c r="D2812" s="9" t="n">
        <v>1400</v>
      </c>
      <c r="H2812" s="9">
        <f>SUM(D2812*C2812)</f>
        <v/>
      </c>
      <c r="I2812" s="10" t="inlineStr">
        <is>
          <t>บจก. วีที คัลเลอร์ โปร</t>
        </is>
      </c>
      <c r="J2812" s="161" t="n">
        <v>24676</v>
      </c>
      <c r="K2812" s="8" t="inlineStr">
        <is>
          <t>IV6707130</t>
        </is>
      </c>
      <c r="L2812" s="8" t="inlineStr">
        <is>
          <t>ราคายังไม่รวม VAT</t>
        </is>
      </c>
    </row>
    <row r="2813">
      <c r="B2813" s="6" t="inlineStr">
        <is>
          <t>แม่สี มุกขาวละเอียด Hybrid S229</t>
        </is>
      </c>
      <c r="C2813" s="8" t="n">
        <v>2</v>
      </c>
      <c r="D2813" s="9" t="n">
        <v>1400</v>
      </c>
      <c r="H2813" s="9">
        <f>SUM(D2813*C2813)</f>
        <v/>
      </c>
      <c r="I2813" s="10" t="inlineStr">
        <is>
          <t>บจก. วีที คัลเลอร์ โปร</t>
        </is>
      </c>
      <c r="J2813" s="161" t="n">
        <v>24766</v>
      </c>
      <c r="K2813" s="8" t="inlineStr">
        <is>
          <t>IV6710109</t>
        </is>
      </c>
      <c r="L2813" s="8" t="inlineStr">
        <is>
          <t>ราคายังไม่รวม VAT</t>
        </is>
      </c>
    </row>
    <row r="2814">
      <c r="B2814" s="6" t="inlineStr">
        <is>
          <t>แม่สี มุกขาวละเอียด Hybrid S229</t>
        </is>
      </c>
      <c r="C2814" s="8" t="n">
        <v>2</v>
      </c>
      <c r="D2814" s="9" t="n">
        <v>1498</v>
      </c>
      <c r="H2814" s="9">
        <f>SUM(D2814*C2814)</f>
        <v/>
      </c>
      <c r="I2814" s="10" t="inlineStr">
        <is>
          <t>บจก. วีที คัลเลอร์ โปร</t>
        </is>
      </c>
      <c r="J2814" s="161" t="n">
        <v>24858</v>
      </c>
      <c r="K2814" s="8" t="inlineStr">
        <is>
          <t>IV6801106</t>
        </is>
      </c>
      <c r="L2814" s="8" t="inlineStr">
        <is>
          <t>ราคารวม VAT แล้ว</t>
        </is>
      </c>
    </row>
    <row r="2815">
      <c r="B2815" s="6" t="inlineStr">
        <is>
          <t>แม่สี มุกขาวละเอียด Hybrid S229</t>
        </is>
      </c>
      <c r="C2815" s="8" t="n">
        <v>1</v>
      </c>
      <c r="D2815" s="9" t="n">
        <v>1400</v>
      </c>
      <c r="E2815" s="9">
        <f>SUM(C2815*D2815)</f>
        <v/>
      </c>
      <c r="H2815" s="9">
        <f>SUM(E2815*O2815/N2815)</f>
        <v/>
      </c>
      <c r="I2815" s="10" t="inlineStr">
        <is>
          <t>บจก. วีที คัลเลอร์ โปร</t>
        </is>
      </c>
      <c r="J2815" s="161" t="n">
        <v>24979</v>
      </c>
      <c r="K2815" s="8" t="inlineStr">
        <is>
          <t>IV6805147</t>
        </is>
      </c>
      <c r="N2815" s="6" t="n">
        <v>100</v>
      </c>
      <c r="O2815" s="6" t="n">
        <v>107</v>
      </c>
    </row>
    <row r="2817">
      <c r="B2817" s="6" t="inlineStr">
        <is>
          <t>แม่สี มุกเขียวละเอียดพิเศษ SC-246</t>
        </is>
      </c>
      <c r="C2817" s="8" t="inlineStr">
        <is>
          <t>1กป.</t>
        </is>
      </c>
      <c r="D2817" s="9" t="n">
        <v>1400</v>
      </c>
      <c r="H2817" s="9" t="n">
        <v>1400</v>
      </c>
      <c r="I2817" s="10" t="inlineStr">
        <is>
          <t>บจก. วีที คัลเลอร์ โปร</t>
        </is>
      </c>
      <c r="J2817" s="161" t="n">
        <v>24005</v>
      </c>
      <c r="K2817" s="8" t="inlineStr">
        <is>
          <t>IV184-65</t>
        </is>
      </c>
      <c r="L2817" s="8" t="inlineStr">
        <is>
          <t>ราคายังไม่รวม VAT</t>
        </is>
      </c>
    </row>
    <row r="2818">
      <c r="B2818" s="6" t="inlineStr">
        <is>
          <t>แม่สี มุกเขียวละเอียดพิเศษ SC-246</t>
        </is>
      </c>
      <c r="C2818" s="8" t="inlineStr">
        <is>
          <t>1กป.</t>
        </is>
      </c>
      <c r="D2818" s="9" t="n">
        <v>1400</v>
      </c>
      <c r="H2818" s="9" t="n">
        <v>1400</v>
      </c>
      <c r="I2818" s="10" t="inlineStr">
        <is>
          <t>บจก. วีที คัลเลอร์ โปร</t>
        </is>
      </c>
      <c r="J2818" s="161" t="n">
        <v>24189</v>
      </c>
      <c r="K2818" s="8" t="inlineStr">
        <is>
          <t>IV178-66</t>
        </is>
      </c>
      <c r="L2818" s="8" t="inlineStr">
        <is>
          <t>ราคายังไม่รวม VAT</t>
        </is>
      </c>
    </row>
    <row r="2819">
      <c r="B2819" s="6" t="inlineStr">
        <is>
          <t>แม่สี มุกเขียวละเอียดพิเศษ Hybrid S246</t>
        </is>
      </c>
      <c r="C2819" s="8" t="inlineStr">
        <is>
          <t>1กป.</t>
        </is>
      </c>
      <c r="D2819" s="9" t="n">
        <v>1400</v>
      </c>
      <c r="H2819" s="9" t="n">
        <v>1400</v>
      </c>
      <c r="I2819" s="10" t="inlineStr">
        <is>
          <t>บจก. วีที คัลเลอร์ โปร</t>
        </is>
      </c>
      <c r="J2819" s="161" t="n">
        <v>24634</v>
      </c>
      <c r="K2819" s="8" t="inlineStr">
        <is>
          <t>IV6706078</t>
        </is>
      </c>
      <c r="L2819" s="8" t="inlineStr">
        <is>
          <t>ราคายังไม่รวม VAT</t>
        </is>
      </c>
    </row>
    <row r="2820">
      <c r="B2820" s="6" t="inlineStr">
        <is>
          <t>แม่สี มุกเขียวละเอียดพิเศษ Hybrid S246</t>
        </is>
      </c>
      <c r="C2820" s="8" t="inlineStr">
        <is>
          <t>1กป.</t>
        </is>
      </c>
      <c r="D2820" s="9" t="n">
        <v>1400</v>
      </c>
      <c r="H2820" s="9" t="n">
        <v>1400</v>
      </c>
      <c r="I2820" s="10" t="inlineStr">
        <is>
          <t>บจก. วีที คัลเลอร์ โปร</t>
        </is>
      </c>
      <c r="J2820" s="161" t="n">
        <v>24795</v>
      </c>
      <c r="K2820" s="8" t="inlineStr">
        <is>
          <t>IV6711134</t>
        </is>
      </c>
      <c r="L2820" s="8" t="inlineStr">
        <is>
          <t>ราคายังไม่รวม VAT</t>
        </is>
      </c>
    </row>
    <row r="2821">
      <c r="B2821" s="6" t="inlineStr">
        <is>
          <t>แม่สี มุกเขียวละเอียดพิเศษ Hybrid S246</t>
        </is>
      </c>
      <c r="C2821" s="8" t="n">
        <v>1</v>
      </c>
      <c r="D2821" s="9" t="n">
        <v>1498</v>
      </c>
      <c r="H2821" s="9">
        <f>SUM(D2821*C2821)</f>
        <v/>
      </c>
      <c r="I2821" s="10" t="inlineStr">
        <is>
          <t>บจก. วีที คัลเลอร์ โปร</t>
        </is>
      </c>
      <c r="J2821" s="161" t="n">
        <v>24923</v>
      </c>
      <c r="K2821" s="8" t="inlineStr">
        <is>
          <t>IV6803171</t>
        </is>
      </c>
      <c r="L2821" s="8" t="inlineStr">
        <is>
          <t>ราคารวม VAT แล้ว</t>
        </is>
      </c>
    </row>
    <row r="2822">
      <c r="B2822" s="6" t="inlineStr">
        <is>
          <t>แม่สี มุกเขียวละเอียดพิเศษ Hybrid S246</t>
        </is>
      </c>
      <c r="C2822" s="8" t="n">
        <v>2</v>
      </c>
      <c r="D2822" s="9" t="n">
        <v>1400</v>
      </c>
      <c r="E2822" s="9">
        <f>SUM(D2822*C2822)</f>
        <v/>
      </c>
      <c r="F2822" s="8" t="n">
        <v>0.07000000000000001</v>
      </c>
      <c r="G2822" s="10" t="inlineStr">
        <is>
          <t>รวม VAT =</t>
        </is>
      </c>
      <c r="H2822" s="9">
        <f>SUM(E2822+N2822)</f>
        <v/>
      </c>
      <c r="I2822" s="10" t="inlineStr">
        <is>
          <t>บจก. วีที คัลเลอร์ โปร</t>
        </is>
      </c>
      <c r="J2822" s="161" t="n">
        <v>25042</v>
      </c>
      <c r="K2822" s="8" t="inlineStr">
        <is>
          <t>IV6807180</t>
        </is>
      </c>
      <c r="L2822" s="8" t="inlineStr">
        <is>
          <t>ราคาที่ระบุ ยังไม่รวม VAT7%</t>
        </is>
      </c>
      <c r="N2822" s="6">
        <f>SUM(E2822*F2822)</f>
        <v/>
      </c>
    </row>
    <row r="2824">
      <c r="B2824" s="6" t="inlineStr">
        <is>
          <t>แม่สี Matrix  M-227</t>
        </is>
      </c>
      <c r="C2824" s="8" t="inlineStr">
        <is>
          <t>1กป.</t>
        </is>
      </c>
      <c r="D2824" s="9" t="n">
        <v>1680</v>
      </c>
      <c r="F2824" s="8" t="n">
        <v>10</v>
      </c>
      <c r="H2824" s="9" t="n">
        <v>1680</v>
      </c>
      <c r="I2824" s="10" t="inlineStr">
        <is>
          <t>ทรัพย์สินไทย</t>
        </is>
      </c>
      <c r="J2824" s="161" t="n">
        <v>22790</v>
      </c>
      <c r="L2824" s="8" t="inlineStr">
        <is>
          <t>ราคาที่ระบุเป็นก่อนหักส่วนลด</t>
        </is>
      </c>
    </row>
    <row r="2825">
      <c r="B2825" s="6" t="inlineStr">
        <is>
          <t>แม่สี Matrix  M-227</t>
        </is>
      </c>
      <c r="C2825" s="8" t="inlineStr">
        <is>
          <t>2กป.</t>
        </is>
      </c>
      <c r="D2825" s="9" t="n">
        <v>1680</v>
      </c>
      <c r="F2825" s="8" t="n">
        <v>10</v>
      </c>
      <c r="H2825" s="9" t="n">
        <v>3360</v>
      </c>
      <c r="I2825" s="10" t="inlineStr">
        <is>
          <t>ทรัพย์สินไทย</t>
        </is>
      </c>
      <c r="J2825" s="161" t="n">
        <v>22920</v>
      </c>
      <c r="L2825" s="8" t="inlineStr">
        <is>
          <t>ราคาที่ระบุเป็นก่อนหักส่วนลด</t>
        </is>
      </c>
    </row>
    <row r="2826">
      <c r="B2826" s="6" t="inlineStr">
        <is>
          <t>แม่สี Matrix  M-227</t>
        </is>
      </c>
      <c r="C2826" s="8" t="inlineStr">
        <is>
          <t>1กป.</t>
        </is>
      </c>
      <c r="D2826" s="9" t="n">
        <v>1680</v>
      </c>
      <c r="F2826" s="8" t="n">
        <v>10</v>
      </c>
      <c r="H2826" s="9" t="n">
        <v>1680</v>
      </c>
      <c r="I2826" s="10" t="inlineStr">
        <is>
          <t>ทรัพย์สินไทย</t>
        </is>
      </c>
      <c r="J2826" s="161" t="n">
        <v>23584</v>
      </c>
      <c r="L2826" s="8" t="inlineStr">
        <is>
          <t>ราคาที่ระบุเป็นก่อนหักส่วนลด</t>
        </is>
      </c>
    </row>
    <row r="2827">
      <c r="B2827" s="6" t="inlineStr">
        <is>
          <t>แม่สี Matrix  M-227</t>
        </is>
      </c>
      <c r="C2827" s="8" t="inlineStr">
        <is>
          <t>2กป.</t>
        </is>
      </c>
      <c r="D2827" s="9" t="n">
        <v>1680</v>
      </c>
      <c r="F2827" s="8" t="n">
        <v>10</v>
      </c>
      <c r="H2827" s="9" t="n">
        <v>3360</v>
      </c>
      <c r="I2827" s="10" t="inlineStr">
        <is>
          <t>ทรัพย์สินไทย</t>
        </is>
      </c>
      <c r="J2827" s="161" t="n">
        <v>23247</v>
      </c>
      <c r="L2827" s="8" t="inlineStr">
        <is>
          <t>ราคาที่ระบุเป็นก่อนหักส่วนลด</t>
        </is>
      </c>
    </row>
    <row r="2828">
      <c r="B2828" s="6" t="inlineStr">
        <is>
          <t>แม่สี Matrix  M-227</t>
        </is>
      </c>
      <c r="C2828" s="8" t="inlineStr">
        <is>
          <t>1กป.</t>
        </is>
      </c>
      <c r="D2828" s="9" t="n">
        <v>1680</v>
      </c>
      <c r="F2828" s="8" t="n">
        <v>10</v>
      </c>
      <c r="H2828" s="9" t="n">
        <v>1680</v>
      </c>
      <c r="I2828" s="10" t="inlineStr">
        <is>
          <t>ทรัพย์สินไทย</t>
        </is>
      </c>
      <c r="J2828" s="161" t="n">
        <v>23676</v>
      </c>
      <c r="K2828" s="8" t="inlineStr">
        <is>
          <t>IV6410364</t>
        </is>
      </c>
      <c r="L2828" s="8" t="inlineStr">
        <is>
          <t>ราคาที่ระบุเป็นก่อนหักส่วนลด</t>
        </is>
      </c>
    </row>
    <row r="2829">
      <c r="B2829" s="6" t="inlineStr">
        <is>
          <t>แม่สี Matrix  M-227</t>
        </is>
      </c>
      <c r="C2829" s="8" t="inlineStr">
        <is>
          <t>2กป.</t>
        </is>
      </c>
      <c r="D2829" s="9" t="n">
        <v>1680</v>
      </c>
      <c r="F2829" s="8" t="n">
        <v>10</v>
      </c>
      <c r="H2829" s="9" t="n">
        <v>3360</v>
      </c>
      <c r="I2829" s="10" t="inlineStr">
        <is>
          <t>ทรัพย์สินไทย</t>
        </is>
      </c>
      <c r="J2829" s="161" t="n">
        <v>23795</v>
      </c>
      <c r="K2829" s="8" t="inlineStr">
        <is>
          <t>IV6502259</t>
        </is>
      </c>
      <c r="L2829" s="8" t="inlineStr">
        <is>
          <t>ราคาที่ระบุเป็นก่อนหักส่วนลด</t>
        </is>
      </c>
    </row>
    <row r="2830">
      <c r="B2830" s="6" t="inlineStr">
        <is>
          <t>แม่สี Matrix  M-227</t>
        </is>
      </c>
      <c r="C2830" s="8" t="inlineStr">
        <is>
          <t>1กป.</t>
        </is>
      </c>
      <c r="D2830" s="9" t="n">
        <v>1680</v>
      </c>
      <c r="F2830" s="8" t="n">
        <v>10</v>
      </c>
      <c r="H2830" s="9" t="n">
        <v>1680</v>
      </c>
      <c r="I2830" s="10" t="inlineStr">
        <is>
          <t>ทรัพย์สินไทย</t>
        </is>
      </c>
      <c r="J2830" s="161" t="n">
        <v>23887</v>
      </c>
      <c r="K2830" s="8" t="inlineStr">
        <is>
          <t>IV6505291</t>
        </is>
      </c>
      <c r="L2830" s="8" t="inlineStr">
        <is>
          <t>ราคาที่ระบุเป็นก่อนหักส่วนลด</t>
        </is>
      </c>
    </row>
    <row r="2832">
      <c r="B2832" s="6" t="inlineStr">
        <is>
          <t>แม่สี Matrix  M-228</t>
        </is>
      </c>
      <c r="C2832" s="8" t="inlineStr">
        <is>
          <t>1กป.</t>
        </is>
      </c>
      <c r="D2832" s="9" t="n">
        <v>1680</v>
      </c>
      <c r="F2832" s="8" t="n">
        <v>10</v>
      </c>
      <c r="H2832" s="9" t="n">
        <v>1680</v>
      </c>
      <c r="I2832" s="10" t="inlineStr">
        <is>
          <t>ทรัพย์สินไทย</t>
        </is>
      </c>
      <c r="J2832" s="161" t="n">
        <v>22790</v>
      </c>
      <c r="L2832" s="8" t="inlineStr">
        <is>
          <t>ราคาที่ระบุเป็นก่อนหักส่วนลด</t>
        </is>
      </c>
    </row>
    <row r="2834">
      <c r="B2834" s="6" t="inlineStr">
        <is>
          <t>แม่สี Matrix  M-229</t>
        </is>
      </c>
      <c r="C2834" s="8" t="inlineStr">
        <is>
          <t>1กป.</t>
        </is>
      </c>
      <c r="D2834" s="9" t="n">
        <v>1680</v>
      </c>
      <c r="F2834" s="8" t="n">
        <v>10</v>
      </c>
      <c r="H2834" s="9" t="n">
        <v>1680</v>
      </c>
      <c r="I2834" s="10" t="inlineStr">
        <is>
          <t>ทรัพย์สินไทย</t>
        </is>
      </c>
      <c r="J2834" s="161" t="n">
        <v>22790</v>
      </c>
      <c r="L2834" s="8" t="inlineStr">
        <is>
          <t>ราคาที่ระบุเป็นก่อนหักส่วนลด</t>
        </is>
      </c>
    </row>
    <row r="2835">
      <c r="B2835" s="6" t="inlineStr">
        <is>
          <t>แม่สี Matrix  M-229</t>
        </is>
      </c>
      <c r="C2835" s="8" t="inlineStr">
        <is>
          <t>2กป.</t>
        </is>
      </c>
      <c r="D2835" s="9" t="n">
        <v>1680</v>
      </c>
      <c r="F2835" s="8" t="n">
        <v>10</v>
      </c>
      <c r="H2835" s="9" t="n">
        <v>3360</v>
      </c>
      <c r="I2835" s="10" t="inlineStr">
        <is>
          <t>ทรัพย์สินไทย</t>
        </is>
      </c>
      <c r="J2835" s="161" t="n">
        <v>22429</v>
      </c>
      <c r="L2835" s="8" t="inlineStr">
        <is>
          <t>ราคาที่ระบุเป็นก่อนหักส่วนลด</t>
        </is>
      </c>
    </row>
    <row r="2836">
      <c r="B2836" s="6" t="inlineStr">
        <is>
          <t>แม่สี Matrix  M-229</t>
        </is>
      </c>
      <c r="C2836" s="8" t="inlineStr">
        <is>
          <t>1กป.</t>
        </is>
      </c>
      <c r="D2836" s="9" t="n">
        <v>1680</v>
      </c>
      <c r="F2836" s="8" t="n">
        <v>10</v>
      </c>
      <c r="H2836" s="9" t="n">
        <v>1680</v>
      </c>
      <c r="I2836" s="10" t="inlineStr">
        <is>
          <t>ทรัพย์สินไทย</t>
        </is>
      </c>
      <c r="J2836" s="161" t="n">
        <v>22913</v>
      </c>
      <c r="L2836" s="8" t="inlineStr">
        <is>
          <t>ราคาที่ระบุเป็นก่อนหักส่วนลด</t>
        </is>
      </c>
    </row>
    <row r="2837">
      <c r="B2837" s="6" t="inlineStr">
        <is>
          <t>แม่สี Matrix  M-229</t>
        </is>
      </c>
      <c r="C2837" s="8" t="inlineStr">
        <is>
          <t>2กป.</t>
        </is>
      </c>
      <c r="D2837" s="9" t="n">
        <v>1680</v>
      </c>
      <c r="F2837" s="8" t="n">
        <v>10</v>
      </c>
      <c r="H2837" s="9" t="n">
        <v>3360</v>
      </c>
      <c r="I2837" s="10" t="inlineStr">
        <is>
          <t>ทรัพย์สินไทย</t>
        </is>
      </c>
      <c r="J2837" s="161" t="n">
        <v>23247</v>
      </c>
      <c r="L2837" s="8" t="inlineStr">
        <is>
          <t>ราคาที่ระบุเป็นก่อนหักส่วนลด</t>
        </is>
      </c>
    </row>
    <row r="2838">
      <c r="B2838" s="6" t="inlineStr">
        <is>
          <t>แม่สี Matrix  M-229</t>
        </is>
      </c>
      <c r="C2838" s="8" t="inlineStr">
        <is>
          <t>1กป.</t>
        </is>
      </c>
      <c r="D2838" s="9" t="n">
        <v>1680</v>
      </c>
      <c r="F2838" s="8" t="n">
        <v>10</v>
      </c>
      <c r="H2838" s="9" t="n">
        <v>1680</v>
      </c>
      <c r="I2838" s="10" t="inlineStr">
        <is>
          <t>ทรัพย์สินไทย</t>
        </is>
      </c>
      <c r="J2838" s="161" t="n">
        <v>23430</v>
      </c>
      <c r="L2838" s="8" t="inlineStr">
        <is>
          <t>ราคาที่ระบุเป็นก่อนหักส่วนลด</t>
        </is>
      </c>
    </row>
    <row r="2839">
      <c r="B2839" s="6" t="inlineStr">
        <is>
          <t>แม่สี Matrix  M-229</t>
        </is>
      </c>
      <c r="C2839" s="8" t="inlineStr">
        <is>
          <t>1กป.</t>
        </is>
      </c>
      <c r="D2839" s="9" t="n">
        <v>1680</v>
      </c>
      <c r="F2839" s="8" t="n">
        <v>10</v>
      </c>
      <c r="H2839" s="9" t="n">
        <v>1680</v>
      </c>
      <c r="I2839" s="10" t="inlineStr">
        <is>
          <t>ทรัพย์สินไทย</t>
        </is>
      </c>
      <c r="J2839" s="161" t="n">
        <v>23824</v>
      </c>
      <c r="K2839" s="8" t="inlineStr">
        <is>
          <t>IV6503301</t>
        </is>
      </c>
      <c r="L2839" s="8" t="inlineStr">
        <is>
          <t>ราคาที่ระบุเป็นก่อนหักส่วนลด</t>
        </is>
      </c>
    </row>
    <row r="2841">
      <c r="B2841" s="6" t="inlineStr">
        <is>
          <t>แม่สี Matrix  M-231</t>
        </is>
      </c>
      <c r="C2841" s="8" t="inlineStr">
        <is>
          <t>1กป.</t>
        </is>
      </c>
      <c r="D2841" s="9" t="n">
        <v>1680</v>
      </c>
      <c r="F2841" s="8" t="n">
        <v>10</v>
      </c>
      <c r="H2841" s="9" t="n">
        <v>1680</v>
      </c>
      <c r="I2841" s="10" t="inlineStr">
        <is>
          <t>ทรัพย์สินไทย</t>
        </is>
      </c>
      <c r="J2841" s="161" t="n">
        <v>22913</v>
      </c>
      <c r="L2841" s="8" t="inlineStr">
        <is>
          <t>ราคาที่ระบุเป็นก่อนหักส่วนลด</t>
        </is>
      </c>
    </row>
    <row r="2842">
      <c r="B2842" s="6" t="inlineStr">
        <is>
          <t>แม่สี Matrix  M-231</t>
        </is>
      </c>
      <c r="C2842" s="8" t="inlineStr">
        <is>
          <t>2กป.</t>
        </is>
      </c>
      <c r="D2842" s="9" t="n">
        <v>1680</v>
      </c>
      <c r="F2842" s="8" t="n">
        <v>10</v>
      </c>
      <c r="H2842" s="9" t="n">
        <v>3360</v>
      </c>
      <c r="I2842" s="10" t="inlineStr">
        <is>
          <t>ทรัพย์สินไทย</t>
        </is>
      </c>
      <c r="J2842" s="161" t="n">
        <v>23081</v>
      </c>
      <c r="L2842" s="8" t="inlineStr">
        <is>
          <t>ราคาที่ระบุเป็นก่อนหักส่วนลด</t>
        </is>
      </c>
    </row>
    <row r="2843">
      <c r="B2843" s="6" t="inlineStr">
        <is>
          <t>แม่สี Matrix  M-231</t>
        </is>
      </c>
      <c r="C2843" s="8" t="inlineStr">
        <is>
          <t>2กป.</t>
        </is>
      </c>
      <c r="D2843" s="9" t="n">
        <v>1680</v>
      </c>
      <c r="F2843" s="8" t="n">
        <v>10</v>
      </c>
      <c r="H2843" s="9" t="n">
        <v>3360</v>
      </c>
      <c r="I2843" s="10" t="inlineStr">
        <is>
          <t>ทรัพย์สินไทย</t>
        </is>
      </c>
      <c r="J2843" s="161" t="n">
        <v>23340</v>
      </c>
      <c r="L2843" s="8" t="inlineStr">
        <is>
          <t>ราคาที่ระบุเป็นก่อนหักส่วนลด</t>
        </is>
      </c>
    </row>
    <row r="2844">
      <c r="B2844" s="6" t="inlineStr">
        <is>
          <t>แม่สี Matrix  M-231</t>
        </is>
      </c>
      <c r="C2844" s="8" t="inlineStr">
        <is>
          <t>1กป.</t>
        </is>
      </c>
      <c r="D2844" s="9" t="n">
        <v>1680</v>
      </c>
      <c r="F2844" s="8" t="n">
        <v>10</v>
      </c>
      <c r="H2844" s="9" t="n">
        <v>1680</v>
      </c>
      <c r="I2844" s="10" t="inlineStr">
        <is>
          <t>ทรัพย์สินไทย</t>
        </is>
      </c>
      <c r="J2844" s="161" t="n">
        <v>23465</v>
      </c>
      <c r="L2844" s="8" t="inlineStr">
        <is>
          <t>ราคาที่ระบุเป็นก่อนหักส่วนลด</t>
        </is>
      </c>
    </row>
    <row r="2845">
      <c r="B2845" s="6" t="inlineStr">
        <is>
          <t>แม่สี Matrix  M-231</t>
        </is>
      </c>
      <c r="C2845" s="8" t="inlineStr">
        <is>
          <t>2กป.</t>
        </is>
      </c>
      <c r="D2845" s="9" t="n">
        <v>1680</v>
      </c>
      <c r="F2845" s="8" t="n">
        <v>10</v>
      </c>
      <c r="H2845" s="9" t="n">
        <v>3360</v>
      </c>
      <c r="I2845" s="10" t="inlineStr">
        <is>
          <t>ทรัพย์สินไทย</t>
        </is>
      </c>
      <c r="J2845" s="161" t="n">
        <v>23613</v>
      </c>
      <c r="L2845" s="8" t="inlineStr">
        <is>
          <t>ราคาที่ระบุเป็นก่อนหักส่วนลด</t>
        </is>
      </c>
    </row>
    <row r="2846">
      <c r="B2846" s="6" t="inlineStr">
        <is>
          <t>แม่สี Matrix  M-231</t>
        </is>
      </c>
      <c r="C2846" s="8" t="inlineStr">
        <is>
          <t>1กป.</t>
        </is>
      </c>
      <c r="D2846" s="9" t="n">
        <v>1680</v>
      </c>
      <c r="F2846" s="8" t="n">
        <v>10</v>
      </c>
      <c r="H2846" s="9" t="n">
        <v>1680</v>
      </c>
      <c r="I2846" s="10" t="inlineStr">
        <is>
          <t>ทรัพย์สินไทย</t>
        </is>
      </c>
      <c r="J2846" s="161" t="n">
        <v>23859</v>
      </c>
      <c r="K2846" s="8" t="inlineStr">
        <is>
          <t>IV6504236</t>
        </is>
      </c>
      <c r="L2846" s="8" t="inlineStr">
        <is>
          <t>ราคาที่ระบุเป็นก่อนหักส่วนลด</t>
        </is>
      </c>
    </row>
    <row r="2847">
      <c r="B2847" s="6" t="inlineStr">
        <is>
          <t>แม่สี Matrix  M-231</t>
        </is>
      </c>
      <c r="C2847" s="8" t="inlineStr">
        <is>
          <t>1กป.</t>
        </is>
      </c>
      <c r="D2847" s="9" t="n">
        <v>1680</v>
      </c>
      <c r="F2847" s="8" t="n">
        <v>10</v>
      </c>
      <c r="H2847" s="9" t="n">
        <v>1680</v>
      </c>
      <c r="I2847" s="10" t="inlineStr">
        <is>
          <t>ทรัพย์สินไทย</t>
        </is>
      </c>
      <c r="J2847" s="161" t="n">
        <v>23887</v>
      </c>
      <c r="K2847" s="8" t="inlineStr">
        <is>
          <t>IV6505291</t>
        </is>
      </c>
      <c r="L2847" s="8" t="inlineStr">
        <is>
          <t>ราคาที่ระบุเป็นก่อนหักส่วนลด</t>
        </is>
      </c>
    </row>
    <row r="2848">
      <c r="B2848" s="6" t="inlineStr">
        <is>
          <t>แม่สี มุกเหลือบแดง SC-231</t>
        </is>
      </c>
      <c r="C2848" s="8" t="inlineStr">
        <is>
          <t>1กป.</t>
        </is>
      </c>
      <c r="D2848" s="9" t="n">
        <v>1400</v>
      </c>
      <c r="H2848" s="9" t="n">
        <v>1400</v>
      </c>
      <c r="I2848" s="10" t="inlineStr">
        <is>
          <t>ทรัพย์สินไทย</t>
        </is>
      </c>
      <c r="J2848" s="161" t="n">
        <v>24098</v>
      </c>
      <c r="K2848" s="8" t="inlineStr">
        <is>
          <t>IV328-65</t>
        </is>
      </c>
      <c r="L2848" s="8" t="inlineStr">
        <is>
          <t>ราคาที่ระบุเป็นก่อนหักส่วนลด</t>
        </is>
      </c>
    </row>
    <row r="2849">
      <c r="B2849" s="6" t="inlineStr">
        <is>
          <t>แม่สี มุกเหลือบแดง SC-231</t>
        </is>
      </c>
      <c r="C2849" s="8" t="inlineStr">
        <is>
          <t>1กป.</t>
        </is>
      </c>
      <c r="D2849" s="9" t="n">
        <v>1400</v>
      </c>
      <c r="H2849" s="9" t="n">
        <v>1400</v>
      </c>
      <c r="I2849" s="10" t="inlineStr">
        <is>
          <t>ทรัพย์สินไทย</t>
        </is>
      </c>
      <c r="J2849" s="161" t="n">
        <v>24282</v>
      </c>
      <c r="K2849" s="8" t="inlineStr">
        <is>
          <t>IV353-66</t>
        </is>
      </c>
      <c r="L2849" s="8" t="inlineStr">
        <is>
          <t>ราคาที่ระบุเป็นก่อนหักส่วนลด</t>
        </is>
      </c>
    </row>
    <row r="2850">
      <c r="B2850" s="6" t="inlineStr">
        <is>
          <t>แม่สี มุกเหลือบแดง Hybrid S231</t>
        </is>
      </c>
      <c r="C2850" s="8" t="n">
        <v>2</v>
      </c>
      <c r="D2850" s="9" t="n">
        <v>1400</v>
      </c>
      <c r="H2850" s="9">
        <f>SUM(D2850*C2850)</f>
        <v/>
      </c>
      <c r="I2850" s="10" t="inlineStr">
        <is>
          <t>บจก. วีที คัลเลอร์ โปร</t>
        </is>
      </c>
      <c r="J2850" s="161" t="n">
        <v>24515</v>
      </c>
      <c r="K2850" s="8" t="inlineStr">
        <is>
          <t>IV6702047</t>
        </is>
      </c>
      <c r="L2850" s="8" t="inlineStr">
        <is>
          <t>ราคายังไม่รวม VAT</t>
        </is>
      </c>
    </row>
    <row r="2851">
      <c r="B2851" s="6" t="inlineStr">
        <is>
          <t>แม่สี มุกเหลือบแดง Hybrid S231</t>
        </is>
      </c>
      <c r="C2851" s="8" t="n">
        <v>1</v>
      </c>
      <c r="D2851" s="9" t="n">
        <v>1400</v>
      </c>
      <c r="H2851" s="9">
        <f>SUM(D2851*C2851)</f>
        <v/>
      </c>
      <c r="I2851" s="10" t="inlineStr">
        <is>
          <t>บจก. วีที คัลเลอร์ โปร</t>
        </is>
      </c>
      <c r="J2851" s="161" t="n">
        <v>24664</v>
      </c>
      <c r="K2851" s="8" t="inlineStr">
        <is>
          <t>IV6707082</t>
        </is>
      </c>
      <c r="L2851" s="8" t="inlineStr">
        <is>
          <t>ราคายังไม่รวม VAT</t>
        </is>
      </c>
    </row>
    <row r="2852">
      <c r="B2852" s="6" t="inlineStr">
        <is>
          <t>แม่สี มุกเหลือบแดง Hybrid S231</t>
        </is>
      </c>
      <c r="C2852" s="8" t="n">
        <v>2</v>
      </c>
      <c r="D2852" s="9" t="n">
        <v>1400</v>
      </c>
      <c r="H2852" s="9">
        <f>SUM(D2852*C2852)</f>
        <v/>
      </c>
      <c r="I2852" s="10" t="inlineStr">
        <is>
          <t>บจก. วีที คัลเลอร์ โปร</t>
        </is>
      </c>
      <c r="J2852" s="161" t="n">
        <v>24795</v>
      </c>
      <c r="K2852" s="8" t="inlineStr">
        <is>
          <t>IV6711103</t>
        </is>
      </c>
      <c r="L2852" s="8" t="inlineStr">
        <is>
          <t>ราคายังไม่รวม VAT</t>
        </is>
      </c>
    </row>
    <row r="2853">
      <c r="B2853" s="6" t="inlineStr">
        <is>
          <t>แม่สี มุกเหลือบแดง Hybrid S231</t>
        </is>
      </c>
      <c r="C2853" s="8" t="n">
        <v>2</v>
      </c>
      <c r="D2853" s="9" t="n">
        <v>1400</v>
      </c>
      <c r="E2853" s="9">
        <f>SUM(D2853*C2853)</f>
        <v/>
      </c>
      <c r="F2853" s="8" t="n">
        <v>0.07000000000000001</v>
      </c>
      <c r="G2853" s="10" t="inlineStr">
        <is>
          <t>รวม VAT =</t>
        </is>
      </c>
      <c r="H2853" s="9">
        <f>SUM(E2853+N2853)</f>
        <v/>
      </c>
      <c r="I2853" s="10" t="inlineStr">
        <is>
          <t>บจก. วีที คัลเลอร์ โปร</t>
        </is>
      </c>
      <c r="J2853" s="161" t="n">
        <v>25042</v>
      </c>
      <c r="K2853" s="8" t="inlineStr">
        <is>
          <t>IV6807180</t>
        </is>
      </c>
      <c r="N2853" s="6">
        <f>SUM(E2853*F2853)</f>
        <v/>
      </c>
    </row>
    <row r="2854">
      <c r="B2854" s="6" t="inlineStr">
        <is>
          <t>แม่สี มุกเหลือบแดง Hybrid S231</t>
        </is>
      </c>
      <c r="C2854" s="8" t="n">
        <v>2</v>
      </c>
      <c r="D2854" s="9" t="n">
        <v>1400</v>
      </c>
      <c r="E2854" s="9">
        <f>SUM(D2854*C2854)</f>
        <v/>
      </c>
      <c r="F2854" s="8" t="n">
        <v>0.07000000000000001</v>
      </c>
      <c r="G2854" s="10" t="inlineStr">
        <is>
          <t>รวม VAT =</t>
        </is>
      </c>
      <c r="H2854" s="9">
        <f>SUM(E2854+N2854)</f>
        <v/>
      </c>
      <c r="I2854" s="10" t="inlineStr">
        <is>
          <t>บจก. วีที คัลเลอร์ โปร</t>
        </is>
      </c>
      <c r="J2854" s="161" t="n">
        <v>25093</v>
      </c>
      <c r="K2854" s="8" t="inlineStr">
        <is>
          <t>IV6809088</t>
        </is>
      </c>
      <c r="N2854" s="6">
        <f>SUM(E2854*F2854)</f>
        <v/>
      </c>
    </row>
    <row r="2855">
      <c r="B2855" s="6" t="inlineStr">
        <is>
          <t>แม่สี มุกเหลือบแดง Hybrid S231</t>
        </is>
      </c>
      <c r="C2855" s="8" t="n">
        <v>2</v>
      </c>
      <c r="D2855" s="9" t="n">
        <v>1400</v>
      </c>
      <c r="E2855" s="9">
        <f>SUM(D2855*C2855)</f>
        <v/>
      </c>
      <c r="F2855" s="8" t="n">
        <v>0.07000000000000001</v>
      </c>
      <c r="G2855" s="10" t="inlineStr">
        <is>
          <t>รวม VAT =</t>
        </is>
      </c>
      <c r="H2855" s="9">
        <f>SUM(E2855+N2855)</f>
        <v/>
      </c>
      <c r="I2855" s="10" t="inlineStr">
        <is>
          <t>บจก. วีที คัลเลอร์ โปร</t>
        </is>
      </c>
      <c r="J2855" s="161" t="n">
        <v>25145</v>
      </c>
      <c r="K2855" s="8" t="inlineStr">
        <is>
          <t>IV6811023</t>
        </is>
      </c>
      <c r="L2855" s="8" t="inlineStr">
        <is>
          <t>ราคาที่ระบุ ยังไม่รวม VAT7%</t>
        </is>
      </c>
      <c r="N2855" s="6">
        <f>SUM(E2855*F2855)</f>
        <v/>
      </c>
    </row>
    <row r="2857">
      <c r="B2857" s="6" t="inlineStr">
        <is>
          <t>แม่สี Matrix  M-236</t>
        </is>
      </c>
      <c r="C2857" s="8" t="inlineStr">
        <is>
          <t>1กป.</t>
        </is>
      </c>
      <c r="D2857" s="9" t="n">
        <v>1680</v>
      </c>
      <c r="F2857" s="8" t="n">
        <v>10</v>
      </c>
      <c r="H2857" s="9" t="n">
        <v>1680</v>
      </c>
      <c r="I2857" s="10" t="inlineStr">
        <is>
          <t>ทรัพย์สินไทย</t>
        </is>
      </c>
      <c r="J2857" s="161" t="n">
        <v>23124</v>
      </c>
      <c r="L2857" s="8" t="inlineStr">
        <is>
          <t>ราคาที่ระบุเป็นก่อนหักส่วนลด</t>
        </is>
      </c>
    </row>
    <row r="2859">
      <c r="B2859" s="6" t="inlineStr">
        <is>
          <t>แม่สี Matrix  M-239</t>
        </is>
      </c>
      <c r="C2859" s="8" t="inlineStr">
        <is>
          <t>1กป.</t>
        </is>
      </c>
      <c r="D2859" s="9" t="n">
        <v>1680</v>
      </c>
      <c r="F2859" s="8" t="n">
        <v>10</v>
      </c>
      <c r="H2859" s="9" t="n">
        <v>1680</v>
      </c>
      <c r="I2859" s="10" t="inlineStr">
        <is>
          <t>ทรัพย์สินไทย</t>
        </is>
      </c>
      <c r="J2859" s="161" t="n">
        <v>23124</v>
      </c>
      <c r="L2859" s="8" t="inlineStr">
        <is>
          <t>ราคาที่ระบุเป็นก่อนหักส่วนลด</t>
        </is>
      </c>
    </row>
    <row r="2860">
      <c r="B2860" s="6" t="inlineStr">
        <is>
          <t>แม่สี Matrix  M-239</t>
        </is>
      </c>
      <c r="C2860" s="8" t="inlineStr">
        <is>
          <t>1กป.</t>
        </is>
      </c>
      <c r="D2860" s="9" t="n">
        <v>1680</v>
      </c>
      <c r="F2860" s="8" t="n">
        <v>10</v>
      </c>
      <c r="H2860" s="9" t="n">
        <v>1680</v>
      </c>
      <c r="I2860" s="10" t="inlineStr">
        <is>
          <t>ทรัพย์สินไทย</t>
        </is>
      </c>
      <c r="J2860" s="161" t="n">
        <v>23366</v>
      </c>
      <c r="L2860" s="8" t="inlineStr">
        <is>
          <t>ราคาที่ระบุเป็นก่อนหักส่วนลด</t>
        </is>
      </c>
    </row>
    <row r="2862">
      <c r="B2862" s="6" t="inlineStr">
        <is>
          <t>แม่สี Matrix  M-243</t>
        </is>
      </c>
      <c r="C2862" s="8" t="inlineStr">
        <is>
          <t>2กป.</t>
        </is>
      </c>
      <c r="D2862" s="9" t="n">
        <v>1680</v>
      </c>
      <c r="F2862" s="8" t="n">
        <v>10</v>
      </c>
      <c r="H2862" s="9" t="n">
        <v>3360</v>
      </c>
      <c r="I2862" s="10" t="inlineStr">
        <is>
          <t>ทรัพย์สินไทย</t>
        </is>
      </c>
      <c r="J2862" s="161" t="n">
        <v>23081</v>
      </c>
      <c r="L2862" s="8" t="inlineStr">
        <is>
          <t>ราคาที่ระบุเป็นก่อนหักส่วนลด</t>
        </is>
      </c>
    </row>
    <row r="2863">
      <c r="B2863" s="6" t="inlineStr">
        <is>
          <t>แม่สี Matrix  M-243</t>
        </is>
      </c>
      <c r="C2863" s="8" t="inlineStr">
        <is>
          <t>1กป.</t>
        </is>
      </c>
      <c r="D2863" s="9" t="n">
        <v>1680</v>
      </c>
      <c r="F2863" s="8" t="n">
        <v>10</v>
      </c>
      <c r="H2863" s="9" t="n">
        <v>1680</v>
      </c>
      <c r="I2863" s="10" t="inlineStr">
        <is>
          <t>ทรัพย์สินไทย</t>
        </is>
      </c>
      <c r="J2863" s="161" t="n">
        <v>23692</v>
      </c>
      <c r="K2863" s="8" t="inlineStr">
        <is>
          <t>IV6411168</t>
        </is>
      </c>
      <c r="L2863" s="8" t="inlineStr">
        <is>
          <t>ราคาที่ระบุเป็นก่อนหักส่วนลด</t>
        </is>
      </c>
    </row>
    <row r="2864">
      <c r="B2864" s="6" t="inlineStr">
        <is>
          <t>แม่สี Matrix  M-243</t>
        </is>
      </c>
      <c r="C2864" s="8" t="inlineStr">
        <is>
          <t>2กป.</t>
        </is>
      </c>
      <c r="D2864" s="9" t="n">
        <v>1680</v>
      </c>
      <c r="F2864" s="8" t="n">
        <v>10</v>
      </c>
      <c r="H2864" s="9" t="n">
        <v>3360</v>
      </c>
      <c r="I2864" s="10" t="inlineStr">
        <is>
          <t>ทรัพย์สินไทย</t>
        </is>
      </c>
      <c r="J2864" s="161" t="n">
        <v>23763</v>
      </c>
      <c r="K2864" s="8" t="inlineStr">
        <is>
          <t>IV6501225</t>
        </is>
      </c>
      <c r="L2864" s="8" t="inlineStr">
        <is>
          <t>ราคาที่ระบุเป็นก่อนหักส่วนลด</t>
        </is>
      </c>
    </row>
    <row r="2865">
      <c r="B2865" s="6" t="inlineStr">
        <is>
          <t>แม่สี มุกทองละเอียดพิเศษ Hybrid S243</t>
        </is>
      </c>
      <c r="C2865" s="8" t="n">
        <v>2</v>
      </c>
      <c r="D2865" s="9" t="n">
        <v>1400</v>
      </c>
      <c r="H2865" s="9">
        <f>SUM(D2865*C2865)</f>
        <v/>
      </c>
      <c r="I2865" s="10" t="inlineStr">
        <is>
          <t>บจก. วีที คัลเลอร์ โปร</t>
        </is>
      </c>
      <c r="J2865" s="161" t="n">
        <v>24494</v>
      </c>
      <c r="K2865" s="8" t="inlineStr">
        <is>
          <t>IV6701069</t>
        </is>
      </c>
      <c r="L2865" s="8" t="inlineStr">
        <is>
          <t>ราคาที่ระบุ ยังไม่รวมภาษี</t>
        </is>
      </c>
    </row>
    <row r="2866">
      <c r="B2866" s="6" t="inlineStr">
        <is>
          <t>แม่สี มุกทองละเอียดพิเศษ Hybrid S243</t>
        </is>
      </c>
      <c r="C2866" s="8" t="n">
        <v>1</v>
      </c>
      <c r="D2866" s="9" t="n">
        <v>1400</v>
      </c>
      <c r="H2866" s="9">
        <f>SUM(D2866*C2866)</f>
        <v/>
      </c>
      <c r="I2866" s="10" t="inlineStr">
        <is>
          <t>บจก. วีที คัลเลอร์ โปร</t>
        </is>
      </c>
      <c r="J2866" s="161" t="n">
        <v>24707</v>
      </c>
      <c r="K2866" s="8" t="inlineStr">
        <is>
          <t>IV6708116</t>
        </is>
      </c>
      <c r="L2866" s="8" t="inlineStr">
        <is>
          <t>ราคาที่ระบุ ยังไม่รวมภาษี</t>
        </is>
      </c>
    </row>
    <row r="2867">
      <c r="B2867" s="6" t="inlineStr">
        <is>
          <t>แม่สี มุกทองละเอียดพิเศษ Hybrid S243</t>
        </is>
      </c>
      <c r="C2867" s="8" t="n">
        <v>1</v>
      </c>
      <c r="D2867" s="9" t="n">
        <v>1498</v>
      </c>
      <c r="H2867" s="9">
        <f>SUM(D2867*C2867)</f>
        <v/>
      </c>
      <c r="I2867" s="10" t="inlineStr">
        <is>
          <t>บจก. วีที คัลเลอร์ โปร</t>
        </is>
      </c>
      <c r="J2867" s="161" t="n">
        <v>24892</v>
      </c>
      <c r="K2867" s="8" t="inlineStr">
        <is>
          <t>IV6802144</t>
        </is>
      </c>
      <c r="L2867" s="8" t="inlineStr">
        <is>
          <t>ราคารวม VAT แล้ว</t>
        </is>
      </c>
    </row>
    <row r="2868">
      <c r="B2868" s="6" t="inlineStr">
        <is>
          <t>แม่สี มุกทองละเอียดพิเศษ Hybrid S243</t>
        </is>
      </c>
      <c r="C2868" s="8" t="n">
        <v>2</v>
      </c>
      <c r="D2868" s="9" t="n">
        <v>1400</v>
      </c>
      <c r="E2868" s="9">
        <f>SUM(D2868*C2868)</f>
        <v/>
      </c>
      <c r="F2868" s="8" t="n">
        <v>0.07000000000000001</v>
      </c>
      <c r="G2868" s="10" t="inlineStr">
        <is>
          <t>รวม VAT =</t>
        </is>
      </c>
      <c r="H2868" s="9">
        <f>SUM(E2868+N2868)</f>
        <v/>
      </c>
      <c r="I2868" s="10" t="inlineStr">
        <is>
          <t>บจก. วีที คัลเลอร์ โปร</t>
        </is>
      </c>
      <c r="J2868" s="161" t="n">
        <v>25042</v>
      </c>
      <c r="K2868" s="8" t="inlineStr">
        <is>
          <t>IV6807180</t>
        </is>
      </c>
      <c r="L2868" s="8" t="inlineStr">
        <is>
          <t>ราคาที่ระบุ ยังไม่รวม VAT7%</t>
        </is>
      </c>
      <c r="N2868" s="6">
        <f>SUM(E2868*F2868)</f>
        <v/>
      </c>
    </row>
    <row r="2870">
      <c r="B2870" s="6" t="inlineStr">
        <is>
          <t>แม่สี Matrix  M-245</t>
        </is>
      </c>
      <c r="C2870" s="8" t="inlineStr">
        <is>
          <t>2กป.</t>
        </is>
      </c>
      <c r="D2870" s="9" t="n">
        <v>1680</v>
      </c>
      <c r="F2870" s="8" t="n">
        <v>10</v>
      </c>
      <c r="H2870" s="9" t="n">
        <v>3360</v>
      </c>
      <c r="I2870" s="10" t="inlineStr">
        <is>
          <t>ทรัพย์สินไทย</t>
        </is>
      </c>
      <c r="J2870" s="161" t="n">
        <v>22836</v>
      </c>
      <c r="L2870" s="8" t="inlineStr">
        <is>
          <t>ราคาที่ระบุเป็นก่อนหักส่วนลด</t>
        </is>
      </c>
    </row>
    <row r="2871">
      <c r="B2871" s="6" t="inlineStr">
        <is>
          <t>แม่สี Matrix  M-245</t>
        </is>
      </c>
      <c r="C2871" s="8" t="inlineStr">
        <is>
          <t>1กป.</t>
        </is>
      </c>
      <c r="D2871" s="9" t="n">
        <v>1680</v>
      </c>
      <c r="F2871" s="8" t="n">
        <v>10</v>
      </c>
      <c r="H2871" s="9" t="n">
        <v>1680</v>
      </c>
      <c r="I2871" s="10" t="inlineStr">
        <is>
          <t>ทรัพย์สินไทย</t>
        </is>
      </c>
      <c r="J2871" s="161" t="n">
        <v>22916</v>
      </c>
      <c r="L2871" s="8" t="inlineStr">
        <is>
          <t>ราคาที่ระบุเป็นก่อนหักส่วนลด</t>
        </is>
      </c>
    </row>
    <row r="2872">
      <c r="B2872" s="6" t="inlineStr">
        <is>
          <t>แม่สี Matrix  M-245</t>
        </is>
      </c>
      <c r="C2872" s="8" t="inlineStr">
        <is>
          <t>2กป.</t>
        </is>
      </c>
      <c r="D2872" s="9" t="n">
        <v>1680</v>
      </c>
      <c r="F2872" s="8" t="n">
        <v>10</v>
      </c>
      <c r="H2872" s="9" t="n">
        <v>3360</v>
      </c>
      <c r="I2872" s="10" t="inlineStr">
        <is>
          <t>ทรัพย์สินไทย</t>
        </is>
      </c>
      <c r="J2872" s="161" t="n">
        <v>23124</v>
      </c>
      <c r="L2872" s="8" t="inlineStr">
        <is>
          <t>ราคาที่ระบุเป็นก่อนหักส่วนลด</t>
        </is>
      </c>
    </row>
    <row r="2873">
      <c r="B2873" s="6" t="inlineStr">
        <is>
          <t>แม่สี Matrix  M-245</t>
        </is>
      </c>
      <c r="C2873" s="8" t="inlineStr">
        <is>
          <t>3กป.</t>
        </is>
      </c>
      <c r="D2873" s="9" t="n">
        <v>1680</v>
      </c>
      <c r="F2873" s="8" t="n">
        <v>10</v>
      </c>
      <c r="H2873" s="9" t="n">
        <v>5040</v>
      </c>
      <c r="I2873" s="10" t="inlineStr">
        <is>
          <t>ทรัพย์สินไทย</t>
        </is>
      </c>
      <c r="J2873" s="161" t="n">
        <v>23247</v>
      </c>
      <c r="L2873" s="8" t="inlineStr">
        <is>
          <t>ราคาที่ระบุเป็นก่อนหักส่วนลด</t>
        </is>
      </c>
    </row>
    <row r="2874">
      <c r="B2874" s="6" t="inlineStr">
        <is>
          <t>แม่สี Matrix  M-245</t>
        </is>
      </c>
      <c r="C2874" s="8" t="inlineStr">
        <is>
          <t>1กป.</t>
        </is>
      </c>
      <c r="D2874" s="9" t="n">
        <v>1680</v>
      </c>
      <c r="F2874" s="8" t="n">
        <v>10</v>
      </c>
      <c r="H2874" s="9" t="n">
        <v>1680</v>
      </c>
      <c r="I2874" s="10" t="inlineStr">
        <is>
          <t>ทรัพย์สินไทย</t>
        </is>
      </c>
      <c r="J2874" s="161" t="n">
        <v>23460</v>
      </c>
      <c r="L2874" s="8" t="inlineStr">
        <is>
          <t>ราคาที่ระบุเป็นก่อนหักส่วนลด</t>
        </is>
      </c>
    </row>
    <row r="2875">
      <c r="B2875" s="6" t="inlineStr">
        <is>
          <t>แม่สี Matrix  M-245</t>
        </is>
      </c>
      <c r="C2875" s="8" t="inlineStr">
        <is>
          <t>2กป.</t>
        </is>
      </c>
      <c r="D2875" s="9" t="n">
        <v>1680</v>
      </c>
      <c r="F2875" s="8" t="n">
        <v>10</v>
      </c>
      <c r="H2875" s="9" t="n">
        <v>3360</v>
      </c>
      <c r="I2875" s="10" t="inlineStr">
        <is>
          <t>ทรัพย์สินไทย</t>
        </is>
      </c>
      <c r="J2875" s="161" t="n">
        <v>23570</v>
      </c>
      <c r="L2875" s="8" t="inlineStr">
        <is>
          <t>ราคาที่ระบุเป็นก่อนหักส่วนลด</t>
        </is>
      </c>
    </row>
    <row r="2876">
      <c r="B2876" s="6" t="inlineStr">
        <is>
          <t>แม่สี Matrix  M-245</t>
        </is>
      </c>
      <c r="C2876" s="8" t="inlineStr">
        <is>
          <t>1กป.</t>
        </is>
      </c>
      <c r="D2876" s="9" t="n">
        <v>1680</v>
      </c>
      <c r="F2876" s="8" t="n">
        <v>10</v>
      </c>
      <c r="H2876" s="9" t="n">
        <v>1680</v>
      </c>
      <c r="I2876" s="10" t="inlineStr">
        <is>
          <t>ทรัพย์สินไทย</t>
        </is>
      </c>
      <c r="J2876" s="161" t="n">
        <v>23704</v>
      </c>
      <c r="K2876" s="8" t="inlineStr">
        <is>
          <t>IV6411320</t>
        </is>
      </c>
      <c r="L2876" s="8" t="inlineStr">
        <is>
          <t>ราคาที่ระบุเป็นก่อนหักส่วนลด</t>
        </is>
      </c>
    </row>
    <row r="2877">
      <c r="B2877" s="6" t="inlineStr">
        <is>
          <t>แม่สี Matrix  M-245</t>
        </is>
      </c>
      <c r="C2877" s="8" t="inlineStr">
        <is>
          <t>1กป.</t>
        </is>
      </c>
      <c r="D2877" s="9" t="n">
        <v>1680</v>
      </c>
      <c r="F2877" s="8" t="n">
        <v>10</v>
      </c>
      <c r="H2877" s="9" t="n">
        <v>1680</v>
      </c>
      <c r="I2877" s="10" t="inlineStr">
        <is>
          <t>ทรัพย์สินไทย</t>
        </is>
      </c>
      <c r="J2877" s="161" t="n">
        <v>23824</v>
      </c>
      <c r="K2877" s="8" t="inlineStr">
        <is>
          <t>IV6503301</t>
        </is>
      </c>
      <c r="L2877" s="8" t="inlineStr">
        <is>
          <t>ราคาที่ระบุเป็นก่อนหักส่วนลด</t>
        </is>
      </c>
    </row>
    <row r="2878">
      <c r="B2878" s="6" t="inlineStr">
        <is>
          <t>แม่สี Matrix  M-245</t>
        </is>
      </c>
      <c r="C2878" s="8" t="inlineStr">
        <is>
          <t>1กป.</t>
        </is>
      </c>
      <c r="D2878" s="9" t="n">
        <v>1680</v>
      </c>
      <c r="F2878" s="8" t="n">
        <v>10</v>
      </c>
      <c r="H2878" s="9" t="n">
        <v>1680</v>
      </c>
      <c r="I2878" s="10" t="inlineStr">
        <is>
          <t>ทรัพย์สินไทย</t>
        </is>
      </c>
      <c r="J2878" s="161" t="n">
        <v>23920</v>
      </c>
      <c r="K2878" s="8" t="inlineStr">
        <is>
          <t>IV6506337</t>
        </is>
      </c>
      <c r="L2878" s="8" t="inlineStr">
        <is>
          <t>ราคาที่ระบุเป็นก่อนหักส่วนลด</t>
        </is>
      </c>
    </row>
    <row r="2880">
      <c r="B2880" s="6" t="inlineStr">
        <is>
          <t>แม่สี Matrix  M-246</t>
        </is>
      </c>
      <c r="C2880" s="8" t="inlineStr">
        <is>
          <t>2กป.</t>
        </is>
      </c>
      <c r="D2880" s="9" t="n">
        <v>1680</v>
      </c>
      <c r="F2880" s="8" t="n">
        <v>10</v>
      </c>
      <c r="H2880" s="9" t="n">
        <v>3360</v>
      </c>
      <c r="I2880" s="10" t="inlineStr">
        <is>
          <t>ทรัพย์สินไทย</t>
        </is>
      </c>
      <c r="J2880" s="161" t="n">
        <v>22429</v>
      </c>
      <c r="L2880" s="8" t="inlineStr">
        <is>
          <t>ราคาที่ระบุเป็นก่อนหักส่วนลด</t>
        </is>
      </c>
    </row>
    <row r="2881">
      <c r="B2881" s="6" t="inlineStr">
        <is>
          <t>แม่สี Matrix  M-246</t>
        </is>
      </c>
      <c r="C2881" s="8" t="inlineStr">
        <is>
          <t>2กป.</t>
        </is>
      </c>
      <c r="D2881" s="9" t="n">
        <v>1680</v>
      </c>
      <c r="F2881" s="8" t="n">
        <v>10</v>
      </c>
      <c r="H2881" s="9" t="n">
        <v>3360</v>
      </c>
      <c r="I2881" s="10" t="inlineStr">
        <is>
          <t>ทรัพย์สินไทย</t>
        </is>
      </c>
      <c r="J2881" s="161" t="n">
        <v>22836</v>
      </c>
      <c r="L2881" s="8" t="inlineStr">
        <is>
          <t>ราคาที่ระบุเป็นก่อนหักส่วนลด</t>
        </is>
      </c>
    </row>
    <row r="2882">
      <c r="B2882" s="6" t="inlineStr">
        <is>
          <t>แม่สี Matrix  M-246</t>
        </is>
      </c>
      <c r="C2882" s="8" t="inlineStr">
        <is>
          <t>1กป.</t>
        </is>
      </c>
      <c r="D2882" s="9" t="n">
        <v>1680</v>
      </c>
      <c r="F2882" s="8" t="n">
        <v>10</v>
      </c>
      <c r="H2882" s="9" t="n">
        <v>1680</v>
      </c>
      <c r="I2882" s="10" t="inlineStr">
        <is>
          <t>ทรัพย์สินไทย</t>
        </is>
      </c>
      <c r="J2882" s="161" t="n">
        <v>23460</v>
      </c>
      <c r="L2882" s="8" t="inlineStr">
        <is>
          <t>ราคาที่ระบุเป็นก่อนหักส่วนลด</t>
        </is>
      </c>
    </row>
    <row r="2883">
      <c r="B2883" s="6" t="inlineStr">
        <is>
          <t>แม่สี Matrix  M-246</t>
        </is>
      </c>
      <c r="C2883" s="8" t="inlineStr">
        <is>
          <t>1กป.</t>
        </is>
      </c>
      <c r="D2883" s="9" t="n">
        <v>1680</v>
      </c>
      <c r="F2883" s="8" t="n">
        <v>10</v>
      </c>
      <c r="H2883" s="9" t="n">
        <v>1680</v>
      </c>
      <c r="I2883" s="10" t="inlineStr">
        <is>
          <t>ทรัพย์สินไทย</t>
        </is>
      </c>
      <c r="J2883" s="161" t="n">
        <v>23795</v>
      </c>
      <c r="K2883" s="8" t="inlineStr">
        <is>
          <t>IV6502259</t>
        </is>
      </c>
      <c r="L2883" s="8" t="inlineStr">
        <is>
          <t>ราคาที่ระบุเป็นก่อนหักส่วนลด</t>
        </is>
      </c>
    </row>
    <row r="2885">
      <c r="B2885" s="6" t="inlineStr">
        <is>
          <t>แม่สี Matrix  M-251</t>
        </is>
      </c>
      <c r="C2885" s="8" t="inlineStr">
        <is>
          <t>1กป.</t>
        </is>
      </c>
      <c r="D2885" s="9" t="n">
        <v>850</v>
      </c>
      <c r="F2885" s="8" t="n">
        <v>10</v>
      </c>
      <c r="H2885" s="9" t="n">
        <v>850</v>
      </c>
      <c r="I2885" s="10" t="inlineStr">
        <is>
          <t>ทรัพย์สินไทย</t>
        </is>
      </c>
      <c r="J2885" s="161" t="n">
        <v>23107</v>
      </c>
      <c r="L2885" s="8" t="inlineStr">
        <is>
          <t>ราคาที่ระบุเป็นก่อนหักส่วนลด</t>
        </is>
      </c>
    </row>
    <row r="2886">
      <c r="B2886" s="6" t="inlineStr">
        <is>
          <t>แม่สี Matrix  M-251</t>
        </is>
      </c>
      <c r="C2886" s="8" t="inlineStr">
        <is>
          <t>1กป.</t>
        </is>
      </c>
      <c r="D2886" s="9" t="n">
        <v>850</v>
      </c>
      <c r="F2886" s="8" t="n">
        <v>10</v>
      </c>
      <c r="H2886" s="9" t="n">
        <v>850</v>
      </c>
      <c r="I2886" s="10" t="inlineStr">
        <is>
          <t>ทรัพย์สินไทย</t>
        </is>
      </c>
      <c r="J2886" s="161" t="n">
        <v>23172</v>
      </c>
      <c r="L2886" s="8" t="inlineStr">
        <is>
          <t>ราคาที่ระบุเป็นก่อนหักส่วนลด</t>
        </is>
      </c>
    </row>
    <row r="2887">
      <c r="B2887" s="6" t="inlineStr">
        <is>
          <t>แม่สี Matrix  M-251</t>
        </is>
      </c>
      <c r="C2887" s="8" t="inlineStr">
        <is>
          <t>1กป.</t>
        </is>
      </c>
      <c r="D2887" s="9" t="n">
        <v>850</v>
      </c>
      <c r="F2887" s="8" t="n">
        <v>10</v>
      </c>
      <c r="H2887" s="9" t="n">
        <v>850</v>
      </c>
      <c r="I2887" s="10" t="inlineStr">
        <is>
          <t>ทรัพย์สินไทย</t>
        </is>
      </c>
      <c r="J2887" s="161" t="n">
        <v>23430</v>
      </c>
      <c r="L2887" s="8" t="inlineStr">
        <is>
          <t>ราคาที่ระบุเป็นก่อนหักส่วนลด</t>
        </is>
      </c>
    </row>
    <row r="2888">
      <c r="B2888" s="6" t="inlineStr">
        <is>
          <t>แม่สี Matrix  M-251</t>
        </is>
      </c>
      <c r="C2888" s="8" t="inlineStr">
        <is>
          <t>1กป.</t>
        </is>
      </c>
      <c r="D2888" s="9" t="n">
        <v>850</v>
      </c>
      <c r="F2888" s="8" t="n">
        <v>10</v>
      </c>
      <c r="H2888" s="9" t="n">
        <v>850</v>
      </c>
      <c r="I2888" s="10" t="inlineStr">
        <is>
          <t>ทรัพย์สินไทย</t>
        </is>
      </c>
      <c r="J2888" s="161" t="n">
        <v>23460</v>
      </c>
      <c r="L2888" s="8" t="inlineStr">
        <is>
          <t>ราคาที่ระบุเป็นก่อนหักส่วนลด</t>
        </is>
      </c>
    </row>
    <row r="2889">
      <c r="B2889" s="6" t="inlineStr">
        <is>
          <t>แม่สี Matrix  M-251</t>
        </is>
      </c>
      <c r="C2889" s="8" t="inlineStr">
        <is>
          <t>1กป.</t>
        </is>
      </c>
      <c r="D2889" s="9" t="n">
        <v>850</v>
      </c>
      <c r="F2889" s="8" t="n">
        <v>10</v>
      </c>
      <c r="H2889" s="9" t="n">
        <v>850</v>
      </c>
      <c r="I2889" s="10" t="inlineStr">
        <is>
          <t>ทรัพย์สินไทย</t>
        </is>
      </c>
      <c r="J2889" s="161" t="n">
        <v>23676</v>
      </c>
      <c r="K2889" s="8" t="inlineStr">
        <is>
          <t>IV6410364</t>
        </is>
      </c>
      <c r="L2889" s="8" t="inlineStr">
        <is>
          <t>ราคาที่ระบุเป็นก่อนหักส่วนลด</t>
        </is>
      </c>
    </row>
    <row r="2890">
      <c r="B2890" s="6" t="inlineStr">
        <is>
          <t>แม่สี Matrix  M-251</t>
        </is>
      </c>
      <c r="C2890" s="8" t="inlineStr">
        <is>
          <t>1กป.</t>
        </is>
      </c>
      <c r="D2890" s="9" t="n">
        <v>850</v>
      </c>
      <c r="F2890" s="8" t="n">
        <v>10</v>
      </c>
      <c r="H2890" s="9" t="n">
        <v>850</v>
      </c>
      <c r="I2890" s="10" t="inlineStr">
        <is>
          <t>ทรัพย์สินไทย</t>
        </is>
      </c>
      <c r="J2890" s="161" t="n">
        <v>23920</v>
      </c>
      <c r="K2890" s="8" t="inlineStr">
        <is>
          <t>IV6506337</t>
        </is>
      </c>
      <c r="L2890" s="8" t="inlineStr">
        <is>
          <t>ราคาที่ระบุเป็นก่อนหักส่วนลด</t>
        </is>
      </c>
    </row>
    <row r="2892">
      <c r="B2892" s="6" t="inlineStr">
        <is>
          <t>แม่สี Matrix  M-254</t>
        </is>
      </c>
      <c r="C2892" s="8" t="inlineStr">
        <is>
          <t>3กป.</t>
        </is>
      </c>
      <c r="D2892" s="9" t="n">
        <v>850</v>
      </c>
      <c r="F2892" s="8" t="n">
        <v>10</v>
      </c>
      <c r="H2892" s="9" t="n">
        <v>2550</v>
      </c>
      <c r="I2892" s="10" t="inlineStr">
        <is>
          <t>ทรัพย์สินไทย</t>
        </is>
      </c>
      <c r="J2892" s="161" t="n">
        <v>22781</v>
      </c>
      <c r="L2892" s="8" t="inlineStr">
        <is>
          <t>ราคาที่ระบุเป็นก่อนหักส่วนลด</t>
        </is>
      </c>
    </row>
    <row r="2893">
      <c r="B2893" s="6" t="inlineStr">
        <is>
          <t>แม่สี Matrix  M-254</t>
        </is>
      </c>
      <c r="C2893" s="8" t="inlineStr">
        <is>
          <t>2กป.</t>
        </is>
      </c>
      <c r="D2893" s="9" t="n">
        <v>850</v>
      </c>
      <c r="F2893" s="8" t="n">
        <v>10</v>
      </c>
      <c r="H2893" s="9" t="n">
        <v>1700</v>
      </c>
      <c r="I2893" s="10" t="inlineStr">
        <is>
          <t>ทรัพย์สินไทย</t>
        </is>
      </c>
      <c r="J2893" s="161" t="n">
        <v>22836</v>
      </c>
      <c r="L2893" s="8" t="inlineStr">
        <is>
          <t>ราคาที่ระบุเป็นก่อนหักส่วนลด</t>
        </is>
      </c>
    </row>
    <row r="2894">
      <c r="B2894" s="6" t="inlineStr">
        <is>
          <t>แม่สี Matrix  M-254</t>
        </is>
      </c>
      <c r="C2894" s="8" t="inlineStr">
        <is>
          <t>2กป.</t>
        </is>
      </c>
      <c r="D2894" s="9" t="n">
        <v>850</v>
      </c>
      <c r="F2894" s="8" t="n">
        <v>10</v>
      </c>
      <c r="H2894" s="9" t="n">
        <v>1700</v>
      </c>
      <c r="I2894" s="10" t="inlineStr">
        <is>
          <t>ทรัพย์สินไทย</t>
        </is>
      </c>
      <c r="J2894" s="161" t="n">
        <v>22851</v>
      </c>
      <c r="L2894" s="8" t="inlineStr">
        <is>
          <t>ราคาที่ระบุเป็นก่อนหักส่วนลด</t>
        </is>
      </c>
    </row>
    <row r="2895">
      <c r="B2895" s="6" t="inlineStr">
        <is>
          <t>แม่สี Matrix  M-254</t>
        </is>
      </c>
      <c r="C2895" s="8" t="inlineStr">
        <is>
          <t>3กป.</t>
        </is>
      </c>
      <c r="D2895" s="9" t="n">
        <v>850</v>
      </c>
      <c r="F2895" s="8" t="n">
        <v>10</v>
      </c>
      <c r="H2895" s="9" t="n">
        <v>2550</v>
      </c>
      <c r="I2895" s="10" t="inlineStr">
        <is>
          <t>ทรัพย์สินไทย</t>
        </is>
      </c>
      <c r="J2895" s="161" t="n">
        <v>22884</v>
      </c>
      <c r="L2895" s="8" t="inlineStr">
        <is>
          <t>ราคาที่ระบุเป็นก่อนหักส่วนลด</t>
        </is>
      </c>
    </row>
    <row r="2896">
      <c r="B2896" s="6" t="inlineStr">
        <is>
          <t>แม่สี Matrix  M-254</t>
        </is>
      </c>
      <c r="C2896" s="8" t="inlineStr">
        <is>
          <t>2กป.</t>
        </is>
      </c>
      <c r="D2896" s="9" t="n">
        <v>850</v>
      </c>
      <c r="F2896" s="8" t="n">
        <v>10</v>
      </c>
      <c r="H2896" s="9" t="n">
        <v>1700</v>
      </c>
      <c r="I2896" s="10" t="inlineStr">
        <is>
          <t>ทรัพย์สินไทย</t>
        </is>
      </c>
      <c r="J2896" s="161" t="n">
        <v>22899</v>
      </c>
      <c r="L2896" s="8" t="inlineStr">
        <is>
          <t>ราคาที่ระบุเป็นก่อนหักส่วนลด</t>
        </is>
      </c>
    </row>
    <row r="2897">
      <c r="B2897" s="6" t="inlineStr">
        <is>
          <t>แม่สี Matrix  M-254</t>
        </is>
      </c>
      <c r="C2897" s="8" t="inlineStr">
        <is>
          <t>2กป.</t>
        </is>
      </c>
      <c r="D2897" s="9" t="n">
        <v>850</v>
      </c>
      <c r="F2897" s="8" t="n">
        <v>10</v>
      </c>
      <c r="H2897" s="9" t="n">
        <v>1700</v>
      </c>
      <c r="I2897" s="10" t="inlineStr">
        <is>
          <t>ทรัพย์สินไทย</t>
        </is>
      </c>
      <c r="J2897" s="161" t="n">
        <v>22913</v>
      </c>
      <c r="L2897" s="8" t="inlineStr">
        <is>
          <t>ราคาที่ระบุเป็นก่อนหักส่วนลด</t>
        </is>
      </c>
    </row>
    <row r="2898">
      <c r="B2898" s="6" t="inlineStr">
        <is>
          <t>แม่สี Matrix  M-254</t>
        </is>
      </c>
      <c r="C2898" s="8" t="inlineStr">
        <is>
          <t>3กป.</t>
        </is>
      </c>
      <c r="D2898" s="9" t="n">
        <v>850</v>
      </c>
      <c r="F2898" s="8" t="n">
        <v>10</v>
      </c>
      <c r="H2898" s="9" t="n">
        <v>2550</v>
      </c>
      <c r="I2898" s="10" t="inlineStr">
        <is>
          <t>ทรัพย์สินไทย</t>
        </is>
      </c>
      <c r="J2898" s="161" t="n">
        <v>23062</v>
      </c>
      <c r="L2898" s="8" t="inlineStr">
        <is>
          <t>ราคาที่ระบุเป็นก่อนหักส่วนลด</t>
        </is>
      </c>
    </row>
    <row r="2899">
      <c r="B2899" s="6" t="inlineStr">
        <is>
          <t>แม่สี Matrix  M-254</t>
        </is>
      </c>
      <c r="C2899" s="8" t="inlineStr">
        <is>
          <t>2กป.</t>
        </is>
      </c>
      <c r="D2899" s="9" t="n">
        <v>850</v>
      </c>
      <c r="F2899" s="8" t="n">
        <v>10</v>
      </c>
      <c r="H2899" s="9" t="n">
        <v>1700</v>
      </c>
      <c r="I2899" s="10" t="inlineStr">
        <is>
          <t>ทรัพย์สินไทย</t>
        </is>
      </c>
      <c r="J2899" s="161" t="n">
        <v>23094</v>
      </c>
      <c r="L2899" s="8" t="inlineStr">
        <is>
          <t>ราคาที่ระบุเป็นก่อนหักส่วนลด</t>
        </is>
      </c>
    </row>
    <row r="2900">
      <c r="B2900" s="6" t="inlineStr">
        <is>
          <t>แม่สี Matrix  M-254</t>
        </is>
      </c>
      <c r="C2900" s="8" t="inlineStr">
        <is>
          <t>1กป.</t>
        </is>
      </c>
      <c r="D2900" s="9" t="n">
        <v>850</v>
      </c>
      <c r="F2900" s="8" t="n">
        <v>10</v>
      </c>
      <c r="H2900" s="9" t="n">
        <v>850</v>
      </c>
      <c r="I2900" s="10" t="inlineStr">
        <is>
          <t>ทรัพย์สินไทย</t>
        </is>
      </c>
      <c r="J2900" s="161" t="n">
        <v>23124</v>
      </c>
      <c r="L2900" s="8" t="inlineStr">
        <is>
          <t>ราคาที่ระบุเป็นก่อนหักส่วนลด</t>
        </is>
      </c>
    </row>
    <row r="2901">
      <c r="B2901" s="6" t="inlineStr">
        <is>
          <t>แม่สี Matrix  M-254</t>
        </is>
      </c>
      <c r="C2901" s="8" t="inlineStr">
        <is>
          <t>3กป.</t>
        </is>
      </c>
      <c r="D2901" s="9" t="n">
        <v>850</v>
      </c>
      <c r="F2901" s="8" t="n">
        <v>10</v>
      </c>
      <c r="H2901" s="9" t="n">
        <v>2550</v>
      </c>
      <c r="I2901" s="10" t="inlineStr">
        <is>
          <t>ทรัพย์สินไทย</t>
        </is>
      </c>
      <c r="J2901" s="161" t="n">
        <v>23172</v>
      </c>
      <c r="L2901" s="8" t="inlineStr">
        <is>
          <t>ราคาที่ระบุเป็นก่อนหักส่วนลด</t>
        </is>
      </c>
    </row>
    <row r="2902">
      <c r="B2902" s="6" t="inlineStr">
        <is>
          <t>แม่สี Matrix  M-254</t>
        </is>
      </c>
      <c r="C2902" s="8" t="inlineStr">
        <is>
          <t>4กป.</t>
        </is>
      </c>
      <c r="D2902" s="9" t="n">
        <v>850</v>
      </c>
      <c r="F2902" s="8" t="n">
        <v>10</v>
      </c>
      <c r="H2902" s="9" t="n">
        <v>3400</v>
      </c>
      <c r="I2902" s="10" t="inlineStr">
        <is>
          <t>ทรัพย์สินไทย</t>
        </is>
      </c>
      <c r="J2902" s="161" t="n">
        <v>23230</v>
      </c>
      <c r="L2902" s="8" t="inlineStr">
        <is>
          <t>ราคาที่ระบุเป็นก่อนหักส่วนลด</t>
        </is>
      </c>
    </row>
    <row r="2903">
      <c r="B2903" s="6" t="inlineStr">
        <is>
          <t>แม่สี Matrix  M-254</t>
        </is>
      </c>
      <c r="C2903" s="8" t="inlineStr">
        <is>
          <t>3กป.</t>
        </is>
      </c>
      <c r="D2903" s="9" t="n">
        <v>850</v>
      </c>
      <c r="F2903" s="8" t="n">
        <v>10</v>
      </c>
      <c r="H2903" s="9" t="n">
        <v>2550</v>
      </c>
      <c r="I2903" s="10" t="inlineStr">
        <is>
          <t>ทรัพย์สินไทย</t>
        </is>
      </c>
      <c r="J2903" s="161" t="n">
        <v>23247</v>
      </c>
      <c r="L2903" s="8" t="inlineStr">
        <is>
          <t>ราคาที่ระบุเป็นก่อนหักส่วนลด</t>
        </is>
      </c>
    </row>
    <row r="2904">
      <c r="B2904" s="6" t="inlineStr">
        <is>
          <t>แม่สี Matrix  M-254</t>
        </is>
      </c>
      <c r="C2904" s="8" t="inlineStr">
        <is>
          <t>2กป.</t>
        </is>
      </c>
      <c r="D2904" s="9" t="n">
        <v>850</v>
      </c>
      <c r="F2904" s="8" t="n">
        <v>10</v>
      </c>
      <c r="H2904" s="9" t="n">
        <v>1700</v>
      </c>
      <c r="I2904" s="10" t="inlineStr">
        <is>
          <t>ทรัพย์สินไทย</t>
        </is>
      </c>
      <c r="J2904" s="161" t="n">
        <v>23305</v>
      </c>
      <c r="L2904" s="8" t="inlineStr">
        <is>
          <t>ราคาที่ระบุเป็นก่อนหักส่วนลด</t>
        </is>
      </c>
    </row>
    <row r="2905">
      <c r="B2905" s="6" t="inlineStr">
        <is>
          <t>แม่สี Matrix  M-254</t>
        </is>
      </c>
      <c r="C2905" s="8" t="inlineStr">
        <is>
          <t>3กป.</t>
        </is>
      </c>
      <c r="D2905" s="9" t="n">
        <v>850</v>
      </c>
      <c r="F2905" s="8" t="n">
        <v>10</v>
      </c>
      <c r="H2905" s="9" t="n">
        <v>2550</v>
      </c>
      <c r="I2905" s="10" t="inlineStr">
        <is>
          <t>ทรัพย์สินไทย</t>
        </is>
      </c>
      <c r="J2905" s="161" t="n">
        <v>23355</v>
      </c>
      <c r="L2905" s="8" t="inlineStr">
        <is>
          <t>ราคาที่ระบุเป็นก่อนหักส่วนลด</t>
        </is>
      </c>
    </row>
    <row r="2906">
      <c r="B2906" s="6" t="inlineStr">
        <is>
          <t>แม่สี Matrix  M-254</t>
        </is>
      </c>
      <c r="C2906" s="8" t="inlineStr">
        <is>
          <t>2กป.</t>
        </is>
      </c>
      <c r="D2906" s="9" t="n">
        <v>850</v>
      </c>
      <c r="F2906" s="8" t="n">
        <v>10</v>
      </c>
      <c r="H2906" s="9" t="n">
        <v>1700</v>
      </c>
      <c r="I2906" s="10" t="inlineStr">
        <is>
          <t>ทรัพย์สินไทย</t>
        </is>
      </c>
      <c r="J2906" s="161" t="n">
        <v>23366</v>
      </c>
      <c r="L2906" s="8" t="inlineStr">
        <is>
          <t>ราคาที่ระบุเป็นก่อนหักส่วนลด</t>
        </is>
      </c>
    </row>
    <row r="2907">
      <c r="B2907" s="6" t="inlineStr">
        <is>
          <t>แม่สี Matrix  M-254</t>
        </is>
      </c>
      <c r="C2907" s="8" t="inlineStr">
        <is>
          <t>2กป.</t>
        </is>
      </c>
      <c r="D2907" s="9" t="n">
        <v>850</v>
      </c>
      <c r="F2907" s="8" t="n">
        <v>10</v>
      </c>
      <c r="H2907" s="9" t="n">
        <v>1700</v>
      </c>
      <c r="I2907" s="10" t="inlineStr">
        <is>
          <t>ทรัพย์สินไทย</t>
        </is>
      </c>
      <c r="J2907" s="161" t="n">
        <v>23398</v>
      </c>
      <c r="L2907" s="8" t="inlineStr">
        <is>
          <t>ราคาที่ระบุเป็นก่อนหักส่วนลด</t>
        </is>
      </c>
    </row>
    <row r="2908">
      <c r="B2908" s="6" t="inlineStr">
        <is>
          <t>แม่สี Matrix  M-254</t>
        </is>
      </c>
      <c r="C2908" s="8" t="inlineStr">
        <is>
          <t>2กป.</t>
        </is>
      </c>
      <c r="D2908" s="9" t="n">
        <v>850</v>
      </c>
      <c r="F2908" s="8" t="n">
        <v>10</v>
      </c>
      <c r="H2908" s="9" t="n">
        <v>1700</v>
      </c>
      <c r="I2908" s="10" t="inlineStr">
        <is>
          <t>ทรัพย์สินไทย</t>
        </is>
      </c>
      <c r="J2908" s="161" t="n">
        <v>23431</v>
      </c>
      <c r="L2908" s="8" t="inlineStr">
        <is>
          <t>ราคาที่ระบุเป็นก่อนหักส่วนลด</t>
        </is>
      </c>
    </row>
    <row r="2909">
      <c r="B2909" s="6" t="inlineStr">
        <is>
          <t>แม่สี Matrix  M-254</t>
        </is>
      </c>
      <c r="C2909" s="8" t="inlineStr">
        <is>
          <t>3กป.</t>
        </is>
      </c>
      <c r="D2909" s="9" t="n">
        <v>850</v>
      </c>
      <c r="F2909" s="8" t="n">
        <v>10</v>
      </c>
      <c r="H2909" s="9" t="n">
        <v>2550</v>
      </c>
      <c r="I2909" s="10" t="inlineStr">
        <is>
          <t>ทรัพย์สินไทย</t>
        </is>
      </c>
      <c r="J2909" s="161" t="n">
        <v>23460</v>
      </c>
      <c r="L2909" s="8" t="inlineStr">
        <is>
          <t>ราคาที่ระบุเป็นก่อนหักส่วนลด</t>
        </is>
      </c>
    </row>
    <row r="2910">
      <c r="B2910" s="6" t="inlineStr">
        <is>
          <t>แม่สี Matrix  M-254</t>
        </is>
      </c>
      <c r="C2910" s="8" t="inlineStr">
        <is>
          <t>2กป.</t>
        </is>
      </c>
      <c r="D2910" s="9" t="n">
        <v>850</v>
      </c>
      <c r="F2910" s="8" t="n">
        <v>10</v>
      </c>
      <c r="H2910" s="9" t="n">
        <v>1700</v>
      </c>
      <c r="I2910" s="10" t="inlineStr">
        <is>
          <t>ทรัพย์สินไทย</t>
        </is>
      </c>
      <c r="J2910" s="161" t="n">
        <v>23546</v>
      </c>
      <c r="L2910" s="8" t="inlineStr">
        <is>
          <t>ราคาที่ระบุเป็นก่อนหักส่วนลด</t>
        </is>
      </c>
    </row>
    <row r="2911">
      <c r="B2911" s="6" t="inlineStr">
        <is>
          <t>แม่สี Matrix  M-254</t>
        </is>
      </c>
      <c r="C2911" s="8" t="inlineStr">
        <is>
          <t>3กป.</t>
        </is>
      </c>
      <c r="D2911" s="9" t="n">
        <v>850</v>
      </c>
      <c r="F2911" s="8" t="n">
        <v>10</v>
      </c>
      <c r="H2911" s="9" t="n">
        <v>2550</v>
      </c>
      <c r="I2911" s="10" t="inlineStr">
        <is>
          <t>ทรัพย์สินไทย</t>
        </is>
      </c>
      <c r="J2911" s="161" t="n">
        <v>23613</v>
      </c>
      <c r="L2911" s="8" t="inlineStr">
        <is>
          <t>ราคาที่ระบุเป็นก่อนหักส่วนลด</t>
        </is>
      </c>
    </row>
    <row r="2912">
      <c r="B2912" s="6" t="inlineStr">
        <is>
          <t>แม่สี Matrix  M-254</t>
        </is>
      </c>
      <c r="C2912" s="8" t="inlineStr">
        <is>
          <t>2กป.</t>
        </is>
      </c>
      <c r="D2912" s="9" t="n">
        <v>850</v>
      </c>
      <c r="F2912" s="8" t="n">
        <v>10</v>
      </c>
      <c r="H2912" s="9" t="n">
        <v>1700</v>
      </c>
      <c r="I2912" s="10" t="inlineStr">
        <is>
          <t>ทรัพย์สินไทย</t>
        </is>
      </c>
      <c r="J2912" s="161" t="n">
        <v>23642</v>
      </c>
      <c r="K2912" s="8" t="inlineStr">
        <is>
          <t>IV6409285</t>
        </is>
      </c>
      <c r="L2912" s="8" t="inlineStr">
        <is>
          <t>ราคาที่ระบุเป็นก่อนหักส่วนลด</t>
        </is>
      </c>
    </row>
    <row r="2913">
      <c r="B2913" s="6" t="inlineStr">
        <is>
          <t>แม่สี Matrix  M-254</t>
        </is>
      </c>
      <c r="C2913" s="8" t="inlineStr">
        <is>
          <t>1กป.</t>
        </is>
      </c>
      <c r="D2913" s="9" t="n">
        <v>850</v>
      </c>
      <c r="F2913" s="8" t="n">
        <v>10</v>
      </c>
      <c r="H2913" s="9" t="n">
        <v>850</v>
      </c>
      <c r="I2913" s="10" t="inlineStr">
        <is>
          <t>ทรัพย์สินไทย</t>
        </is>
      </c>
      <c r="J2913" s="161" t="n">
        <v>23669</v>
      </c>
      <c r="K2913" s="8" t="inlineStr">
        <is>
          <t>IV6410254</t>
        </is>
      </c>
      <c r="L2913" s="8" t="inlineStr">
        <is>
          <t>ราคาที่ระบุเป็นก่อนหักส่วนลด</t>
        </is>
      </c>
    </row>
    <row r="2914">
      <c r="B2914" s="6" t="inlineStr">
        <is>
          <t>แม่สี Matrix  M-254</t>
        </is>
      </c>
      <c r="C2914" s="8" t="inlineStr">
        <is>
          <t>2กป.</t>
        </is>
      </c>
      <c r="D2914" s="9" t="n">
        <v>850</v>
      </c>
      <c r="F2914" s="8" t="n">
        <v>10</v>
      </c>
      <c r="H2914" s="9" t="n">
        <v>1700</v>
      </c>
      <c r="I2914" s="10" t="inlineStr">
        <is>
          <t>ทรัพย์สินไทย</t>
        </is>
      </c>
      <c r="J2914" s="161" t="n">
        <v>23692</v>
      </c>
      <c r="K2914" s="8" t="inlineStr">
        <is>
          <t>IV6411168</t>
        </is>
      </c>
      <c r="L2914" s="8" t="inlineStr">
        <is>
          <t>ราคาที่ระบุเป็นก่อนหักส่วนลด</t>
        </is>
      </c>
    </row>
    <row r="2915">
      <c r="B2915" s="6" t="inlineStr">
        <is>
          <t>แม่สี Matrix  M-254</t>
        </is>
      </c>
      <c r="C2915" s="8" t="inlineStr">
        <is>
          <t>3กป.</t>
        </is>
      </c>
      <c r="D2915" s="9" t="n">
        <v>850</v>
      </c>
      <c r="F2915" s="8" t="n">
        <v>10</v>
      </c>
      <c r="H2915" s="9" t="n">
        <v>2550</v>
      </c>
      <c r="I2915" s="10" t="inlineStr">
        <is>
          <t>ทรัพย์สินไทย</t>
        </is>
      </c>
      <c r="J2915" s="161" t="n">
        <v>23733</v>
      </c>
      <c r="K2915" s="8" t="inlineStr">
        <is>
          <t>IV6412302</t>
        </is>
      </c>
      <c r="L2915" s="8" t="inlineStr">
        <is>
          <t>ราคาที่ระบุเป็นก่อนหักส่วนลด</t>
        </is>
      </c>
    </row>
    <row r="2916">
      <c r="B2916" s="6" t="inlineStr">
        <is>
          <t>แม่สี Matrix  M-254</t>
        </is>
      </c>
      <c r="C2916" s="8" t="inlineStr">
        <is>
          <t>2กป.</t>
        </is>
      </c>
      <c r="D2916" s="9" t="n">
        <v>850</v>
      </c>
      <c r="F2916" s="8" t="n">
        <v>10</v>
      </c>
      <c r="H2916" s="9" t="n">
        <v>1700</v>
      </c>
      <c r="I2916" s="10" t="inlineStr">
        <is>
          <t>ทรัพย์สินไทย</t>
        </is>
      </c>
      <c r="J2916" s="161" t="n">
        <v>23795</v>
      </c>
      <c r="K2916" s="8" t="inlineStr">
        <is>
          <t>IV6502259</t>
        </is>
      </c>
      <c r="L2916" s="8" t="inlineStr">
        <is>
          <t>ราคาที่ระบุเป็นก่อนหักส่วนลด</t>
        </is>
      </c>
    </row>
    <row r="2917">
      <c r="B2917" s="6" t="inlineStr">
        <is>
          <t>แม่สี Matrix  M-254</t>
        </is>
      </c>
      <c r="C2917" s="8" t="inlineStr">
        <is>
          <t>2กป.</t>
        </is>
      </c>
      <c r="D2917" s="9" t="n">
        <v>850</v>
      </c>
      <c r="F2917" s="8" t="n">
        <v>10</v>
      </c>
      <c r="H2917" s="9" t="n">
        <v>1700</v>
      </c>
      <c r="I2917" s="10" t="inlineStr">
        <is>
          <t>ทรัพย์สินไทย</t>
        </is>
      </c>
      <c r="J2917" s="161" t="n">
        <v>23859</v>
      </c>
      <c r="K2917" s="8" t="inlineStr">
        <is>
          <t>IV6504236</t>
        </is>
      </c>
      <c r="L2917" s="8" t="inlineStr">
        <is>
          <t>ราคาที่ระบุเป็นก่อนหักส่วนลด</t>
        </is>
      </c>
    </row>
    <row r="2918">
      <c r="B2918" s="6" t="inlineStr">
        <is>
          <t>แม่สี Matrix  M-254</t>
        </is>
      </c>
      <c r="C2918" s="8" t="inlineStr">
        <is>
          <t>2กป.</t>
        </is>
      </c>
      <c r="D2918" s="9" t="n">
        <v>850</v>
      </c>
      <c r="F2918" s="8" t="n">
        <v>10</v>
      </c>
      <c r="H2918" s="9" t="n">
        <v>1700</v>
      </c>
      <c r="I2918" s="10" t="inlineStr">
        <is>
          <t>ทรัพย์สินไทย</t>
        </is>
      </c>
      <c r="J2918" s="161" t="n">
        <v>23887</v>
      </c>
      <c r="K2918" s="8" t="inlineStr">
        <is>
          <t>IV6505291</t>
        </is>
      </c>
      <c r="L2918" s="8" t="inlineStr">
        <is>
          <t>ราคาที่ระบุเป็นก่อนหักส่วนลด</t>
        </is>
      </c>
    </row>
    <row r="2919">
      <c r="B2919" s="6" t="inlineStr">
        <is>
          <t>แม่สี Matrix  M-254</t>
        </is>
      </c>
      <c r="C2919" s="8" t="inlineStr">
        <is>
          <t>2กป.</t>
        </is>
      </c>
      <c r="D2919" s="9" t="n">
        <v>950</v>
      </c>
      <c r="F2919" s="8" t="n">
        <v>10</v>
      </c>
      <c r="H2919" s="9" t="n">
        <v>1900</v>
      </c>
      <c r="I2919" s="10" t="inlineStr">
        <is>
          <t>ทรัพย์สินไทย</t>
        </is>
      </c>
      <c r="J2919" s="161" t="n">
        <v>23930</v>
      </c>
      <c r="K2919" s="8" t="inlineStr">
        <is>
          <t>IV6507108</t>
        </is>
      </c>
      <c r="L2919" s="8" t="inlineStr">
        <is>
          <t>ราคาที่ระบุเป็นก่อนหักส่วนลด</t>
        </is>
      </c>
    </row>
    <row r="2920">
      <c r="B2920" s="6" t="inlineStr">
        <is>
          <t>แม่สี ดำอมเหลือง SC-254</t>
        </is>
      </c>
      <c r="C2920" s="8" t="inlineStr">
        <is>
          <t>2กป.</t>
        </is>
      </c>
      <c r="D2920" s="9" t="n">
        <v>750</v>
      </c>
      <c r="H2920" s="9" t="n">
        <v>1500</v>
      </c>
      <c r="I2920" s="10" t="inlineStr">
        <is>
          <t>บจก. วีที คัลเลอร์ โปร</t>
        </is>
      </c>
      <c r="J2920" s="161" t="n">
        <v>23978</v>
      </c>
      <c r="K2920" s="8" t="inlineStr">
        <is>
          <t>IV148-65</t>
        </is>
      </c>
      <c r="L2920" s="8" t="inlineStr">
        <is>
          <t>ราคาที่ระบุ ยังไม่รวมภาษี</t>
        </is>
      </c>
    </row>
    <row r="2921">
      <c r="B2921" s="6" t="inlineStr">
        <is>
          <t>แม่สี ดำอมเหลือง SC-254</t>
        </is>
      </c>
      <c r="C2921" s="8" t="inlineStr">
        <is>
          <t>2กป.</t>
        </is>
      </c>
      <c r="D2921" s="9" t="n">
        <v>750</v>
      </c>
      <c r="H2921" s="9" t="n">
        <v>1500</v>
      </c>
      <c r="I2921" s="10" t="inlineStr">
        <is>
          <t>บจก. วีที คัลเลอร์ โปร</t>
        </is>
      </c>
      <c r="J2921" s="161" t="n">
        <v>24005</v>
      </c>
      <c r="K2921" s="8" t="inlineStr">
        <is>
          <t>IV184-65</t>
        </is>
      </c>
      <c r="L2921" s="8" t="inlineStr">
        <is>
          <t>ราคาที่ระบุ ยังไม่รวมภาษี</t>
        </is>
      </c>
    </row>
    <row r="2922">
      <c r="B2922" s="6" t="inlineStr">
        <is>
          <t>แม่สี ดำอมเหลือง SC-254</t>
        </is>
      </c>
      <c r="C2922" s="8" t="inlineStr">
        <is>
          <t>1กป.</t>
        </is>
      </c>
      <c r="D2922" s="9" t="n">
        <v>750</v>
      </c>
      <c r="H2922" s="9" t="n">
        <v>750</v>
      </c>
      <c r="I2922" s="10" t="inlineStr">
        <is>
          <t>บจก. วีที คัลเลอร์ โปร</t>
        </is>
      </c>
      <c r="J2922" s="161" t="n">
        <v>24069</v>
      </c>
      <c r="K2922" s="8" t="inlineStr">
        <is>
          <t>IV276-65</t>
        </is>
      </c>
      <c r="L2922" s="8" t="inlineStr">
        <is>
          <t>ราคาที่ระบุ ยังไม่รวมภาษี</t>
        </is>
      </c>
    </row>
    <row r="2923">
      <c r="B2923" s="6" t="inlineStr">
        <is>
          <t>แม่สี ดำอมเหลือง SC-254</t>
        </is>
      </c>
      <c r="C2923" s="8" t="inlineStr">
        <is>
          <t>1กป.</t>
        </is>
      </c>
      <c r="D2923" s="9" t="n">
        <v>750</v>
      </c>
      <c r="H2923" s="9" t="n">
        <v>750</v>
      </c>
      <c r="I2923" s="10" t="inlineStr">
        <is>
          <t>บจก. วีที คัลเลอร์ โปร</t>
        </is>
      </c>
      <c r="J2923" s="161" t="n">
        <v>24089</v>
      </c>
      <c r="K2923" s="8" t="inlineStr">
        <is>
          <t>IV308-65</t>
        </is>
      </c>
      <c r="L2923" s="8" t="inlineStr">
        <is>
          <t>ราคาที่ระบุ ยังไม่รวมภาษี</t>
        </is>
      </c>
    </row>
    <row r="2924">
      <c r="B2924" s="6" t="inlineStr">
        <is>
          <t>แม่สี ดำอมเหลือง SC-254</t>
        </is>
      </c>
      <c r="C2924" s="8" t="inlineStr">
        <is>
          <t>2กป.</t>
        </is>
      </c>
      <c r="D2924" s="9" t="n">
        <v>750</v>
      </c>
      <c r="H2924" s="9" t="n">
        <v>1500</v>
      </c>
      <c r="I2924" s="10" t="inlineStr">
        <is>
          <t>บจก. วีที คัลเลอร์ โปร</t>
        </is>
      </c>
      <c r="J2924" s="161" t="n">
        <v>24147</v>
      </c>
      <c r="K2924" s="8" t="inlineStr">
        <is>
          <t>IV088-66</t>
        </is>
      </c>
      <c r="L2924" s="8" t="inlineStr">
        <is>
          <t>ราคาที่ระบุ ยังไม่รวมภาษี</t>
        </is>
      </c>
    </row>
    <row r="2925">
      <c r="B2925" s="6" t="inlineStr">
        <is>
          <t>แม่สี ดำอมเหลือง SC-254</t>
        </is>
      </c>
      <c r="C2925" s="8" t="inlineStr">
        <is>
          <t>2กป.</t>
        </is>
      </c>
      <c r="D2925" s="9" t="n">
        <v>750</v>
      </c>
      <c r="H2925" s="9" t="n">
        <v>1500</v>
      </c>
      <c r="I2925" s="10" t="inlineStr">
        <is>
          <t>บจก. วีที คัลเลอร์ โปร</t>
        </is>
      </c>
      <c r="J2925" s="161" t="n">
        <v>24282</v>
      </c>
      <c r="K2925" s="8" t="inlineStr">
        <is>
          <t>IV352-66</t>
        </is>
      </c>
      <c r="L2925" s="8" t="inlineStr">
        <is>
          <t>ราคาที่ระบุ ยังไม่รวมภาษี</t>
        </is>
      </c>
    </row>
    <row r="2926">
      <c r="B2926" s="6" t="inlineStr">
        <is>
          <t>แม่สี ดำอมเหลือง Hybrid S254</t>
        </is>
      </c>
      <c r="C2926" s="8" t="inlineStr">
        <is>
          <t>2กป.</t>
        </is>
      </c>
      <c r="D2926" s="9" t="n">
        <v>750</v>
      </c>
      <c r="H2926" s="9" t="n">
        <v>1500</v>
      </c>
      <c r="I2926" s="10" t="inlineStr">
        <is>
          <t>บจก. วีที คัลเลอร์ โปร</t>
        </is>
      </c>
      <c r="J2926" s="161" t="n">
        <v>24298</v>
      </c>
      <c r="K2926" s="8" t="inlineStr">
        <is>
          <t>IV387-66</t>
        </is>
      </c>
      <c r="L2926" s="8" t="inlineStr">
        <is>
          <t>ราคาที่ระบุ ยังไม่รวมภาษี</t>
        </is>
      </c>
    </row>
    <row r="2927">
      <c r="B2927" s="6" t="inlineStr">
        <is>
          <t>แม่สี ดำอมเหลือง Hybrid S254</t>
        </is>
      </c>
      <c r="C2927" s="8" t="n">
        <v>2</v>
      </c>
      <c r="D2927" s="9" t="n">
        <v>750</v>
      </c>
      <c r="H2927" s="9">
        <f>SUM(D2927*C2927)</f>
        <v/>
      </c>
      <c r="I2927" s="10" t="inlineStr">
        <is>
          <t>บจก. วีที คัลเลอร์ โปร</t>
        </is>
      </c>
      <c r="J2927" s="161" t="n">
        <v>24340</v>
      </c>
      <c r="K2927" s="8" t="inlineStr">
        <is>
          <t>IV469-66</t>
        </is>
      </c>
      <c r="L2927" s="8" t="inlineStr">
        <is>
          <t>ราคาที่ระบุ ยังไม่รวมภาษี</t>
        </is>
      </c>
    </row>
    <row r="2928">
      <c r="B2928" s="6" t="inlineStr">
        <is>
          <t>แม่สี ดำอมเหลือง Hybrid S254</t>
        </is>
      </c>
      <c r="C2928" s="8" t="n">
        <v>2</v>
      </c>
      <c r="D2928" s="9" t="n">
        <v>750</v>
      </c>
      <c r="H2928" s="9">
        <f>SUM(D2928*C2928)</f>
        <v/>
      </c>
      <c r="I2928" s="10" t="inlineStr">
        <is>
          <t>บจก. วีที คัลเลอร์ โปร</t>
        </is>
      </c>
      <c r="J2928" s="161" t="n">
        <v>24401</v>
      </c>
      <c r="K2928" s="8" t="inlineStr">
        <is>
          <t>IV684-66</t>
        </is>
      </c>
      <c r="L2928" s="8" t="inlineStr">
        <is>
          <t>ราคาที่ระบุ ยังไม่รวมภาษี</t>
        </is>
      </c>
    </row>
    <row r="2929">
      <c r="B2929" s="6" t="inlineStr">
        <is>
          <t>แม่สี ดำอมเหลือง Hybrid S254</t>
        </is>
      </c>
      <c r="C2929" s="8" t="n">
        <v>2</v>
      </c>
      <c r="D2929" s="9" t="n">
        <v>750</v>
      </c>
      <c r="E2929" s="9">
        <f>SUM(D2929*C2929)</f>
        <v/>
      </c>
      <c r="F2929" s="8" t="n">
        <v>0.07000000000000001</v>
      </c>
      <c r="G2929" s="10" t="inlineStr">
        <is>
          <t>รวม VAT =</t>
        </is>
      </c>
      <c r="H2929" s="9">
        <f>SUM(E2929+N2929)</f>
        <v/>
      </c>
      <c r="I2929" s="10" t="inlineStr">
        <is>
          <t>บจก. วีที คัลเลอร์ โปร</t>
        </is>
      </c>
      <c r="J2929" s="161" t="n">
        <v>25040</v>
      </c>
      <c r="K2929" s="8" t="inlineStr">
        <is>
          <t>IV6807158</t>
        </is>
      </c>
      <c r="N2929" s="6">
        <f>SUM(E2929*F2929)</f>
        <v/>
      </c>
    </row>
    <row r="2930">
      <c r="B2930" s="6" t="inlineStr">
        <is>
          <t>แม่สี ดำอมเหลือง Hybrid S254</t>
        </is>
      </c>
      <c r="C2930" s="8" t="n">
        <v>4</v>
      </c>
      <c r="D2930" s="9" t="n">
        <v>750</v>
      </c>
      <c r="E2930" s="9">
        <f>SUM(D2930*C2930)</f>
        <v/>
      </c>
      <c r="F2930" s="8" t="n">
        <v>0.07000000000000001</v>
      </c>
      <c r="G2930" s="10" t="inlineStr">
        <is>
          <t>รวม VAT =</t>
        </is>
      </c>
      <c r="H2930" s="9">
        <f>SUM(E2930+N2930)</f>
        <v/>
      </c>
      <c r="I2930" s="10" t="inlineStr">
        <is>
          <t>บจก. วีที คัลเลอร์ โปร</t>
        </is>
      </c>
      <c r="J2930" s="161" t="n">
        <v>25042</v>
      </c>
      <c r="K2930" s="8" t="inlineStr">
        <is>
          <t>IV6807180</t>
        </is>
      </c>
      <c r="N2930" s="6">
        <f>SUM(E2930*F2930)</f>
        <v/>
      </c>
    </row>
    <row r="2931">
      <c r="B2931" s="6" t="inlineStr">
        <is>
          <t>แม่สี ดำอมเหลือง Hybrid S254</t>
        </is>
      </c>
      <c r="C2931" s="8" t="n">
        <v>4</v>
      </c>
      <c r="D2931" s="9" t="n">
        <v>750</v>
      </c>
      <c r="E2931" s="9">
        <f>SUM(D2931*C2931)</f>
        <v/>
      </c>
      <c r="F2931" s="8" t="n">
        <v>0.07000000000000001</v>
      </c>
      <c r="G2931" s="10" t="inlineStr">
        <is>
          <t>รวม VAT =</t>
        </is>
      </c>
      <c r="H2931" s="9">
        <f>SUM(E2931+N2931)</f>
        <v/>
      </c>
      <c r="I2931" s="10" t="inlineStr">
        <is>
          <t>บจก. วีที คัลเลอร์ โปร</t>
        </is>
      </c>
      <c r="J2931" s="161" t="n">
        <v>25073</v>
      </c>
      <c r="K2931" s="8" t="inlineStr">
        <is>
          <t>IV6808151</t>
        </is>
      </c>
      <c r="N2931" s="6">
        <f>SUM(E2931*F2931)</f>
        <v/>
      </c>
    </row>
    <row r="2932">
      <c r="B2932" s="6" t="inlineStr">
        <is>
          <t>แม่สี ดำอมเหลือง Hybrid S254</t>
        </is>
      </c>
      <c r="C2932" s="8" t="n">
        <v>4</v>
      </c>
      <c r="D2932" s="9" t="n">
        <v>750</v>
      </c>
      <c r="E2932" s="9">
        <f>SUM(D2932*C2932)</f>
        <v/>
      </c>
      <c r="F2932" s="8" t="n">
        <v>0.07000000000000001</v>
      </c>
      <c r="G2932" s="10" t="inlineStr">
        <is>
          <t>รวม VAT =</t>
        </is>
      </c>
      <c r="H2932" s="9">
        <f>SUM(E2932+N2932)</f>
        <v/>
      </c>
      <c r="I2932" s="10" t="inlineStr">
        <is>
          <t>บจก. วีที คัลเลอร์ โปร</t>
        </is>
      </c>
      <c r="J2932" s="161" t="n">
        <v>25093</v>
      </c>
      <c r="K2932" s="8" t="inlineStr">
        <is>
          <t>IV6809088</t>
        </is>
      </c>
      <c r="N2932" s="6">
        <f>SUM(E2932*F2932)</f>
        <v/>
      </c>
    </row>
    <row r="2933">
      <c r="B2933" s="6" t="inlineStr">
        <is>
          <t>แม่สี ดำอมเหลือง Hybrid S254</t>
        </is>
      </c>
      <c r="C2933" s="8" t="n">
        <v>4</v>
      </c>
      <c r="D2933" s="9" t="n">
        <v>750</v>
      </c>
      <c r="E2933" s="9">
        <f>SUM(D2933*C2933)</f>
        <v/>
      </c>
      <c r="F2933" s="8" t="n">
        <v>0.07000000000000001</v>
      </c>
      <c r="G2933" s="10" t="inlineStr">
        <is>
          <t>รวม VAT =</t>
        </is>
      </c>
      <c r="H2933" s="9">
        <f>SUM(E2933+N2933)</f>
        <v/>
      </c>
      <c r="I2933" s="10" t="inlineStr">
        <is>
          <t>บจก. วีที คัลเลอร์ โปร</t>
        </is>
      </c>
      <c r="J2933" s="161" t="n">
        <v>25112</v>
      </c>
      <c r="K2933" s="8" t="inlineStr">
        <is>
          <t>IV6810015</t>
        </is>
      </c>
      <c r="N2933" s="6">
        <f>SUM(E2933*F2933)</f>
        <v/>
      </c>
    </row>
    <row r="2934">
      <c r="B2934" s="6" t="inlineStr">
        <is>
          <t>แม่สี ดำอมเหลือง Hybrid S254</t>
        </is>
      </c>
      <c r="C2934" s="8" t="n">
        <v>2</v>
      </c>
      <c r="D2934" s="9" t="n">
        <v>750</v>
      </c>
      <c r="E2934" s="9">
        <f>SUM(D2934*C2934)</f>
        <v/>
      </c>
      <c r="F2934" s="8" t="n">
        <v>0.07000000000000001</v>
      </c>
      <c r="G2934" s="10" t="inlineStr">
        <is>
          <t>รวม VAT =</t>
        </is>
      </c>
      <c r="H2934" s="9">
        <f>SUM(E2934+N2934)</f>
        <v/>
      </c>
      <c r="I2934" s="10" t="inlineStr">
        <is>
          <t>บจก. วีที คัลเลอร์ โปร</t>
        </is>
      </c>
      <c r="J2934" s="161" t="n">
        <v>25145</v>
      </c>
      <c r="K2934" s="8" t="inlineStr">
        <is>
          <t>IV6811023</t>
        </is>
      </c>
      <c r="L2934" s="8" t="inlineStr">
        <is>
          <t>ราคาที่ระบุ ยังไม่รวม VAT7%</t>
        </is>
      </c>
      <c r="N2934" s="6">
        <f>SUM(E2934*F2934)</f>
        <v/>
      </c>
    </row>
    <row r="2935">
      <c r="B2935" s="6" t="inlineStr">
        <is>
          <t>แม่สี ดำอมเหลือง Hybrid S254</t>
        </is>
      </c>
      <c r="C2935" s="8" t="n">
        <v>4</v>
      </c>
      <c r="D2935" s="9" t="n">
        <v>750</v>
      </c>
      <c r="E2935" s="9">
        <f>SUM(D2935*C2935)</f>
        <v/>
      </c>
      <c r="F2935" s="8" t="n">
        <v>0.07000000000000001</v>
      </c>
      <c r="G2935" s="10" t="inlineStr">
        <is>
          <t>รวม VAT =</t>
        </is>
      </c>
      <c r="H2935" s="9">
        <f>SUM(E2935+N2935)</f>
        <v/>
      </c>
      <c r="I2935" s="10" t="inlineStr">
        <is>
          <t>บจก. วีที คัลเลอร์ โปร</t>
        </is>
      </c>
      <c r="J2935" s="161" t="n">
        <v>25168</v>
      </c>
      <c r="K2935" s="8" t="inlineStr">
        <is>
          <t>IV6811188</t>
        </is>
      </c>
      <c r="N2935" s="6">
        <f>SUM(E2935*F2935)</f>
        <v/>
      </c>
    </row>
    <row r="2937">
      <c r="B2937" s="6" t="inlineStr">
        <is>
          <t>แม่สี ม่วงสด Hybrid S255</t>
        </is>
      </c>
      <c r="C2937" s="8" t="n">
        <v>2</v>
      </c>
      <c r="D2937" s="9" t="n">
        <v>750</v>
      </c>
      <c r="E2937" s="9">
        <f>SUM(D2937*C2937)</f>
        <v/>
      </c>
      <c r="F2937" s="8" t="n">
        <v>0.07000000000000001</v>
      </c>
      <c r="G2937" s="10" t="inlineStr">
        <is>
          <t>รวม VAT =</t>
        </is>
      </c>
      <c r="H2937" s="9">
        <f>SUM(E2937+N2937)</f>
        <v/>
      </c>
      <c r="I2937" s="10" t="inlineStr">
        <is>
          <t>บจก. วีที คัลเลอร์ โปร</t>
        </is>
      </c>
      <c r="J2937" s="161" t="n">
        <v>25063</v>
      </c>
      <c r="K2937" s="8" t="inlineStr">
        <is>
          <t>IV6808072</t>
        </is>
      </c>
      <c r="L2937" s="8" t="inlineStr">
        <is>
          <t>ราคาที่ระบุ ยังไม่รวม VAT7%</t>
        </is>
      </c>
      <c r="N2937" s="6">
        <f>SUM(E2937*F2937)</f>
        <v/>
      </c>
    </row>
    <row r="2939">
      <c r="B2939" s="6" t="inlineStr">
        <is>
          <t>แม่สี เหลืองเนื้อมาก Hybrid S284</t>
        </is>
      </c>
      <c r="C2939" s="8" t="n">
        <v>1</v>
      </c>
      <c r="D2939" s="9" t="n">
        <v>800</v>
      </c>
      <c r="H2939" s="9">
        <f>SUM(D2939*C2939)</f>
        <v/>
      </c>
      <c r="I2939" s="10" t="inlineStr">
        <is>
          <t>บจก. วีที คัลเลอร์ โปร</t>
        </is>
      </c>
      <c r="J2939" s="161" t="n">
        <v>24462</v>
      </c>
      <c r="K2939" s="8" t="inlineStr">
        <is>
          <t>IV765-66</t>
        </is>
      </c>
      <c r="L2939" s="8" t="inlineStr">
        <is>
          <t>ราคาที่ระบุ ยังไม่รวมภาษี</t>
        </is>
      </c>
    </row>
    <row r="2940">
      <c r="B2940" s="6" t="inlineStr">
        <is>
          <t>แม่สี เหลืองเนื้อมาก Hybrid S284</t>
        </is>
      </c>
      <c r="C2940" s="8" t="n">
        <v>1</v>
      </c>
      <c r="D2940" s="9" t="n">
        <v>800</v>
      </c>
      <c r="H2940" s="9">
        <f>SUM(D2940*C2940)</f>
        <v/>
      </c>
      <c r="I2940" s="10" t="inlineStr">
        <is>
          <t>บจก. วีที คัลเลอร์ โปร</t>
        </is>
      </c>
      <c r="J2940" s="161" t="n">
        <v>24496</v>
      </c>
      <c r="K2940" s="8" t="inlineStr">
        <is>
          <t>IV6701079</t>
        </is>
      </c>
      <c r="L2940" s="8" t="inlineStr">
        <is>
          <t>ราคาที่ระบุ ยังไม่รวมภาษี</t>
        </is>
      </c>
    </row>
    <row r="2942">
      <c r="B2942" s="6" t="inlineStr">
        <is>
          <t>แม่สี Matrix  M-255</t>
        </is>
      </c>
      <c r="C2942" s="8" t="inlineStr">
        <is>
          <t>1กป.</t>
        </is>
      </c>
      <c r="D2942" s="9" t="n">
        <v>850</v>
      </c>
      <c r="F2942" s="8" t="n">
        <v>10</v>
      </c>
      <c r="H2942" s="9" t="n">
        <v>850</v>
      </c>
      <c r="I2942" s="10" t="inlineStr">
        <is>
          <t>ทรัพย์สินไทย</t>
        </is>
      </c>
      <c r="J2942" s="161" t="n">
        <v>22916</v>
      </c>
      <c r="L2942" s="8" t="inlineStr">
        <is>
          <t>ราคาที่ระบุเป็นก่อนหักส่วนลด</t>
        </is>
      </c>
    </row>
    <row r="2943">
      <c r="B2943" s="6" t="inlineStr">
        <is>
          <t>แม่สี Matrix  M-255</t>
        </is>
      </c>
      <c r="C2943" s="8" t="inlineStr">
        <is>
          <t>1กป.</t>
        </is>
      </c>
      <c r="D2943" s="9" t="n">
        <v>850</v>
      </c>
      <c r="F2943" s="8" t="n">
        <v>10</v>
      </c>
      <c r="H2943" s="9" t="n">
        <v>850</v>
      </c>
      <c r="I2943" s="10" t="inlineStr">
        <is>
          <t>ทรัพย์สินไทย</t>
        </is>
      </c>
      <c r="J2943" s="161" t="n">
        <v>23038</v>
      </c>
      <c r="L2943" s="8" t="inlineStr">
        <is>
          <t>ราคาที่ระบุเป็นก่อนหักส่วนลด</t>
        </is>
      </c>
    </row>
    <row r="2944">
      <c r="B2944" s="6" t="inlineStr">
        <is>
          <t>แม่สี Matrix  M-255</t>
        </is>
      </c>
      <c r="C2944" s="8" t="inlineStr">
        <is>
          <t>2กป.</t>
        </is>
      </c>
      <c r="D2944" s="9" t="n">
        <v>850</v>
      </c>
      <c r="F2944" s="8" t="n">
        <v>10</v>
      </c>
      <c r="H2944" s="9" t="n">
        <v>1700</v>
      </c>
      <c r="I2944" s="10" t="inlineStr">
        <is>
          <t>ทรัพย์สินไทย</t>
        </is>
      </c>
      <c r="J2944" s="161" t="n">
        <v>23172</v>
      </c>
      <c r="L2944" s="8" t="inlineStr">
        <is>
          <t>ราคาที่ระบุเป็นก่อนหักส่วนลด</t>
        </is>
      </c>
    </row>
    <row r="2945">
      <c r="B2945" s="6" t="inlineStr">
        <is>
          <t>แม่สี Matrix  M-255</t>
        </is>
      </c>
      <c r="C2945" s="8" t="inlineStr">
        <is>
          <t>1กป.</t>
        </is>
      </c>
      <c r="D2945" s="9" t="n">
        <v>850</v>
      </c>
      <c r="F2945" s="8" t="n">
        <v>10</v>
      </c>
      <c r="H2945" s="9" t="n">
        <v>850</v>
      </c>
      <c r="I2945" s="10" t="inlineStr">
        <is>
          <t>ทรัพย์สินไทย</t>
        </is>
      </c>
      <c r="J2945" s="161" t="n">
        <v>23355</v>
      </c>
      <c r="L2945" s="8" t="inlineStr">
        <is>
          <t>ราคาที่ระบุเป็นก่อนหักส่วนลด</t>
        </is>
      </c>
    </row>
    <row r="2946">
      <c r="B2946" s="6" t="inlineStr">
        <is>
          <t>แม่สี Matrix  M-255</t>
        </is>
      </c>
      <c r="C2946" s="8" t="inlineStr">
        <is>
          <t>1กป.</t>
        </is>
      </c>
      <c r="D2946" s="9" t="n">
        <v>850</v>
      </c>
      <c r="F2946" s="8" t="n">
        <v>10</v>
      </c>
      <c r="H2946" s="9" t="n">
        <v>850</v>
      </c>
      <c r="I2946" s="10" t="inlineStr">
        <is>
          <t>ทรัพย์สินไทย</t>
        </is>
      </c>
      <c r="J2946" s="161" t="n">
        <v>23387</v>
      </c>
      <c r="L2946" s="8" t="inlineStr">
        <is>
          <t>ราคาที่ระบุเป็นก่อนหักส่วนลด</t>
        </is>
      </c>
    </row>
    <row r="2947">
      <c r="B2947" s="6" t="inlineStr">
        <is>
          <t>แม่สี Matrix  M-255</t>
        </is>
      </c>
      <c r="C2947" s="8" t="inlineStr">
        <is>
          <t>1กป.</t>
        </is>
      </c>
      <c r="D2947" s="9" t="n">
        <v>850</v>
      </c>
      <c r="F2947" s="8" t="n">
        <v>10</v>
      </c>
      <c r="H2947" s="9" t="n">
        <v>850</v>
      </c>
      <c r="I2947" s="10" t="inlineStr">
        <is>
          <t>ทรัพย์สินไทย</t>
        </is>
      </c>
      <c r="J2947" s="161" t="n">
        <v>23403</v>
      </c>
      <c r="L2947" s="8" t="inlineStr">
        <is>
          <t>ราคาที่ระบุเป็นก่อนหักส่วนลด</t>
        </is>
      </c>
    </row>
    <row r="2948">
      <c r="B2948" s="6" t="inlineStr">
        <is>
          <t>แม่สี Matrix  M-255</t>
        </is>
      </c>
      <c r="C2948" s="8" t="inlineStr">
        <is>
          <t>1กป.</t>
        </is>
      </c>
      <c r="D2948" s="9" t="n">
        <v>850</v>
      </c>
      <c r="F2948" s="8" t="n">
        <v>10</v>
      </c>
      <c r="H2948" s="9" t="n">
        <v>850</v>
      </c>
      <c r="I2948" s="10" t="inlineStr">
        <is>
          <t>ทรัพย์สินไทย</t>
        </is>
      </c>
      <c r="J2948" s="161" t="n">
        <v>23460</v>
      </c>
      <c r="L2948" s="8" t="inlineStr">
        <is>
          <t>ราคาที่ระบุเป็นก่อนหักส่วนลด</t>
        </is>
      </c>
    </row>
    <row r="2949">
      <c r="B2949" s="6" t="inlineStr">
        <is>
          <t>แม่สี Matrix  M-255</t>
        </is>
      </c>
      <c r="C2949" s="8" t="inlineStr">
        <is>
          <t>2กป.</t>
        </is>
      </c>
      <c r="D2949" s="9" t="n">
        <v>850</v>
      </c>
      <c r="F2949" s="8" t="n">
        <v>10</v>
      </c>
      <c r="H2949" s="9" t="n">
        <v>170</v>
      </c>
      <c r="I2949" s="10" t="inlineStr">
        <is>
          <t>ทรัพย์สินไทย</t>
        </is>
      </c>
      <c r="J2949" s="161" t="n">
        <v>23613</v>
      </c>
      <c r="L2949" s="8" t="inlineStr">
        <is>
          <t>ราคาที่ระบุเป็นก่อนหักส่วนลด</t>
        </is>
      </c>
    </row>
    <row r="2950">
      <c r="B2950" s="6" t="inlineStr">
        <is>
          <t>แม่สี Matrix  M-255</t>
        </is>
      </c>
      <c r="C2950" s="8" t="inlineStr">
        <is>
          <t>1กป.</t>
        </is>
      </c>
      <c r="D2950" s="9" t="n">
        <v>850</v>
      </c>
      <c r="F2950" s="8" t="n">
        <v>10</v>
      </c>
      <c r="H2950" s="9" t="n">
        <v>850</v>
      </c>
      <c r="I2950" s="10" t="inlineStr">
        <is>
          <t>ทรัพย์สินไทย</t>
        </is>
      </c>
      <c r="J2950" s="161" t="n">
        <v>23795</v>
      </c>
      <c r="K2950" s="8" t="inlineStr">
        <is>
          <t>IV6502259</t>
        </is>
      </c>
      <c r="L2950" s="8" t="inlineStr">
        <is>
          <t>ราคาที่ระบุเป็นก่อนหักส่วนลด</t>
        </is>
      </c>
    </row>
    <row r="2951">
      <c r="B2951" s="6" t="inlineStr">
        <is>
          <t>แม่สี Matrix  M-255</t>
        </is>
      </c>
      <c r="C2951" s="8" t="inlineStr">
        <is>
          <t>2กป.</t>
        </is>
      </c>
      <c r="D2951" s="9" t="n">
        <v>850</v>
      </c>
      <c r="F2951" s="8" t="n">
        <v>10</v>
      </c>
      <c r="H2951" s="9" t="n">
        <v>1700</v>
      </c>
      <c r="I2951" s="10" t="inlineStr">
        <is>
          <t>ทรัพย์สินไทย</t>
        </is>
      </c>
      <c r="J2951" s="161" t="n">
        <v>23920</v>
      </c>
      <c r="K2951" s="8" t="inlineStr">
        <is>
          <t>IV6506337</t>
        </is>
      </c>
      <c r="L2951" s="8" t="inlineStr">
        <is>
          <t>ราคาที่ระบุเป็นก่อนหักส่วนลด</t>
        </is>
      </c>
    </row>
    <row r="2952">
      <c r="B2952" s="6" t="inlineStr">
        <is>
          <t>แม่สี ม่วงสด SC-255</t>
        </is>
      </c>
      <c r="C2952" s="8" t="inlineStr">
        <is>
          <t>1กป.</t>
        </is>
      </c>
      <c r="D2952" s="9" t="n">
        <v>750</v>
      </c>
      <c r="H2952" s="9" t="n">
        <v>750</v>
      </c>
      <c r="I2952" s="10" t="inlineStr">
        <is>
          <t>บจก. วีที คัลเลอร์ โปร</t>
        </is>
      </c>
      <c r="J2952" s="161" t="n">
        <v>23978</v>
      </c>
      <c r="K2952" s="8" t="inlineStr">
        <is>
          <t>IV148-65</t>
        </is>
      </c>
      <c r="L2952" s="8" t="inlineStr">
        <is>
          <t>ราคาที่ระบุ ยังไม่รวมภาษี</t>
        </is>
      </c>
    </row>
    <row r="2953">
      <c r="B2953" s="6" t="inlineStr">
        <is>
          <t>แม่สี ม่วงสด SC-255</t>
        </is>
      </c>
      <c r="C2953" s="8" t="inlineStr">
        <is>
          <t>1กป.</t>
        </is>
      </c>
      <c r="D2953" s="9" t="n">
        <v>750</v>
      </c>
      <c r="H2953" s="9" t="n">
        <v>750</v>
      </c>
      <c r="I2953" s="10" t="inlineStr">
        <is>
          <t>บจก. วีที คัลเลอร์ โปร</t>
        </is>
      </c>
      <c r="J2953" s="161" t="n">
        <v>24005</v>
      </c>
      <c r="K2953" s="8" t="inlineStr">
        <is>
          <t>IV184-65</t>
        </is>
      </c>
      <c r="L2953" s="8" t="inlineStr">
        <is>
          <t>ราคาที่ระบุ ยังไม่รวมภาษี</t>
        </is>
      </c>
    </row>
    <row r="2954">
      <c r="B2954" s="6" t="inlineStr">
        <is>
          <t>แม่สี ม่วงสด SC-255</t>
        </is>
      </c>
      <c r="C2954" s="8" t="inlineStr">
        <is>
          <t>1กป.</t>
        </is>
      </c>
      <c r="D2954" s="9" t="n">
        <v>750</v>
      </c>
      <c r="H2954" s="9" t="n">
        <v>750</v>
      </c>
      <c r="I2954" s="10" t="inlineStr">
        <is>
          <t>บจก. วีที คัลเลอร์ โปร</t>
        </is>
      </c>
      <c r="J2954" s="161" t="n">
        <v>24071</v>
      </c>
      <c r="K2954" s="8" t="inlineStr">
        <is>
          <t>IV283-65</t>
        </is>
      </c>
      <c r="L2954" s="8" t="inlineStr">
        <is>
          <t>ราคาที่ระบุ ยังไม่รวมภาษี</t>
        </is>
      </c>
    </row>
    <row r="2955">
      <c r="B2955" s="6" t="inlineStr">
        <is>
          <t>แม่สี ม่วงสด SC-255</t>
        </is>
      </c>
      <c r="C2955" s="8" t="inlineStr">
        <is>
          <t>1กป.</t>
        </is>
      </c>
      <c r="D2955" s="9" t="n">
        <v>750</v>
      </c>
      <c r="H2955" s="9" t="n">
        <v>750</v>
      </c>
      <c r="I2955" s="10" t="inlineStr">
        <is>
          <t>บจก. วีที คัลเลอร์ โปร</t>
        </is>
      </c>
      <c r="J2955" s="161" t="n">
        <v>24282</v>
      </c>
      <c r="K2955" s="8" t="inlineStr">
        <is>
          <t>IV353-66</t>
        </is>
      </c>
      <c r="L2955" s="8" t="inlineStr">
        <is>
          <t>ราคาที่ระบุ ยังไม่รวมภาษี</t>
        </is>
      </c>
    </row>
    <row r="2957">
      <c r="B2957" s="6" t="inlineStr">
        <is>
          <t>แม่สี แดงโครอล SC-257</t>
        </is>
      </c>
      <c r="C2957" s="8" t="inlineStr">
        <is>
          <t>1กล.</t>
        </is>
      </c>
      <c r="D2957" s="9" t="n">
        <v>750</v>
      </c>
      <c r="H2957" s="9" t="n">
        <v>750</v>
      </c>
      <c r="I2957" s="10" t="inlineStr">
        <is>
          <t>บจก. วีที คัลเลอร์ โปร</t>
        </is>
      </c>
      <c r="J2957" s="161" t="n">
        <v>24189</v>
      </c>
      <c r="K2957" s="8" t="inlineStr">
        <is>
          <t>IV178-66</t>
        </is>
      </c>
      <c r="L2957" s="8" t="inlineStr">
        <is>
          <t>ราคาที่ระบุ ยังไม่รวมภาษี</t>
        </is>
      </c>
    </row>
    <row r="2958">
      <c r="B2958" s="6" t="inlineStr">
        <is>
          <t>แม่สี แดงโครอล Hybrid S257</t>
        </is>
      </c>
      <c r="C2958" s="8" t="inlineStr">
        <is>
          <t>2กล.</t>
        </is>
      </c>
      <c r="D2958" s="9" t="n">
        <v>750</v>
      </c>
      <c r="H2958" s="9" t="n">
        <v>1500</v>
      </c>
      <c r="I2958" s="10" t="inlineStr">
        <is>
          <t>บจก. วีที คัลเลอร์ โปร</t>
        </is>
      </c>
      <c r="J2958" s="161" t="n">
        <v>24298</v>
      </c>
      <c r="K2958" s="8" t="inlineStr">
        <is>
          <t>IV387-66</t>
        </is>
      </c>
      <c r="L2958" s="8" t="inlineStr">
        <is>
          <t>ราคาที่ระบุ ยังไม่รวมภาษี</t>
        </is>
      </c>
    </row>
    <row r="2959">
      <c r="B2959" s="6" t="inlineStr">
        <is>
          <t>แม่สี แดงโครอล Hybrid S257</t>
        </is>
      </c>
      <c r="C2959" s="8" t="n">
        <v>1</v>
      </c>
      <c r="D2959" s="9" t="n">
        <v>750</v>
      </c>
      <c r="H2959" s="9">
        <f>SUM(D2959*C2959)</f>
        <v/>
      </c>
      <c r="I2959" s="10" t="inlineStr">
        <is>
          <t>บจก. วีที คัลเลอร์ โปร</t>
        </is>
      </c>
      <c r="J2959" s="161" t="n">
        <v>24613</v>
      </c>
      <c r="K2959" s="8" t="inlineStr">
        <is>
          <t>IV6705104</t>
        </is>
      </c>
      <c r="L2959" s="8" t="inlineStr">
        <is>
          <t>ราคาที่ระบุ ยังไม่รวมภาษี</t>
        </is>
      </c>
    </row>
    <row r="2960">
      <c r="B2960" s="6" t="inlineStr">
        <is>
          <t>แม่สี แดงโครอล Hybrid S257</t>
        </is>
      </c>
      <c r="C2960" s="8" t="n">
        <v>1</v>
      </c>
      <c r="D2960" s="9" t="n">
        <v>750</v>
      </c>
      <c r="H2960" s="9">
        <f>SUM(D2960*C2960)</f>
        <v/>
      </c>
      <c r="I2960" s="10" t="inlineStr">
        <is>
          <t>บจก. วีที คัลเลอร์ โปร</t>
        </is>
      </c>
      <c r="J2960" s="161" t="n">
        <v>24766</v>
      </c>
      <c r="K2960" s="8" t="inlineStr">
        <is>
          <t>IV6710109</t>
        </is>
      </c>
      <c r="L2960" s="8" t="inlineStr">
        <is>
          <t>ราคาที่ระบุ ยังไม่รวมภาษี</t>
        </is>
      </c>
    </row>
    <row r="2961">
      <c r="B2961" s="6" t="inlineStr">
        <is>
          <t>แม่สี แดงโครอล Hybrid S257</t>
        </is>
      </c>
      <c r="C2961" s="8" t="n">
        <v>2</v>
      </c>
      <c r="D2961" s="9" t="n">
        <v>750</v>
      </c>
      <c r="E2961" s="9">
        <f>SUM(D2961*C2961)</f>
        <v/>
      </c>
      <c r="F2961" s="8" t="n">
        <v>0.07000000000000001</v>
      </c>
      <c r="G2961" s="10" t="inlineStr">
        <is>
          <t>รวม VAT =</t>
        </is>
      </c>
      <c r="H2961" s="9">
        <f>SUM(E2961+N2961)</f>
        <v/>
      </c>
      <c r="I2961" s="10" t="inlineStr">
        <is>
          <t>บจก. วีที คัลเลอร์ โปร</t>
        </is>
      </c>
      <c r="J2961" s="161" t="n">
        <v>25093</v>
      </c>
      <c r="K2961" s="8" t="inlineStr">
        <is>
          <t>IV6809088</t>
        </is>
      </c>
      <c r="N2961" s="6">
        <f>SUM(E2961*F2961)</f>
        <v/>
      </c>
    </row>
    <row r="2962">
      <c r="B2962" s="6" t="inlineStr">
        <is>
          <t>แม่สี แดงโครอล Hybrid S257</t>
        </is>
      </c>
      <c r="C2962" s="8" t="n">
        <v>2</v>
      </c>
      <c r="D2962" s="9" t="n">
        <v>750</v>
      </c>
      <c r="E2962" s="9">
        <f>SUM(D2962*C2962)</f>
        <v/>
      </c>
      <c r="F2962" s="8" t="n">
        <v>0.07000000000000001</v>
      </c>
      <c r="G2962" s="10" t="inlineStr">
        <is>
          <t>รวม VAT =</t>
        </is>
      </c>
      <c r="H2962" s="9">
        <f>SUM(E2962+N2962)</f>
        <v/>
      </c>
      <c r="I2962" s="10" t="inlineStr">
        <is>
          <t>บจก. วีที คัลเลอร์ โปร</t>
        </is>
      </c>
      <c r="J2962" s="161" t="n">
        <v>25145</v>
      </c>
      <c r="K2962" s="8" t="inlineStr">
        <is>
          <t>IV6811023</t>
        </is>
      </c>
      <c r="L2962" s="8" t="inlineStr">
        <is>
          <t>ราคาที่ระบุ ยังไม่รวม VAT7%</t>
        </is>
      </c>
      <c r="N2962" s="6">
        <f>SUM(E2962*F2962)</f>
        <v/>
      </c>
    </row>
    <row r="2964">
      <c r="B2964" s="6" t="inlineStr">
        <is>
          <t>แม่สี Matrix  M-256</t>
        </is>
      </c>
      <c r="C2964" s="8" t="inlineStr">
        <is>
          <t>1กป.</t>
        </is>
      </c>
      <c r="D2964" s="9" t="n">
        <v>850</v>
      </c>
      <c r="F2964" s="8" t="n">
        <v>10</v>
      </c>
      <c r="H2964" s="9" t="n">
        <v>850</v>
      </c>
      <c r="I2964" s="10" t="inlineStr">
        <is>
          <t>ทรัพย์สินไทย</t>
        </is>
      </c>
      <c r="J2964" s="161" t="n">
        <v>23081</v>
      </c>
      <c r="L2964" s="8" t="inlineStr">
        <is>
          <t>ราคาที่ระบุเป็นก่อนหักส่วนลด</t>
        </is>
      </c>
    </row>
    <row r="2965">
      <c r="B2965" s="6" t="inlineStr">
        <is>
          <t>แม่สี Matrix  M-256</t>
        </is>
      </c>
      <c r="C2965" s="8" t="inlineStr">
        <is>
          <t>2กป.</t>
        </is>
      </c>
      <c r="D2965" s="9" t="n">
        <v>850</v>
      </c>
      <c r="F2965" s="8" t="n">
        <v>10</v>
      </c>
      <c r="H2965" s="9" t="n">
        <v>1700</v>
      </c>
      <c r="I2965" s="10" t="inlineStr">
        <is>
          <t>ทรัพย์สินไทย</t>
        </is>
      </c>
      <c r="J2965" s="161" t="n">
        <v>23172</v>
      </c>
      <c r="L2965" s="8" t="inlineStr">
        <is>
          <t>ราคาที่ระบุเป็นก่อนหักส่วนลด</t>
        </is>
      </c>
    </row>
    <row r="2966">
      <c r="B2966" s="6" t="inlineStr">
        <is>
          <t>แม่สี Matrix  M-256</t>
        </is>
      </c>
      <c r="C2966" s="8" t="inlineStr">
        <is>
          <t>1กป.</t>
        </is>
      </c>
      <c r="D2966" s="9" t="n">
        <v>850</v>
      </c>
      <c r="F2966" s="8" t="n">
        <v>10</v>
      </c>
      <c r="H2966" s="9" t="n">
        <v>850</v>
      </c>
      <c r="I2966" s="10" t="inlineStr">
        <is>
          <t>ทรัพย์สินไทย</t>
        </is>
      </c>
      <c r="J2966" s="161" t="n">
        <v>23824</v>
      </c>
      <c r="K2966" s="8" t="inlineStr">
        <is>
          <t>IV6503301</t>
        </is>
      </c>
      <c r="L2966" s="8" t="inlineStr">
        <is>
          <t>ราคาที่ระบุเป็นก่อนหักส่วนลด</t>
        </is>
      </c>
    </row>
    <row r="2968">
      <c r="B2968" s="6" t="inlineStr">
        <is>
          <t>แม่สี Matrix  M-257</t>
        </is>
      </c>
      <c r="C2968" s="8" t="inlineStr">
        <is>
          <t>1กป.</t>
        </is>
      </c>
      <c r="D2968" s="9" t="n">
        <v>850</v>
      </c>
      <c r="F2968" s="8" t="n">
        <v>10</v>
      </c>
      <c r="H2968" s="9" t="n">
        <v>850</v>
      </c>
      <c r="I2968" s="10" t="inlineStr">
        <is>
          <t>ทรัพย์สินไทย</t>
        </is>
      </c>
      <c r="J2968" s="161" t="n">
        <v>22790</v>
      </c>
      <c r="L2968" s="8" t="inlineStr">
        <is>
          <t>ราคาที่ระบุเป็นก่อนหักส่วนลด</t>
        </is>
      </c>
    </row>
    <row r="2969">
      <c r="B2969" s="6" t="inlineStr">
        <is>
          <t>แม่สี Matrix  M-257</t>
        </is>
      </c>
      <c r="C2969" s="8" t="inlineStr">
        <is>
          <t>1กป.</t>
        </is>
      </c>
      <c r="D2969" s="9" t="n">
        <v>850</v>
      </c>
      <c r="F2969" s="8" t="n">
        <v>10</v>
      </c>
      <c r="H2969" s="9" t="n">
        <v>850</v>
      </c>
      <c r="I2969" s="10" t="inlineStr">
        <is>
          <t>ทรัพย์สินไทย</t>
        </is>
      </c>
      <c r="J2969" s="161" t="n">
        <v>22851</v>
      </c>
      <c r="L2969" s="8" t="inlineStr">
        <is>
          <t>ราคาที่ระบุเป็นก่อนหักส่วนลด</t>
        </is>
      </c>
    </row>
    <row r="2970">
      <c r="B2970" s="6" t="inlineStr">
        <is>
          <t>แม่สี Matrix  M-257</t>
        </is>
      </c>
      <c r="C2970" s="8" t="inlineStr">
        <is>
          <t>2กป.</t>
        </is>
      </c>
      <c r="D2970" s="9" t="n">
        <v>850</v>
      </c>
      <c r="F2970" s="8" t="n">
        <v>10</v>
      </c>
      <c r="H2970" s="9" t="n">
        <v>1700</v>
      </c>
      <c r="I2970" s="10" t="inlineStr">
        <is>
          <t>ทรัพย์สินไทย</t>
        </is>
      </c>
      <c r="J2970" s="161" t="n">
        <v>23430</v>
      </c>
      <c r="L2970" s="8" t="inlineStr">
        <is>
          <t>ราคาที่ระบุเป็นก่อนหักส่วนลด</t>
        </is>
      </c>
    </row>
    <row r="2971">
      <c r="B2971" s="6" t="inlineStr">
        <is>
          <t>แม่สี Matrix  M-257</t>
        </is>
      </c>
      <c r="C2971" s="8" t="inlineStr">
        <is>
          <t>1กป.</t>
        </is>
      </c>
      <c r="D2971" s="9" t="n">
        <v>850</v>
      </c>
      <c r="F2971" s="8" t="n">
        <v>10</v>
      </c>
      <c r="H2971" s="9" t="n">
        <v>850</v>
      </c>
      <c r="I2971" s="10" t="inlineStr">
        <is>
          <t>ทรัพย์สินไทย</t>
        </is>
      </c>
      <c r="J2971" s="161" t="n">
        <v>23824</v>
      </c>
      <c r="K2971" s="8" t="inlineStr">
        <is>
          <t>IV6503301</t>
        </is>
      </c>
      <c r="L2971" s="8" t="inlineStr">
        <is>
          <t>ราคาที่ระบุเป็นก่อนหักส่วนลด</t>
        </is>
      </c>
    </row>
    <row r="2972">
      <c r="B2972" s="6" t="inlineStr">
        <is>
          <t>แม่สีแดงโครรอล SC257</t>
        </is>
      </c>
      <c r="C2972" s="8" t="inlineStr">
        <is>
          <t>1กป.</t>
        </is>
      </c>
      <c r="D2972" s="9" t="n">
        <v>750</v>
      </c>
      <c r="H2972" s="9" t="n">
        <v>750</v>
      </c>
      <c r="I2972" s="10" t="inlineStr">
        <is>
          <t>บจก. วีที คัลเลอร์ โปร</t>
        </is>
      </c>
      <c r="J2972" s="161" t="n">
        <v>23992</v>
      </c>
      <c r="K2972" s="8" t="inlineStr">
        <is>
          <t>IV167-65</t>
        </is>
      </c>
      <c r="L2972" s="8" t="inlineStr">
        <is>
          <t>ราคายังไม่รวม VAT</t>
        </is>
      </c>
    </row>
    <row r="2974">
      <c r="B2974" s="6" t="inlineStr">
        <is>
          <t>แม่สี Matrix  M-259</t>
        </is>
      </c>
      <c r="C2974" s="8" t="inlineStr">
        <is>
          <t>2กป.</t>
        </is>
      </c>
      <c r="D2974" s="9" t="n">
        <v>850</v>
      </c>
      <c r="F2974" s="8" t="n">
        <v>10</v>
      </c>
      <c r="H2974" s="9" t="n">
        <v>1700</v>
      </c>
      <c r="I2974" s="10" t="inlineStr">
        <is>
          <t>ทรัพย์สินไทย</t>
        </is>
      </c>
      <c r="J2974" s="161" t="n">
        <v>22781</v>
      </c>
      <c r="L2974" s="8" t="inlineStr">
        <is>
          <t>ราคาที่ระบุเป็นก่อนหักส่วนลด</t>
        </is>
      </c>
    </row>
    <row r="2975">
      <c r="B2975" s="6" t="inlineStr">
        <is>
          <t>แม่สี Matrix  M-259</t>
        </is>
      </c>
      <c r="C2975" s="8" t="inlineStr">
        <is>
          <t>3กป.</t>
        </is>
      </c>
      <c r="D2975" s="9" t="n">
        <v>850</v>
      </c>
      <c r="F2975" s="8" t="n">
        <v>10</v>
      </c>
      <c r="H2975" s="9" t="n">
        <v>2550</v>
      </c>
      <c r="I2975" s="10" t="inlineStr">
        <is>
          <t>ทรัพย์สินไทย</t>
        </is>
      </c>
      <c r="J2975" s="161" t="n">
        <v>22821</v>
      </c>
      <c r="L2975" s="8" t="inlineStr">
        <is>
          <t>ราคาที่ระบุเป็นก่อนหักส่วนลด</t>
        </is>
      </c>
    </row>
    <row r="2976">
      <c r="B2976" s="6" t="inlineStr">
        <is>
          <t>แม่สี Matrix  M-259</t>
        </is>
      </c>
      <c r="C2976" s="8" t="inlineStr">
        <is>
          <t>3กล.</t>
        </is>
      </c>
      <c r="D2976" s="9" t="n">
        <v>850</v>
      </c>
      <c r="F2976" s="8" t="n">
        <v>10</v>
      </c>
      <c r="H2976" s="9" t="n">
        <v>2550</v>
      </c>
      <c r="I2976" s="10" t="inlineStr">
        <is>
          <t>ทรัพย์สินไทย</t>
        </is>
      </c>
      <c r="J2976" s="161" t="n">
        <v>22804</v>
      </c>
      <c r="L2976" s="8" t="inlineStr">
        <is>
          <t>ราคาที่ระบุเป็นก่อนหักส่วนลด</t>
        </is>
      </c>
    </row>
    <row r="2977">
      <c r="B2977" s="6" t="inlineStr">
        <is>
          <t>แม่สี Matrix  M-259</t>
        </is>
      </c>
      <c r="C2977" s="8" t="inlineStr">
        <is>
          <t>2กป.</t>
        </is>
      </c>
      <c r="D2977" s="9" t="n">
        <v>850</v>
      </c>
      <c r="F2977" s="8" t="n">
        <v>10</v>
      </c>
      <c r="H2977" s="9" t="n">
        <v>1700</v>
      </c>
      <c r="I2977" s="10" t="inlineStr">
        <is>
          <t>ทรัพย์สินไทย</t>
        </is>
      </c>
      <c r="J2977" s="161" t="n">
        <v>22836</v>
      </c>
      <c r="L2977" s="8" t="inlineStr">
        <is>
          <t>ราคาที่ระบุเป็นก่อนหักส่วนลด</t>
        </is>
      </c>
    </row>
    <row r="2978">
      <c r="B2978" s="6" t="inlineStr">
        <is>
          <t>แม่สี Matrix  M-259</t>
        </is>
      </c>
      <c r="C2978" s="8" t="inlineStr">
        <is>
          <t>3กป.</t>
        </is>
      </c>
      <c r="D2978" s="9" t="n">
        <v>850</v>
      </c>
      <c r="F2978" s="8" t="n">
        <v>10</v>
      </c>
      <c r="H2978" s="9" t="n">
        <v>2550</v>
      </c>
      <c r="I2978" s="10" t="inlineStr">
        <is>
          <t>ทรัพย์สินไทย</t>
        </is>
      </c>
      <c r="J2978" s="161" t="n">
        <v>22877</v>
      </c>
      <c r="L2978" s="8" t="inlineStr">
        <is>
          <t>ราคาที่ระบุเป็นก่อนหักส่วนลด</t>
        </is>
      </c>
    </row>
    <row r="2979">
      <c r="B2979" s="6" t="inlineStr">
        <is>
          <t>แม่สี Matrix  M-259</t>
        </is>
      </c>
      <c r="C2979" s="8" t="inlineStr">
        <is>
          <t>2กป.</t>
        </is>
      </c>
      <c r="D2979" s="9" t="n">
        <v>850</v>
      </c>
      <c r="F2979" s="8" t="n">
        <v>10</v>
      </c>
      <c r="H2979" s="9" t="n">
        <v>1700</v>
      </c>
      <c r="I2979" s="10" t="inlineStr">
        <is>
          <t>ทรัพย์สินไทย</t>
        </is>
      </c>
      <c r="J2979" s="161" t="n">
        <v>22884</v>
      </c>
      <c r="L2979" s="8" t="inlineStr">
        <is>
          <t>ราคาที่ระบุเป็นก่อนหักส่วนลด</t>
        </is>
      </c>
    </row>
    <row r="2980">
      <c r="B2980" s="6" t="inlineStr">
        <is>
          <t>แม่สี Matrix  M-259</t>
        </is>
      </c>
      <c r="C2980" s="8" t="inlineStr">
        <is>
          <t>3กป.</t>
        </is>
      </c>
      <c r="D2980" s="9" t="n">
        <v>850</v>
      </c>
      <c r="F2980" s="8" t="n">
        <v>10</v>
      </c>
      <c r="H2980" s="9" t="n">
        <v>2550</v>
      </c>
      <c r="I2980" s="10" t="inlineStr">
        <is>
          <t>ทรัพย์สินไทย</t>
        </is>
      </c>
      <c r="J2980" s="161" t="n">
        <v>23062</v>
      </c>
      <c r="L2980" s="8" t="inlineStr">
        <is>
          <t>ราคาที่ระบุเป็นก่อนหักส่วนลด</t>
        </is>
      </c>
    </row>
    <row r="2981">
      <c r="B2981" s="6" t="inlineStr">
        <is>
          <t>แม่สี Matrix  M-259</t>
        </is>
      </c>
      <c r="C2981" s="8" t="inlineStr">
        <is>
          <t>2กป.</t>
        </is>
      </c>
      <c r="D2981" s="9" t="n">
        <v>850</v>
      </c>
      <c r="F2981" s="8" t="n">
        <v>10</v>
      </c>
      <c r="H2981" s="9" t="n">
        <v>1700</v>
      </c>
      <c r="I2981" s="10" t="inlineStr">
        <is>
          <t>ทรัพย์สินไทย</t>
        </is>
      </c>
      <c r="J2981" s="161" t="n">
        <v>23094</v>
      </c>
      <c r="L2981" s="8" t="inlineStr">
        <is>
          <t>ราคาที่ระบุเป็นก่อนหักส่วนลด</t>
        </is>
      </c>
    </row>
    <row r="2982">
      <c r="B2982" s="6" t="inlineStr">
        <is>
          <t>แม่สี Matrix  M-259</t>
        </is>
      </c>
      <c r="C2982" s="8" t="inlineStr">
        <is>
          <t>3กป.</t>
        </is>
      </c>
      <c r="D2982" s="9" t="n">
        <v>850</v>
      </c>
      <c r="F2982" s="8" t="n">
        <v>10</v>
      </c>
      <c r="H2982" s="9" t="n">
        <v>2550</v>
      </c>
      <c r="I2982" s="10" t="inlineStr">
        <is>
          <t>ทรัพย์สินไทย</t>
        </is>
      </c>
      <c r="J2982" s="161" t="n">
        <v>23216</v>
      </c>
      <c r="L2982" s="8" t="inlineStr">
        <is>
          <t>ราคาที่ระบุเป็นก่อนหักส่วนลด</t>
        </is>
      </c>
    </row>
    <row r="2983">
      <c r="B2983" s="6" t="inlineStr">
        <is>
          <t>แม่สี Matrix  M-259</t>
        </is>
      </c>
      <c r="C2983" s="8" t="inlineStr">
        <is>
          <t>3กป.</t>
        </is>
      </c>
      <c r="D2983" s="9" t="n">
        <v>850</v>
      </c>
      <c r="F2983" s="8" t="n">
        <v>10</v>
      </c>
      <c r="H2983" s="9" t="n">
        <v>2550</v>
      </c>
      <c r="I2983" s="10" t="inlineStr">
        <is>
          <t>ทรัพย์สินไทย</t>
        </is>
      </c>
      <c r="J2983" s="161" t="n">
        <v>23247</v>
      </c>
      <c r="L2983" s="8" t="inlineStr">
        <is>
          <t>ราคาที่ระบุเป็นก่อนหักส่วนลด</t>
        </is>
      </c>
    </row>
    <row r="2984">
      <c r="B2984" s="6" t="inlineStr">
        <is>
          <t>แม่สี Matrix  M-259</t>
        </is>
      </c>
      <c r="C2984" s="8" t="inlineStr">
        <is>
          <t>2กป.</t>
        </is>
      </c>
      <c r="D2984" s="9" t="n">
        <v>850</v>
      </c>
      <c r="F2984" s="8" t="n">
        <v>10</v>
      </c>
      <c r="H2984" s="9" t="n">
        <v>1700</v>
      </c>
      <c r="I2984" s="10" t="inlineStr">
        <is>
          <t>ทรัพย์สินไทย</t>
        </is>
      </c>
      <c r="J2984" s="161" t="n">
        <v>23305</v>
      </c>
      <c r="L2984" s="8" t="inlineStr">
        <is>
          <t>ราคาที่ระบุเป็นก่อนหักส่วนลด</t>
        </is>
      </c>
    </row>
    <row r="2985">
      <c r="B2985" s="6" t="inlineStr">
        <is>
          <t>แม่สี Matrix  M-259</t>
        </is>
      </c>
      <c r="C2985" s="8" t="inlineStr">
        <is>
          <t>2กป.</t>
        </is>
      </c>
      <c r="D2985" s="9" t="n">
        <v>850</v>
      </c>
      <c r="F2985" s="8" t="n">
        <v>10</v>
      </c>
      <c r="H2985" s="9" t="n">
        <v>1700</v>
      </c>
      <c r="I2985" s="10" t="inlineStr">
        <is>
          <t>ทรัพย์สินไทย</t>
        </is>
      </c>
      <c r="J2985" s="161" t="n">
        <v>23366</v>
      </c>
      <c r="L2985" s="8" t="inlineStr">
        <is>
          <t>ราคาที่ระบุเป็นก่อนหักส่วนลด</t>
        </is>
      </c>
    </row>
    <row r="2986">
      <c r="B2986" s="6" t="inlineStr">
        <is>
          <t>แม่สี Matrix  M-259</t>
        </is>
      </c>
      <c r="C2986" s="8" t="inlineStr">
        <is>
          <t>3กป.</t>
        </is>
      </c>
      <c r="D2986" s="9" t="n">
        <v>850</v>
      </c>
      <c r="F2986" s="8" t="n">
        <v>10</v>
      </c>
      <c r="H2986" s="9" t="n">
        <v>2550</v>
      </c>
      <c r="I2986" s="10" t="inlineStr">
        <is>
          <t>ทรัพย์สินไทย</t>
        </is>
      </c>
      <c r="J2986" s="161" t="n">
        <v>23387</v>
      </c>
      <c r="L2986" s="8" t="inlineStr">
        <is>
          <t>ราคาที่ระบุเป็นก่อนหักส่วนลด</t>
        </is>
      </c>
    </row>
    <row r="2987">
      <c r="B2987" s="6" t="inlineStr">
        <is>
          <t>แม่สี Matrix  M-259</t>
        </is>
      </c>
      <c r="C2987" s="8" t="inlineStr">
        <is>
          <t>4กป.</t>
        </is>
      </c>
      <c r="D2987" s="9" t="n">
        <v>850</v>
      </c>
      <c r="F2987" s="8" t="n">
        <v>10</v>
      </c>
      <c r="H2987" s="9" t="n">
        <v>3400</v>
      </c>
      <c r="I2987" s="10" t="inlineStr">
        <is>
          <t>ทรัพย์สินไทย</t>
        </is>
      </c>
      <c r="J2987" s="161" t="n">
        <v>23398</v>
      </c>
      <c r="L2987" s="8" t="inlineStr">
        <is>
          <t>ราคาที่ระบุเป็นก่อนหักส่วนลด</t>
        </is>
      </c>
    </row>
    <row r="2988">
      <c r="B2988" s="6" t="inlineStr">
        <is>
          <t>แม่สี Matrix  M-259</t>
        </is>
      </c>
      <c r="C2988" s="8" t="inlineStr">
        <is>
          <t>2กป.</t>
        </is>
      </c>
      <c r="D2988" s="9" t="n">
        <v>850</v>
      </c>
      <c r="F2988" s="8" t="n">
        <v>10</v>
      </c>
      <c r="H2988" s="9" t="n">
        <v>1700</v>
      </c>
      <c r="I2988" s="10" t="inlineStr">
        <is>
          <t>ทรัพย์สินไทย</t>
        </is>
      </c>
      <c r="J2988" s="161" t="n">
        <v>23431</v>
      </c>
      <c r="L2988" s="8" t="inlineStr">
        <is>
          <t>ราคาที่ระบุเป็นก่อนหักส่วนลด</t>
        </is>
      </c>
    </row>
    <row r="2989">
      <c r="B2989" s="6" t="inlineStr">
        <is>
          <t>แม่สี Matrix  M-259</t>
        </is>
      </c>
      <c r="C2989" s="8" t="inlineStr">
        <is>
          <t>2กป.</t>
        </is>
      </c>
      <c r="D2989" s="9" t="n">
        <v>850</v>
      </c>
      <c r="F2989" s="8" t="n">
        <v>10</v>
      </c>
      <c r="H2989" s="9" t="n">
        <v>1700</v>
      </c>
      <c r="I2989" s="10" t="inlineStr">
        <is>
          <t>ทรัพย์สินไทย</t>
        </is>
      </c>
      <c r="J2989" s="161" t="n">
        <v>23460</v>
      </c>
      <c r="L2989" s="8" t="inlineStr">
        <is>
          <t>ราคาที่ระบุเป็นก่อนหักส่วนลด</t>
        </is>
      </c>
    </row>
    <row r="2990">
      <c r="B2990" s="6" t="inlineStr">
        <is>
          <t>แม่สี Matrix  M-259</t>
        </is>
      </c>
      <c r="C2990" s="8" t="inlineStr">
        <is>
          <t>3กป.</t>
        </is>
      </c>
      <c r="D2990" s="9" t="n">
        <v>850</v>
      </c>
      <c r="F2990" s="8" t="n">
        <v>10</v>
      </c>
      <c r="H2990" s="9" t="n">
        <v>2550</v>
      </c>
      <c r="I2990" s="10" t="inlineStr">
        <is>
          <t>ทรัพย์สินไทย</t>
        </is>
      </c>
      <c r="J2990" s="161" t="n">
        <v>23546</v>
      </c>
      <c r="L2990" s="8" t="inlineStr">
        <is>
          <t>ราคาที่ระบุเป็นก่อนหักส่วนลด</t>
        </is>
      </c>
    </row>
    <row r="2991">
      <c r="B2991" s="6" t="inlineStr">
        <is>
          <t>แม่สี Matrix  M-259</t>
        </is>
      </c>
      <c r="C2991" s="8" t="inlineStr">
        <is>
          <t>2กป.</t>
        </is>
      </c>
      <c r="D2991" s="9" t="n">
        <v>850</v>
      </c>
      <c r="F2991" s="8" t="n">
        <v>10</v>
      </c>
      <c r="H2991" s="9" t="n">
        <v>1700</v>
      </c>
      <c r="I2991" s="10" t="inlineStr">
        <is>
          <t>ทรัพย์สินไทย</t>
        </is>
      </c>
      <c r="J2991" s="161" t="n">
        <v>23584</v>
      </c>
      <c r="L2991" s="8" t="inlineStr">
        <is>
          <t>ราคาที่ระบุเป็นก่อนหักส่วนลด</t>
        </is>
      </c>
    </row>
    <row r="2992">
      <c r="B2992" s="6" t="inlineStr">
        <is>
          <t>แม่สี Matrix  M-259</t>
        </is>
      </c>
      <c r="C2992" s="8" t="inlineStr">
        <is>
          <t>3กป.</t>
        </is>
      </c>
      <c r="D2992" s="9" t="n">
        <v>850</v>
      </c>
      <c r="F2992" s="8" t="n">
        <v>10</v>
      </c>
      <c r="H2992" s="9" t="n">
        <v>2550</v>
      </c>
      <c r="I2992" s="10" t="inlineStr">
        <is>
          <t>ทรัพย์สินไทย</t>
        </is>
      </c>
      <c r="J2992" s="161" t="n">
        <v>23669</v>
      </c>
      <c r="K2992" s="8" t="inlineStr">
        <is>
          <t>IV6410254</t>
        </is>
      </c>
      <c r="L2992" s="8" t="inlineStr">
        <is>
          <t>ราคาที่ระบุเป็นก่อนหักส่วนลด</t>
        </is>
      </c>
    </row>
    <row r="2993">
      <c r="B2993" s="6" t="inlineStr">
        <is>
          <t>แม่สี Matrix  M-259</t>
        </is>
      </c>
      <c r="C2993" s="8" t="inlineStr">
        <is>
          <t>3กป.</t>
        </is>
      </c>
      <c r="D2993" s="9" t="n">
        <v>850</v>
      </c>
      <c r="F2993" s="8" t="n">
        <v>10</v>
      </c>
      <c r="H2993" s="9" t="n">
        <v>2550</v>
      </c>
      <c r="I2993" s="10" t="inlineStr">
        <is>
          <t>ทรัพย์สินไทย</t>
        </is>
      </c>
      <c r="J2993" s="161" t="n">
        <v>23704</v>
      </c>
      <c r="K2993" s="8" t="inlineStr">
        <is>
          <t>IV6411320</t>
        </is>
      </c>
      <c r="L2993" s="8" t="inlineStr">
        <is>
          <t>ราคาที่ระบุเป็นก่อนหักส่วนลด</t>
        </is>
      </c>
    </row>
    <row r="2994">
      <c r="B2994" s="6" t="inlineStr">
        <is>
          <t>แม่สี Matrix  M-259</t>
        </is>
      </c>
      <c r="C2994" s="8" t="inlineStr">
        <is>
          <t>1กป.</t>
        </is>
      </c>
      <c r="D2994" s="9" t="n">
        <v>850</v>
      </c>
      <c r="F2994" s="8" t="n">
        <v>10</v>
      </c>
      <c r="H2994" s="9" t="n">
        <v>850</v>
      </c>
      <c r="I2994" s="10" t="inlineStr">
        <is>
          <t>ทรัพย์สินไทย</t>
        </is>
      </c>
      <c r="J2994" s="161" t="n">
        <v>23819</v>
      </c>
      <c r="K2994" s="8" t="inlineStr">
        <is>
          <t>IV6503253</t>
        </is>
      </c>
      <c r="L2994" s="8" t="inlineStr">
        <is>
          <t>ราคาที่ระบุเป็นก่อนหักส่วนลด</t>
        </is>
      </c>
    </row>
    <row r="2995">
      <c r="B2995" s="6" t="inlineStr">
        <is>
          <t>แม่สี Matrix  M-259</t>
        </is>
      </c>
      <c r="C2995" s="8" t="inlineStr">
        <is>
          <t>2กป.</t>
        </is>
      </c>
      <c r="D2995" s="9" t="n">
        <v>850</v>
      </c>
      <c r="F2995" s="8" t="n">
        <v>10</v>
      </c>
      <c r="H2995" s="9" t="n">
        <v>1700</v>
      </c>
      <c r="I2995" s="10" t="inlineStr">
        <is>
          <t>ทรัพย์สินไทย</t>
        </is>
      </c>
      <c r="J2995" s="161" t="n">
        <v>23859</v>
      </c>
      <c r="K2995" s="8" t="inlineStr">
        <is>
          <t>IV6504236</t>
        </is>
      </c>
      <c r="L2995" s="8" t="inlineStr">
        <is>
          <t>ราคาที่ระบุเป็นก่อนหักส่วนลด</t>
        </is>
      </c>
    </row>
    <row r="2996">
      <c r="B2996" s="6" t="inlineStr">
        <is>
          <t>แม่สี Matrix  M-259</t>
        </is>
      </c>
      <c r="C2996" s="8" t="inlineStr">
        <is>
          <t>3กป.</t>
        </is>
      </c>
      <c r="D2996" s="9" t="n">
        <v>850</v>
      </c>
      <c r="F2996" s="8" t="n">
        <v>10</v>
      </c>
      <c r="H2996" s="9" t="n">
        <v>2550</v>
      </c>
      <c r="I2996" s="10" t="inlineStr">
        <is>
          <t>ทรัพย์สินไทย</t>
        </is>
      </c>
      <c r="J2996" s="161" t="n">
        <v>23887</v>
      </c>
      <c r="K2996" s="8" t="inlineStr">
        <is>
          <t>IV6505291</t>
        </is>
      </c>
      <c r="L2996" s="8" t="inlineStr">
        <is>
          <t>ราคาที่ระบุเป็นก่อนหักส่วนลด</t>
        </is>
      </c>
    </row>
    <row r="2997">
      <c r="B2997" s="6" t="inlineStr">
        <is>
          <t>แม่สี Matrix  M-259</t>
        </is>
      </c>
      <c r="C2997" s="8" t="inlineStr">
        <is>
          <t>1กป.</t>
        </is>
      </c>
      <c r="D2997" s="9" t="n">
        <v>950</v>
      </c>
      <c r="F2997" s="8" t="n">
        <v>10</v>
      </c>
      <c r="H2997" s="9" t="n">
        <v>950</v>
      </c>
      <c r="I2997" s="10" t="inlineStr">
        <is>
          <t>ทรัพย์สินไทย</t>
        </is>
      </c>
      <c r="J2997" s="161" t="n">
        <v>23930</v>
      </c>
      <c r="K2997" s="8" t="inlineStr">
        <is>
          <t>IV6507108</t>
        </is>
      </c>
      <c r="L2997" s="8" t="inlineStr">
        <is>
          <t>ราคาที่ระบุเป็นก่อนหักส่วนลด</t>
        </is>
      </c>
    </row>
    <row r="2998">
      <c r="B2998" s="6" t="inlineStr">
        <is>
          <t>แม่สี น้ำเงินอมฟ้า SC-259</t>
        </is>
      </c>
      <c r="C2998" s="8" t="inlineStr">
        <is>
          <t>2กป.</t>
        </is>
      </c>
      <c r="D2998" s="9" t="n">
        <v>750</v>
      </c>
      <c r="H2998" s="9" t="n">
        <v>1500</v>
      </c>
      <c r="I2998" s="10" t="inlineStr">
        <is>
          <t>บจก. วีที คัลเลอร์ โปร</t>
        </is>
      </c>
      <c r="J2998" s="161" t="n">
        <v>23978</v>
      </c>
      <c r="K2998" s="8" t="inlineStr">
        <is>
          <t>IV148-65</t>
        </is>
      </c>
      <c r="L2998" s="8" t="inlineStr">
        <is>
          <t>ราคาที่ระบุ ยังไม่รวมภาษี</t>
        </is>
      </c>
    </row>
    <row r="2999">
      <c r="B2999" s="6" t="inlineStr">
        <is>
          <t>แม่สี น้ำเงินอมฟ้า SC-259</t>
        </is>
      </c>
      <c r="C2999" s="8" t="inlineStr">
        <is>
          <t>2กป.</t>
        </is>
      </c>
      <c r="D2999" s="9" t="n">
        <v>750</v>
      </c>
      <c r="H2999" s="9" t="n">
        <v>1500</v>
      </c>
      <c r="I2999" s="10" t="inlineStr">
        <is>
          <t>บจก. วีที คัลเลอร์ โปร</t>
        </is>
      </c>
      <c r="J2999" s="161" t="n">
        <v>24005</v>
      </c>
      <c r="K2999" s="8" t="inlineStr">
        <is>
          <t>IV184-65</t>
        </is>
      </c>
      <c r="L2999" s="8" t="inlineStr">
        <is>
          <t>ราคาที่ระบุ ยังไม่รวมภาษี</t>
        </is>
      </c>
    </row>
    <row r="3000">
      <c r="B3000" s="6" t="inlineStr">
        <is>
          <t>แม่สี น้ำเงินอมฟ้า SC-259</t>
        </is>
      </c>
      <c r="C3000" s="8" t="inlineStr">
        <is>
          <t>2กป.</t>
        </is>
      </c>
      <c r="D3000" s="9" t="n">
        <v>750</v>
      </c>
      <c r="H3000" s="9" t="n">
        <v>1500</v>
      </c>
      <c r="I3000" s="10" t="inlineStr">
        <is>
          <t>บจก. วีที คัลเลอร์ โปร</t>
        </is>
      </c>
      <c r="J3000" s="161" t="n">
        <v>24040</v>
      </c>
      <c r="K3000" s="8" t="inlineStr">
        <is>
          <t>IV228-65</t>
        </is>
      </c>
      <c r="L3000" s="8" t="inlineStr">
        <is>
          <t>ราคาที่ระบุ ยังไม่รวมภาษี</t>
        </is>
      </c>
    </row>
    <row r="3001">
      <c r="B3001" s="6" t="inlineStr">
        <is>
          <t>แม่สี น้ำเงินอมฟ้า SC-259</t>
        </is>
      </c>
      <c r="C3001" s="8" t="inlineStr">
        <is>
          <t>3กป.</t>
        </is>
      </c>
      <c r="D3001" s="9" t="n">
        <v>750</v>
      </c>
      <c r="H3001" s="9" t="n">
        <v>2250</v>
      </c>
      <c r="I3001" s="10" t="inlineStr">
        <is>
          <t>บจก. วีที คัลเลอร์ โปร</t>
        </is>
      </c>
      <c r="J3001" s="161" t="n">
        <v>24069</v>
      </c>
      <c r="K3001" s="8" t="inlineStr">
        <is>
          <t>IV276-65</t>
        </is>
      </c>
      <c r="L3001" s="8" t="inlineStr">
        <is>
          <t>ราคาที่ระบุ ยังไม่รวมภาษี</t>
        </is>
      </c>
    </row>
    <row r="3002">
      <c r="B3002" s="6" t="inlineStr">
        <is>
          <t>แม่สี น้ำเงินอมฟ้า SC-259</t>
        </is>
      </c>
      <c r="C3002" s="8" t="inlineStr">
        <is>
          <t>1กป.</t>
        </is>
      </c>
      <c r="D3002" s="9" t="n">
        <v>750</v>
      </c>
      <c r="H3002" s="9" t="n">
        <v>750</v>
      </c>
      <c r="I3002" s="10" t="inlineStr">
        <is>
          <t>บจก. วีที คัลเลอร์ โปร</t>
        </is>
      </c>
      <c r="J3002" s="161" t="n">
        <v>24160</v>
      </c>
      <c r="K3002" s="8" t="inlineStr">
        <is>
          <t>IV113-66</t>
        </is>
      </c>
      <c r="L3002" s="8" t="inlineStr">
        <is>
          <t>ราคาที่ระบุ ยังไม่รวมภาษี</t>
        </is>
      </c>
    </row>
    <row r="3003">
      <c r="B3003" s="6" t="inlineStr">
        <is>
          <t>แม่สี น้ำเงินอมฟ้า SC-259</t>
        </is>
      </c>
      <c r="C3003" s="8" t="inlineStr">
        <is>
          <t>2กป.</t>
        </is>
      </c>
      <c r="D3003" s="9" t="n">
        <v>750</v>
      </c>
      <c r="H3003" s="9" t="n">
        <v>1500</v>
      </c>
      <c r="I3003" s="10" t="inlineStr">
        <is>
          <t>บจก. วีที คัลเลอร์ โปร</t>
        </is>
      </c>
      <c r="J3003" s="161" t="n">
        <v>24189</v>
      </c>
      <c r="K3003" s="8" t="inlineStr">
        <is>
          <t>IV178-66</t>
        </is>
      </c>
      <c r="L3003" s="8" t="inlineStr">
        <is>
          <t>ราคาที่ระบุ ยังไม่รวมภาษี</t>
        </is>
      </c>
    </row>
    <row r="3004">
      <c r="B3004" s="6" t="inlineStr">
        <is>
          <t>แม่สี น้ำเงินอมฟ้า Hybrid S259</t>
        </is>
      </c>
      <c r="C3004" s="8" t="inlineStr">
        <is>
          <t>2กป.</t>
        </is>
      </c>
      <c r="D3004" s="9" t="n">
        <v>750</v>
      </c>
      <c r="H3004" s="9" t="n">
        <v>1500</v>
      </c>
      <c r="I3004" s="10" t="inlineStr">
        <is>
          <t>บจก. วีที คัลเลอร์ โปร</t>
        </is>
      </c>
      <c r="J3004" s="161" t="n">
        <v>24315</v>
      </c>
      <c r="K3004" s="8" t="inlineStr">
        <is>
          <t>IV423-66</t>
        </is>
      </c>
      <c r="L3004" s="8" t="inlineStr">
        <is>
          <t>ราคาที่ระบุ ยังไม่รวมภาษี</t>
        </is>
      </c>
    </row>
    <row r="3005">
      <c r="B3005" s="6" t="inlineStr">
        <is>
          <t>แม่สี น้ำเงินอมฟ้า Hybrid S259</t>
        </is>
      </c>
      <c r="C3005" s="8" t="n">
        <v>1</v>
      </c>
      <c r="D3005" s="9" t="n">
        <v>750</v>
      </c>
      <c r="H3005" s="9">
        <f>SUM(D3005*C3005)</f>
        <v/>
      </c>
      <c r="I3005" s="10" t="inlineStr">
        <is>
          <t>บจก. วีที คัลเลอร์ โปร</t>
        </is>
      </c>
      <c r="J3005" s="161" t="n">
        <v>24340</v>
      </c>
      <c r="K3005" s="8" t="inlineStr">
        <is>
          <t>IV469-66</t>
        </is>
      </c>
      <c r="L3005" s="8" t="inlineStr">
        <is>
          <t>ราคาที่ระบุ ยังไม่รวมภาษี</t>
        </is>
      </c>
    </row>
    <row r="3006">
      <c r="B3006" s="6" t="inlineStr">
        <is>
          <t>แม่สี น้ำเงินอมฟ้า Hybrid S259</t>
        </is>
      </c>
      <c r="C3006" s="8" t="n">
        <v>2</v>
      </c>
      <c r="D3006" s="9" t="n">
        <v>750</v>
      </c>
      <c r="H3006" s="9">
        <f>SUM(D3006*C3006)</f>
        <v/>
      </c>
      <c r="I3006" s="10" t="inlineStr">
        <is>
          <t>บจก. วีที คัลเลอร์ โปร</t>
        </is>
      </c>
      <c r="J3006" s="161" t="n">
        <v>24359</v>
      </c>
      <c r="K3006" s="8" t="inlineStr">
        <is>
          <t>IV517-66</t>
        </is>
      </c>
      <c r="L3006" s="8" t="inlineStr">
        <is>
          <t>ราคาที่ระบุ ยังไม่รวมภาษี</t>
        </is>
      </c>
    </row>
    <row r="3007">
      <c r="B3007" s="6" t="inlineStr">
        <is>
          <t>แม่สี น้ำเงินอมฟ้า Hybrid S259</t>
        </is>
      </c>
      <c r="C3007" s="8" t="n">
        <v>1</v>
      </c>
      <c r="D3007" s="9" t="n">
        <v>750</v>
      </c>
      <c r="H3007" s="9">
        <f>SUM(D3007*C3007)</f>
        <v/>
      </c>
      <c r="I3007" s="10" t="inlineStr">
        <is>
          <t>บจก. วีที คัลเลอร์ โปร</t>
        </is>
      </c>
      <c r="J3007" s="161" t="n">
        <v>24396</v>
      </c>
      <c r="K3007" s="8" t="inlineStr">
        <is>
          <t>IV591-66</t>
        </is>
      </c>
      <c r="L3007" s="8" t="inlineStr">
        <is>
          <t>ราคาที่ระบุ ยังไม่รวมภาษี</t>
        </is>
      </c>
    </row>
    <row r="3008">
      <c r="B3008" s="6" t="inlineStr">
        <is>
          <t>แม่สี น้ำเงินอมฟ้า Hybrid S259</t>
        </is>
      </c>
      <c r="C3008" s="8" t="n">
        <v>2</v>
      </c>
      <c r="D3008" s="9" t="n">
        <v>750</v>
      </c>
      <c r="H3008" s="9">
        <f>SUM(D3008*C3008)</f>
        <v/>
      </c>
      <c r="I3008" s="10" t="inlineStr">
        <is>
          <t>บจก. วีที คัลเลอร์ โปร</t>
        </is>
      </c>
      <c r="J3008" s="161" t="n">
        <v>24401</v>
      </c>
      <c r="K3008" s="8" t="inlineStr">
        <is>
          <t>IV684-66</t>
        </is>
      </c>
      <c r="L3008" s="8" t="inlineStr">
        <is>
          <t>ราคาที่ระบุ ยังไม่รวมภาษี</t>
        </is>
      </c>
    </row>
    <row r="3009">
      <c r="B3009" s="6" t="inlineStr">
        <is>
          <t>แม่สี น้ำเงินอมฟ้า Hybrid S259</t>
        </is>
      </c>
      <c r="C3009" s="8" t="n">
        <v>2</v>
      </c>
      <c r="D3009" s="9" t="n">
        <v>750</v>
      </c>
      <c r="H3009" s="9">
        <f>SUM(D3009*C3009)</f>
        <v/>
      </c>
      <c r="I3009" s="10" t="inlineStr">
        <is>
          <t>บจก. วีที คัลเลอร์ โปร</t>
        </is>
      </c>
      <c r="J3009" s="161" t="n">
        <v>24462</v>
      </c>
      <c r="K3009" s="8" t="inlineStr">
        <is>
          <t>IV765-66</t>
        </is>
      </c>
      <c r="L3009" s="8" t="inlineStr">
        <is>
          <t>ราคาที่ระบุ ยังไม่รวมภาษี</t>
        </is>
      </c>
    </row>
    <row r="3010">
      <c r="B3010" s="6" t="inlineStr">
        <is>
          <t>แม่สี น้ำเงินอมฟ้า Hybrid S259</t>
        </is>
      </c>
      <c r="C3010" s="8" t="n">
        <v>1</v>
      </c>
      <c r="D3010" s="9" t="n">
        <v>750</v>
      </c>
      <c r="H3010" s="9">
        <f>SUM(D3010*C3010)</f>
        <v/>
      </c>
      <c r="I3010" s="10" t="inlineStr">
        <is>
          <t>บจก. วีที คัลเลอร์ โปร</t>
        </is>
      </c>
      <c r="J3010" s="161" t="n">
        <v>24496</v>
      </c>
      <c r="K3010" s="8" t="inlineStr">
        <is>
          <t>IV6701079</t>
        </is>
      </c>
      <c r="L3010" s="8" t="inlineStr">
        <is>
          <t>ราคาที่ระบุ ยังไม่รวมภาษี</t>
        </is>
      </c>
    </row>
    <row r="3011">
      <c r="B3011" s="6" t="inlineStr">
        <is>
          <t>แม่สี น้ำเงินอมฟ้า Hybrid S259</t>
        </is>
      </c>
      <c r="C3011" s="8" t="n">
        <v>2</v>
      </c>
      <c r="D3011" s="9" t="n">
        <v>750</v>
      </c>
      <c r="H3011" s="9">
        <f>SUM(D3011*C3011)</f>
        <v/>
      </c>
      <c r="I3011" s="10" t="inlineStr">
        <is>
          <t>บจก. วีที คัลเลอร์ โปร</t>
        </is>
      </c>
      <c r="J3011" s="161" t="n">
        <v>24584</v>
      </c>
      <c r="K3011" s="8" t="inlineStr">
        <is>
          <t>IV6704071</t>
        </is>
      </c>
      <c r="L3011" s="8" t="inlineStr">
        <is>
          <t>ราคาที่ระบุ ยังไม่รวมภาษี</t>
        </is>
      </c>
    </row>
    <row r="3012">
      <c r="B3012" s="6" t="inlineStr">
        <is>
          <t>แม่สี น้ำเงินอมฟ้า Hybrid S259</t>
        </is>
      </c>
      <c r="C3012" s="8" t="n">
        <v>2</v>
      </c>
      <c r="D3012" s="9" t="n">
        <v>750</v>
      </c>
      <c r="H3012" s="9">
        <f>SUM(D3012*C3012)</f>
        <v/>
      </c>
      <c r="I3012" s="10" t="inlineStr">
        <is>
          <t>บจก. วีที คัลเลอร์ โปร</t>
        </is>
      </c>
      <c r="J3012" s="161" t="n">
        <v>24613</v>
      </c>
      <c r="K3012" s="8" t="inlineStr">
        <is>
          <t>IV6705104</t>
        </is>
      </c>
      <c r="L3012" s="8" t="inlineStr">
        <is>
          <t>ราคาที่ระบุ ยังไม่รวมภาษี</t>
        </is>
      </c>
    </row>
    <row r="3013">
      <c r="B3013" s="6" t="inlineStr">
        <is>
          <t>แม่สี น้ำเงินอมฟ้า Hybrid S259</t>
        </is>
      </c>
      <c r="C3013" s="8" t="n">
        <v>2</v>
      </c>
      <c r="D3013" s="9" t="n">
        <v>750</v>
      </c>
      <c r="H3013" s="9">
        <f>SUM(D3013*C3013)</f>
        <v/>
      </c>
      <c r="I3013" s="10" t="inlineStr">
        <is>
          <t>บจก. วีที คัลเลอร์ โปร</t>
        </is>
      </c>
      <c r="J3013" s="161" t="n">
        <v>24550</v>
      </c>
      <c r="K3013" s="8" t="inlineStr">
        <is>
          <t>IV6703088</t>
        </is>
      </c>
      <c r="L3013" s="8" t="inlineStr">
        <is>
          <t>ราคาที่ระบุ ยังไม่รวมภาษี</t>
        </is>
      </c>
    </row>
    <row r="3014">
      <c r="B3014" s="6" t="inlineStr">
        <is>
          <t>แม่สี น้ำเงินอมฟ้า Hybrid S259</t>
        </is>
      </c>
      <c r="C3014" s="8" t="n">
        <v>2</v>
      </c>
      <c r="D3014" s="9" t="n">
        <v>750</v>
      </c>
      <c r="H3014" s="9">
        <f>SUM(D3014*C3014)</f>
        <v/>
      </c>
      <c r="I3014" s="10" t="inlineStr">
        <is>
          <t>บจก. วีที คัลเลอร์ โปร</t>
        </is>
      </c>
      <c r="J3014" s="161" t="n">
        <v>24647</v>
      </c>
      <c r="K3014" s="8" t="inlineStr">
        <is>
          <t>IV6706130</t>
        </is>
      </c>
      <c r="L3014" s="8" t="inlineStr">
        <is>
          <t>ราคาที่ระบุ ยังไม่รวมภาษี</t>
        </is>
      </c>
    </row>
    <row r="3015">
      <c r="B3015" s="6" t="inlineStr">
        <is>
          <t>แม่สี น้ำเงินอมฟ้า Hybrid S259</t>
        </is>
      </c>
      <c r="C3015" s="8" t="n">
        <v>2</v>
      </c>
      <c r="D3015" s="9" t="n">
        <v>750</v>
      </c>
      <c r="H3015" s="9">
        <f>SUM(D3015*C3015)</f>
        <v/>
      </c>
      <c r="I3015" s="10" t="inlineStr">
        <is>
          <t>บจก. วีที คัลเลอร์ โปร</t>
        </is>
      </c>
      <c r="J3015" s="161" t="n">
        <v>24707</v>
      </c>
      <c r="K3015" s="8" t="inlineStr">
        <is>
          <t>IV6708116</t>
        </is>
      </c>
      <c r="L3015" s="8" t="inlineStr">
        <is>
          <t>ราคาที่ระบุ ยังไม่รวมภาษี</t>
        </is>
      </c>
    </row>
    <row r="3016">
      <c r="B3016" s="6" t="inlineStr">
        <is>
          <t>แม่สี น้ำเงินอมฟ้า Hybrid S259</t>
        </is>
      </c>
      <c r="C3016" s="8" t="n">
        <v>2</v>
      </c>
      <c r="D3016" s="9" t="n">
        <v>750</v>
      </c>
      <c r="H3016" s="9">
        <f>SUM(D3016*C3016)</f>
        <v/>
      </c>
      <c r="I3016" s="10" t="inlineStr">
        <is>
          <t>บจก. วีที คัลเลอร์ โปร</t>
        </is>
      </c>
      <c r="J3016" s="161" t="n">
        <v>24739</v>
      </c>
      <c r="K3016" s="8" t="inlineStr">
        <is>
          <t>IV6709122</t>
        </is>
      </c>
      <c r="L3016" s="8" t="inlineStr">
        <is>
          <t>ราคาที่ระบุ ยังไม่รวมภาษี</t>
        </is>
      </c>
    </row>
    <row r="3017">
      <c r="B3017" s="6" t="inlineStr">
        <is>
          <t>แม่สี น้ำเงินอมฟ้า Hybrid S259</t>
        </is>
      </c>
      <c r="C3017" s="8" t="n">
        <v>2</v>
      </c>
      <c r="D3017" s="9" t="n">
        <v>750</v>
      </c>
      <c r="H3017" s="9">
        <f>SUM(D3017*C3017)</f>
        <v/>
      </c>
      <c r="I3017" s="10" t="inlineStr">
        <is>
          <t>บจก. วีที คัลเลอร์ โปร</t>
        </is>
      </c>
      <c r="J3017" s="161" t="n">
        <v>24795</v>
      </c>
      <c r="K3017" s="8" t="inlineStr">
        <is>
          <t>IV6711103</t>
        </is>
      </c>
      <c r="L3017" s="8" t="inlineStr">
        <is>
          <t>ราคาที่ระบุ ยังไม่รวมภาษี</t>
        </is>
      </c>
    </row>
    <row r="3018">
      <c r="B3018" s="6" t="inlineStr">
        <is>
          <t>แม่สี น้ำเงินอมฟ้า Hybrid S259</t>
        </is>
      </c>
      <c r="C3018" s="8" t="n">
        <v>2</v>
      </c>
      <c r="D3018" s="9" t="n">
        <v>802.5</v>
      </c>
      <c r="H3018" s="9">
        <f>SUM(D3018*C3018)</f>
        <v/>
      </c>
      <c r="I3018" s="10" t="inlineStr">
        <is>
          <t>บจก. วีที คัลเลอร์ โปร</t>
        </is>
      </c>
      <c r="J3018" s="161" t="n">
        <v>24858</v>
      </c>
      <c r="K3018" s="8" t="inlineStr">
        <is>
          <t>IV6801106</t>
        </is>
      </c>
      <c r="L3018" s="8" t="inlineStr">
        <is>
          <t>ราคารวม VAT แล้ว</t>
        </is>
      </c>
    </row>
    <row r="3019">
      <c r="B3019" s="6" t="inlineStr">
        <is>
          <t>แม่สี น้ำเงินอมฟ้า Hybrid S259</t>
        </is>
      </c>
      <c r="C3019" s="8" t="n">
        <v>2</v>
      </c>
      <c r="D3019" s="9" t="n">
        <v>750</v>
      </c>
      <c r="E3019" s="9">
        <f>SUM(C3019*D3019)</f>
        <v/>
      </c>
      <c r="H3019" s="9">
        <f>SUM(E3019*O3019/N3019)</f>
        <v/>
      </c>
      <c r="I3019" s="10" t="inlineStr">
        <is>
          <t>บจก. วีที คัลเลอร์ โปร</t>
        </is>
      </c>
      <c r="J3019" s="161" t="n">
        <v>24979</v>
      </c>
      <c r="K3019" s="8" t="inlineStr">
        <is>
          <t>IV6805147</t>
        </is>
      </c>
      <c r="N3019" s="6" t="n">
        <v>100</v>
      </c>
      <c r="O3019" s="6" t="n">
        <v>107</v>
      </c>
    </row>
    <row r="3020">
      <c r="B3020" s="6" t="inlineStr">
        <is>
          <t>แม่สี น้ำเงินอมฟ้า Hybrid S259</t>
        </is>
      </c>
      <c r="C3020" s="8" t="n">
        <v>2</v>
      </c>
      <c r="D3020" s="9" t="n">
        <v>750</v>
      </c>
      <c r="E3020" s="9">
        <f>SUM(D3020*C3020)</f>
        <v/>
      </c>
      <c r="F3020" s="8" t="n">
        <v>0.07000000000000001</v>
      </c>
      <c r="G3020" s="10" t="inlineStr">
        <is>
          <t>รวม VAT =</t>
        </is>
      </c>
      <c r="H3020" s="9">
        <f>SUM(E3020+N3020)</f>
        <v/>
      </c>
      <c r="I3020" s="10" t="inlineStr">
        <is>
          <t>บจก. วีที คัลเลอร์ โปร</t>
        </is>
      </c>
      <c r="J3020" s="161" t="n">
        <v>25015</v>
      </c>
      <c r="K3020" s="8" t="inlineStr">
        <is>
          <t>IV6806175</t>
        </is>
      </c>
      <c r="N3020" s="6">
        <f>SUM(E3020*F3020)</f>
        <v/>
      </c>
    </row>
    <row r="3021">
      <c r="B3021" s="6" t="inlineStr">
        <is>
          <t>แม่สี น้ำเงินอมฟ้า Hybrid S259</t>
        </is>
      </c>
      <c r="C3021" s="8" t="n">
        <v>4</v>
      </c>
      <c r="D3021" s="9" t="n">
        <v>750</v>
      </c>
      <c r="E3021" s="9">
        <f>SUM(D3021*C3021)</f>
        <v/>
      </c>
      <c r="F3021" s="8" t="n">
        <v>0.07000000000000001</v>
      </c>
      <c r="G3021" s="10" t="inlineStr">
        <is>
          <t>รวม VAT =</t>
        </is>
      </c>
      <c r="H3021" s="9">
        <f>SUM(E3021+N3021)</f>
        <v/>
      </c>
      <c r="I3021" s="10" t="inlineStr">
        <is>
          <t>บจก. วีที คัลเลอร์ โปร</t>
        </is>
      </c>
      <c r="J3021" s="161" t="n">
        <v>25042</v>
      </c>
      <c r="K3021" s="8" t="inlineStr">
        <is>
          <t>IV6807180</t>
        </is>
      </c>
      <c r="N3021" s="6">
        <f>SUM(E3021*F3021)</f>
        <v/>
      </c>
    </row>
    <row r="3022">
      <c r="B3022" s="6" t="inlineStr">
        <is>
          <t>แม่สี น้ำเงินอมฟ้า Hybrid S259</t>
        </is>
      </c>
      <c r="C3022" s="8" t="n">
        <v>2</v>
      </c>
      <c r="D3022" s="9" t="n">
        <v>750</v>
      </c>
      <c r="E3022" s="9">
        <f>SUM(D3022*C3022)</f>
        <v/>
      </c>
      <c r="F3022" s="8" t="n">
        <v>0.07000000000000001</v>
      </c>
      <c r="G3022" s="10" t="inlineStr">
        <is>
          <t>รวม VAT =</t>
        </is>
      </c>
      <c r="H3022" s="9">
        <f>SUM(E3022+N3022)</f>
        <v/>
      </c>
      <c r="I3022" s="10" t="inlineStr">
        <is>
          <t>บจก. วีที คัลเลอร์ โปร</t>
        </is>
      </c>
      <c r="J3022" s="161" t="n">
        <v>25073</v>
      </c>
      <c r="K3022" s="8" t="inlineStr">
        <is>
          <t>IV6808151</t>
        </is>
      </c>
      <c r="N3022" s="6">
        <f>SUM(E3022*F3022)</f>
        <v/>
      </c>
    </row>
    <row r="3023">
      <c r="B3023" s="6" t="inlineStr">
        <is>
          <t>แม่สี น้ำเงินอมฟ้า Hybrid S259</t>
        </is>
      </c>
      <c r="C3023" s="8" t="n">
        <v>2</v>
      </c>
      <c r="D3023" s="9" t="n">
        <v>750</v>
      </c>
      <c r="E3023" s="9">
        <f>SUM(D3023*C3023)</f>
        <v/>
      </c>
      <c r="F3023" s="8" t="n">
        <v>0.07000000000000001</v>
      </c>
      <c r="G3023" s="10" t="inlineStr">
        <is>
          <t>รวม VAT =</t>
        </is>
      </c>
      <c r="H3023" s="9">
        <f>SUM(E3023+N3023)</f>
        <v/>
      </c>
      <c r="I3023" s="10" t="inlineStr">
        <is>
          <t>บจก. วีที คัลเลอร์ โปร</t>
        </is>
      </c>
      <c r="J3023" s="161" t="n">
        <v>25112</v>
      </c>
      <c r="K3023" s="8" t="inlineStr">
        <is>
          <t>IV6810015</t>
        </is>
      </c>
      <c r="N3023" s="6">
        <f>SUM(E3023*F3023)</f>
        <v/>
      </c>
    </row>
    <row r="3024">
      <c r="A3024" s="70" t="n"/>
      <c r="B3024" s="6" t="inlineStr">
        <is>
          <t>แม่สี น้ำเงินอมฟ้า Hybrid S259</t>
        </is>
      </c>
      <c r="C3024" s="8" t="n">
        <v>2</v>
      </c>
      <c r="D3024" s="9" t="n">
        <v>750</v>
      </c>
      <c r="E3024" s="9">
        <f>SUM(C3024*D3024)</f>
        <v/>
      </c>
      <c r="H3024" s="9">
        <f>SUM(E3024*107/100)</f>
        <v/>
      </c>
      <c r="I3024" s="10" t="inlineStr">
        <is>
          <t>บจก. วีที คัลเลอร์ โปร</t>
        </is>
      </c>
      <c r="J3024" s="161" t="n">
        <v>25127</v>
      </c>
      <c r="K3024" s="8" t="inlineStr">
        <is>
          <t>IV6810110</t>
        </is>
      </c>
      <c r="L3024" s="8" t="inlineStr">
        <is>
          <t>ราคาที่ลง ยังไม่รวมภาษี</t>
        </is>
      </c>
    </row>
    <row r="3025">
      <c r="B3025" s="6" t="inlineStr">
        <is>
          <t>แม่สี น้ำเงินอมฟ้า Hybrid S259</t>
        </is>
      </c>
      <c r="C3025" s="8" t="n">
        <v>3</v>
      </c>
      <c r="D3025" s="9" t="n">
        <v>750</v>
      </c>
      <c r="E3025" s="9">
        <f>SUM(D3025*C3025)</f>
        <v/>
      </c>
      <c r="F3025" s="8" t="n">
        <v>0.07000000000000001</v>
      </c>
      <c r="G3025" s="10" t="inlineStr">
        <is>
          <t>รวม VAT =</t>
        </is>
      </c>
      <c r="H3025" s="9">
        <f>SUM(E3025+N3025)</f>
        <v/>
      </c>
      <c r="I3025" s="10" t="inlineStr">
        <is>
          <t>บจก. วีที คัลเลอร์ โปร</t>
        </is>
      </c>
      <c r="J3025" s="161" t="n">
        <v>25145</v>
      </c>
      <c r="K3025" s="8" t="inlineStr">
        <is>
          <t>IV6811023</t>
        </is>
      </c>
      <c r="L3025" s="8" t="inlineStr">
        <is>
          <t>ราคาที่ระบุ ยังไม่รวม VAT7%</t>
        </is>
      </c>
      <c r="N3025" s="6">
        <f>SUM(E3025*F3025)</f>
        <v/>
      </c>
    </row>
    <row r="3026">
      <c r="B3026" s="6" t="inlineStr">
        <is>
          <t>แม่สี น้ำเงินอมฟ้า Hybrid S259</t>
        </is>
      </c>
      <c r="C3026" s="8" t="n">
        <v>4</v>
      </c>
      <c r="D3026" s="9" t="n">
        <v>750</v>
      </c>
      <c r="E3026" s="9">
        <f>SUM(D3026*C3026)</f>
        <v/>
      </c>
      <c r="F3026" s="8" t="n">
        <v>0.07000000000000001</v>
      </c>
      <c r="G3026" s="10" t="inlineStr">
        <is>
          <t>รวม VAT =</t>
        </is>
      </c>
      <c r="H3026" s="9">
        <f>SUM(E3026+N3026)</f>
        <v/>
      </c>
      <c r="I3026" s="10" t="inlineStr">
        <is>
          <t>บจก. วีที คัลเลอร์ โปร</t>
        </is>
      </c>
      <c r="J3026" s="161" t="n">
        <v>25168</v>
      </c>
      <c r="K3026" s="8" t="inlineStr">
        <is>
          <t>IV6811188</t>
        </is>
      </c>
      <c r="N3026" s="6">
        <f>SUM(E3026*F3026)</f>
        <v/>
      </c>
    </row>
    <row r="3028">
      <c r="B3028" s="6" t="inlineStr">
        <is>
          <t>แม่สี น้ำเงินเข้มอมแดง Hybrid S285</t>
        </is>
      </c>
      <c r="C3028" s="8" t="n">
        <v>1</v>
      </c>
      <c r="D3028" s="9" t="n">
        <v>750</v>
      </c>
      <c r="H3028" s="9">
        <f>SUM(D3028*C3028)</f>
        <v/>
      </c>
      <c r="I3028" s="10" t="inlineStr">
        <is>
          <t>บจก. วีที คัลเลอร์ โปร</t>
        </is>
      </c>
      <c r="J3028" s="161" t="n">
        <v>24359</v>
      </c>
      <c r="K3028" s="8" t="inlineStr">
        <is>
          <t>IV517-66</t>
        </is>
      </c>
      <c r="L3028" s="8" t="inlineStr">
        <is>
          <t>ราคาที่ระบุ ยังไม่รวมภาษี</t>
        </is>
      </c>
    </row>
    <row r="3029">
      <c r="B3029" s="6" t="inlineStr">
        <is>
          <t>แม่สี น้ำเงินเข้มอมแดง Hybrid S285</t>
        </is>
      </c>
      <c r="C3029" s="8" t="n">
        <v>1</v>
      </c>
      <c r="D3029" s="9" t="n">
        <v>750</v>
      </c>
      <c r="H3029" s="9">
        <f>SUM(D3029*C3029)</f>
        <v/>
      </c>
      <c r="I3029" s="10" t="inlineStr">
        <is>
          <t>บจก. วีที คัลเลอร์ โปร</t>
        </is>
      </c>
      <c r="J3029" s="161" t="n">
        <v>24496</v>
      </c>
      <c r="K3029" s="8" t="inlineStr">
        <is>
          <t>IV6701079</t>
        </is>
      </c>
      <c r="L3029" s="8" t="inlineStr">
        <is>
          <t>ราคาที่ระบุ ยังไม่รวมภาษี</t>
        </is>
      </c>
    </row>
    <row r="3030">
      <c r="B3030" s="6" t="inlineStr">
        <is>
          <t>แม่สี น้ำเงินเข้มอมแดง Hybrid S285</t>
        </is>
      </c>
      <c r="C3030" s="8" t="n">
        <v>1</v>
      </c>
      <c r="D3030" s="9" t="n">
        <v>750</v>
      </c>
      <c r="H3030" s="9">
        <f>SUM(D3030*C3030)</f>
        <v/>
      </c>
      <c r="I3030" s="10" t="inlineStr">
        <is>
          <t>บจก. วีที คัลเลอร์ โปร</t>
        </is>
      </c>
      <c r="J3030" s="161" t="n">
        <v>24613</v>
      </c>
      <c r="K3030" s="8" t="inlineStr">
        <is>
          <t>IV6705104</t>
        </is>
      </c>
      <c r="L3030" s="8" t="inlineStr">
        <is>
          <t>ราคาที่ระบุ ยังไม่รวมภาษี</t>
        </is>
      </c>
    </row>
    <row r="3031">
      <c r="B3031" s="6" t="inlineStr">
        <is>
          <t>แม่สี น้ำเงินเข้มอมแดง Hybrid S285</t>
        </is>
      </c>
      <c r="C3031" s="8" t="n">
        <v>1</v>
      </c>
      <c r="D3031" s="9" t="n">
        <v>750</v>
      </c>
      <c r="H3031" s="9">
        <f>SUM(D3031*C3031)</f>
        <v/>
      </c>
      <c r="I3031" s="10" t="inlineStr">
        <is>
          <t>บจก. วีที คัลเลอร์ โปร</t>
        </is>
      </c>
      <c r="J3031" s="161" t="n">
        <v>24707</v>
      </c>
      <c r="K3031" s="8" t="inlineStr">
        <is>
          <t>IV6708116</t>
        </is>
      </c>
      <c r="L3031" s="8" t="inlineStr">
        <is>
          <t>ราคาที่ระบุ ยังไม่รวมภาษี</t>
        </is>
      </c>
    </row>
    <row r="3032">
      <c r="B3032" s="6" t="inlineStr">
        <is>
          <t>แม่สี น้ำเงินเข้มอมแดง Hybrid S285</t>
        </is>
      </c>
      <c r="C3032" s="8" t="n">
        <v>4</v>
      </c>
      <c r="D3032" s="9" t="n">
        <v>750</v>
      </c>
      <c r="E3032" s="9">
        <f>SUM(D3032*C3032)</f>
        <v/>
      </c>
      <c r="F3032" s="8" t="n">
        <v>0.07000000000000001</v>
      </c>
      <c r="G3032" s="10" t="inlineStr">
        <is>
          <t>รวม VAT =</t>
        </is>
      </c>
      <c r="H3032" s="9">
        <f>SUM(E3032+N3032)</f>
        <v/>
      </c>
      <c r="I3032" s="10" t="inlineStr">
        <is>
          <t>บจก. วีที คัลเลอร์ โปร</t>
        </is>
      </c>
      <c r="J3032" s="161" t="n">
        <v>25043</v>
      </c>
      <c r="K3032" s="8" t="inlineStr">
        <is>
          <t>IV6807194</t>
        </is>
      </c>
      <c r="N3032" s="6">
        <f>SUM(E3032*F3032)</f>
        <v/>
      </c>
    </row>
    <row r="3033">
      <c r="B3033" s="6" t="inlineStr">
        <is>
          <t>แม่สี น้ำเงินเข้มอมแดง Hybrid S285</t>
        </is>
      </c>
      <c r="C3033" s="8" t="n">
        <v>2</v>
      </c>
      <c r="D3033" s="9" t="n">
        <v>750</v>
      </c>
      <c r="E3033" s="9">
        <f>SUM(D3033*C3033)</f>
        <v/>
      </c>
      <c r="F3033" s="8" t="n">
        <v>0.07000000000000001</v>
      </c>
      <c r="G3033" s="10" t="inlineStr">
        <is>
          <t>รวม VAT =</t>
        </is>
      </c>
      <c r="H3033" s="9">
        <f>SUM(E3033+N3033)</f>
        <v/>
      </c>
      <c r="I3033" s="10" t="inlineStr">
        <is>
          <t>บจก. วีที คัลเลอร์ โปร</t>
        </is>
      </c>
      <c r="J3033" s="161" t="n">
        <v>25112</v>
      </c>
      <c r="K3033" s="8" t="inlineStr">
        <is>
          <t>IV6810015</t>
        </is>
      </c>
      <c r="N3033" s="6">
        <f>SUM(E3033*F3033)</f>
        <v/>
      </c>
    </row>
    <row r="3034">
      <c r="A3034" s="70" t="n"/>
      <c r="B3034" s="6" t="inlineStr">
        <is>
          <t>แม่สี น้ำเงินเข้มอมแดง Hybrid S285</t>
        </is>
      </c>
      <c r="C3034" s="8" t="n">
        <v>4</v>
      </c>
      <c r="D3034" s="9" t="n">
        <v>750</v>
      </c>
      <c r="E3034" s="9">
        <f>SUM(C3034*D3034)</f>
        <v/>
      </c>
      <c r="H3034" s="9">
        <f>SUM(E3034*107/100)</f>
        <v/>
      </c>
      <c r="I3034" s="10" t="inlineStr">
        <is>
          <t>บจก. วีที คัลเลอร์ โปร</t>
        </is>
      </c>
      <c r="J3034" s="161" t="n">
        <v>25127</v>
      </c>
      <c r="K3034" s="8" t="inlineStr">
        <is>
          <t>IV6810110</t>
        </is>
      </c>
      <c r="L3034" s="8" t="inlineStr">
        <is>
          <t>ราคาที่ลง ยังไม่รวมภาษี</t>
        </is>
      </c>
    </row>
    <row r="3036">
      <c r="B3036" s="6" t="inlineStr">
        <is>
          <t>แม่สี Matrix  M-261</t>
        </is>
      </c>
      <c r="C3036" s="8" t="inlineStr">
        <is>
          <t>2กป.</t>
        </is>
      </c>
      <c r="D3036" s="9" t="n">
        <v>930</v>
      </c>
      <c r="F3036" s="8" t="n">
        <v>10</v>
      </c>
      <c r="H3036" s="9" t="n">
        <v>1860</v>
      </c>
      <c r="I3036" s="10" t="inlineStr">
        <is>
          <t>ทรัพย์สินไทย</t>
        </is>
      </c>
      <c r="J3036" s="161" t="n">
        <v>23094</v>
      </c>
      <c r="L3036" s="8" t="inlineStr">
        <is>
          <t>ราคาที่ระบุเป็นก่อนหักส่วนลด</t>
        </is>
      </c>
    </row>
    <row r="3037">
      <c r="B3037" s="6" t="inlineStr">
        <is>
          <t>แม่สี Matrix  M-261</t>
        </is>
      </c>
      <c r="C3037" s="8" t="inlineStr">
        <is>
          <t>2กป.</t>
        </is>
      </c>
      <c r="D3037" s="9" t="n">
        <v>930</v>
      </c>
      <c r="F3037" s="8" t="n">
        <v>10</v>
      </c>
      <c r="H3037" s="9" t="n">
        <v>1860</v>
      </c>
      <c r="I3037" s="10" t="inlineStr">
        <is>
          <t>ทรัพย์สินไทย</t>
        </is>
      </c>
      <c r="J3037" s="161" t="n">
        <v>23277</v>
      </c>
      <c r="L3037" s="8" t="inlineStr">
        <is>
          <t>ราคาที่ระบุเป็นก่อนหักส่วนลด</t>
        </is>
      </c>
    </row>
    <row r="3038">
      <c r="B3038" s="6" t="inlineStr">
        <is>
          <t>แม่สี Matrix  M-261</t>
        </is>
      </c>
      <c r="C3038" s="8" t="inlineStr">
        <is>
          <t>2กป.</t>
        </is>
      </c>
      <c r="D3038" s="9" t="n">
        <v>930</v>
      </c>
      <c r="F3038" s="8" t="n">
        <v>10</v>
      </c>
      <c r="H3038" s="9" t="n">
        <v>1860</v>
      </c>
      <c r="I3038" s="10" t="inlineStr">
        <is>
          <t>ทรัพย์สินไทย</t>
        </is>
      </c>
      <c r="J3038" s="161" t="n">
        <v>23398</v>
      </c>
      <c r="L3038" s="8" t="inlineStr">
        <is>
          <t>ราคาที่ระบุเป็นก่อนหักส่วนลด</t>
        </is>
      </c>
    </row>
    <row r="3039">
      <c r="B3039" s="6" t="inlineStr">
        <is>
          <t>แม่สี Matrix  M-261</t>
        </is>
      </c>
      <c r="C3039" s="8" t="inlineStr">
        <is>
          <t>2กป.</t>
        </is>
      </c>
      <c r="D3039" s="9" t="n">
        <v>930</v>
      </c>
      <c r="F3039" s="8" t="n">
        <v>10</v>
      </c>
      <c r="H3039" s="9" t="n">
        <v>1860</v>
      </c>
      <c r="I3039" s="10" t="inlineStr">
        <is>
          <t>ทรัพย์สินไทย</t>
        </is>
      </c>
      <c r="J3039" s="161" t="n">
        <v>23430</v>
      </c>
      <c r="L3039" s="8" t="inlineStr">
        <is>
          <t>ราคาที่ระบุเป็นก่อนหักส่วนลด</t>
        </is>
      </c>
    </row>
    <row r="3040">
      <c r="B3040" s="6" t="inlineStr">
        <is>
          <t>แม่สี Matrix  M-261</t>
        </is>
      </c>
      <c r="C3040" s="8" t="inlineStr">
        <is>
          <t>2กป.</t>
        </is>
      </c>
      <c r="D3040" s="9" t="n">
        <v>930</v>
      </c>
      <c r="F3040" s="8" t="n">
        <v>10</v>
      </c>
      <c r="H3040" s="9" t="n">
        <v>1860</v>
      </c>
      <c r="I3040" s="10" t="inlineStr">
        <is>
          <t>ทรัพย์สินไทย</t>
        </is>
      </c>
      <c r="J3040" s="161" t="n">
        <v>23465</v>
      </c>
      <c r="L3040" s="8" t="inlineStr">
        <is>
          <t>ราคาที่ระบุเป็นก่อนหักส่วนลด</t>
        </is>
      </c>
    </row>
    <row r="3041">
      <c r="B3041" s="6" t="inlineStr">
        <is>
          <t>แม่สี Matrix  M-261</t>
        </is>
      </c>
      <c r="C3041" s="8" t="inlineStr">
        <is>
          <t>2กป.</t>
        </is>
      </c>
      <c r="D3041" s="9" t="n">
        <v>930</v>
      </c>
      <c r="F3041" s="8" t="n">
        <v>10</v>
      </c>
      <c r="H3041" s="9" t="n">
        <v>1860</v>
      </c>
      <c r="I3041" s="10" t="inlineStr">
        <is>
          <t>ทรัพย์สินไทย</t>
        </is>
      </c>
      <c r="J3041" s="161" t="n">
        <v>23546</v>
      </c>
      <c r="L3041" s="8" t="inlineStr">
        <is>
          <t>ราคาที่ระบุเป็นก่อนหักส่วนลด</t>
        </is>
      </c>
    </row>
    <row r="3042">
      <c r="B3042" s="6" t="inlineStr">
        <is>
          <t>แม่สี Matrix  M-261</t>
        </is>
      </c>
      <c r="C3042" s="8" t="inlineStr">
        <is>
          <t>2กป.</t>
        </is>
      </c>
      <c r="D3042" s="9" t="n">
        <v>930</v>
      </c>
      <c r="F3042" s="8" t="n">
        <v>10</v>
      </c>
      <c r="H3042" s="9" t="n">
        <v>1860</v>
      </c>
      <c r="I3042" s="10" t="inlineStr">
        <is>
          <t>ทรัพย์สินไทย</t>
        </is>
      </c>
      <c r="J3042" s="161" t="n">
        <v>23733</v>
      </c>
      <c r="K3042" s="8" t="inlineStr">
        <is>
          <t>IV6412302</t>
        </is>
      </c>
      <c r="L3042" s="8" t="inlineStr">
        <is>
          <t>ราคาที่ระบุเป็นก่อนหักส่วนลด</t>
        </is>
      </c>
    </row>
    <row r="3044">
      <c r="B3044" s="6" t="inlineStr">
        <is>
          <t>แม่สี แดงสดเนื้อมาก Hybrid S261</t>
        </is>
      </c>
      <c r="C3044" s="8" t="n">
        <v>2</v>
      </c>
      <c r="D3044" s="9" t="n">
        <v>800</v>
      </c>
      <c r="H3044" s="9">
        <f>SUM(D3044*C3044)</f>
        <v/>
      </c>
      <c r="I3044" s="10" t="inlineStr">
        <is>
          <t>บจก. วีที คัลเลอร์ โปร</t>
        </is>
      </c>
      <c r="J3044" s="161" t="n">
        <v>24340</v>
      </c>
      <c r="K3044" s="8" t="inlineStr">
        <is>
          <t>IV469-66</t>
        </is>
      </c>
      <c r="L3044" s="8" t="inlineStr">
        <is>
          <t>ราคาที่ระบุ ยังไม่รวมภาษี</t>
        </is>
      </c>
    </row>
    <row r="3045">
      <c r="B3045" s="6" t="inlineStr">
        <is>
          <t>แม่สี แดงสดเนื้อมาก Hybrid S261</t>
        </is>
      </c>
      <c r="C3045" s="8" t="n">
        <v>1</v>
      </c>
      <c r="D3045" s="9" t="n">
        <v>856</v>
      </c>
      <c r="H3045" s="9">
        <f>SUM(D3045*C3045)</f>
        <v/>
      </c>
      <c r="I3045" s="10" t="inlineStr">
        <is>
          <t>บจก. วีที คัลเลอร์ โปร</t>
        </is>
      </c>
      <c r="J3045" s="161" t="n">
        <v>24892</v>
      </c>
      <c r="K3045" s="8" t="inlineStr">
        <is>
          <t>IV6802144</t>
        </is>
      </c>
      <c r="L3045" s="8" t="inlineStr">
        <is>
          <t>ราคารวม VAT แล้ว</t>
        </is>
      </c>
    </row>
    <row r="3047">
      <c r="B3047" s="6" t="inlineStr">
        <is>
          <t>แม่สี Matrix  M-270 (สีขาว) -- แกลลอนละ 4ลิตร</t>
        </is>
      </c>
      <c r="C3047" s="8" t="inlineStr">
        <is>
          <t>3กล.</t>
        </is>
      </c>
      <c r="D3047" s="9" t="n">
        <v>3240</v>
      </c>
      <c r="F3047" s="8" t="n">
        <v>10</v>
      </c>
      <c r="H3047" s="9" t="n">
        <v>9720</v>
      </c>
      <c r="I3047" s="10" t="inlineStr">
        <is>
          <t>ทรัพย์สินไทย</t>
        </is>
      </c>
      <c r="J3047" s="161" t="n">
        <v>22781</v>
      </c>
      <c r="L3047" s="8" t="inlineStr">
        <is>
          <t>ราคาที่ระบุเป็นก่อนหักส่วนลด</t>
        </is>
      </c>
    </row>
    <row r="3048">
      <c r="B3048" s="6" t="inlineStr">
        <is>
          <t>แม่สี Matrix  M-270 (สีขาว) -- แกลลอนละ 4ลิตร</t>
        </is>
      </c>
      <c r="C3048" s="8" t="inlineStr">
        <is>
          <t>8กล.</t>
        </is>
      </c>
      <c r="D3048" s="9" t="n">
        <v>3240</v>
      </c>
      <c r="F3048" s="8" t="n">
        <v>10</v>
      </c>
      <c r="H3048" s="9" t="n">
        <v>25920</v>
      </c>
      <c r="I3048" s="10" t="inlineStr">
        <is>
          <t>ทรัพย์สินไทย</t>
        </is>
      </c>
      <c r="J3048" s="161" t="n">
        <v>22790</v>
      </c>
      <c r="L3048" s="8" t="inlineStr">
        <is>
          <t>ราคาที่ระบุเป็นก่อนหักส่วนลด</t>
        </is>
      </c>
    </row>
    <row r="3049">
      <c r="B3049" s="6" t="inlineStr">
        <is>
          <t>แม่สี Matrix  M-270 (สีขาว) -- แกลลอนละ 4ลิตร</t>
        </is>
      </c>
      <c r="C3049" s="8" t="inlineStr">
        <is>
          <t>3กล.</t>
        </is>
      </c>
      <c r="D3049" s="9" t="n">
        <v>3240</v>
      </c>
      <c r="F3049" s="8" t="n">
        <v>10</v>
      </c>
      <c r="H3049" s="9" t="n">
        <v>9720</v>
      </c>
      <c r="I3049" s="10" t="inlineStr">
        <is>
          <t>ทรัพย์สินไทย</t>
        </is>
      </c>
      <c r="J3049" s="161" t="n">
        <v>22429</v>
      </c>
      <c r="L3049" s="8" t="inlineStr">
        <is>
          <t>ราคาที่ระบุเป็นก่อนหักส่วนลด</t>
        </is>
      </c>
    </row>
    <row r="3050">
      <c r="B3050" s="6" t="inlineStr">
        <is>
          <t>แม่สี Matrix  M-270 (สีขาว) -- แกลลอนละ 4ลิตร</t>
        </is>
      </c>
      <c r="C3050" s="8" t="inlineStr">
        <is>
          <t>8กล.</t>
        </is>
      </c>
      <c r="D3050" s="9" t="n">
        <v>3240</v>
      </c>
      <c r="F3050" s="8" t="n">
        <v>10</v>
      </c>
      <c r="H3050" s="9" t="n">
        <v>25920</v>
      </c>
      <c r="I3050" s="10" t="inlineStr">
        <is>
          <t>ทรัพย์สินไทย</t>
        </is>
      </c>
      <c r="J3050" s="161" t="n">
        <v>22821</v>
      </c>
      <c r="L3050" s="8" t="inlineStr">
        <is>
          <t>ราคาที่ระบุเป็นก่อนหักส่วนลด</t>
        </is>
      </c>
    </row>
    <row r="3051">
      <c r="B3051" s="6" t="inlineStr">
        <is>
          <t>แม่สี Matrix  M-270 (สีขาว) -- แกลลอนละ 4ลิตร</t>
        </is>
      </c>
      <c r="C3051" s="8" t="inlineStr">
        <is>
          <t>9กล.</t>
        </is>
      </c>
      <c r="D3051" s="9" t="n">
        <v>3240</v>
      </c>
      <c r="F3051" s="8" t="n">
        <v>10</v>
      </c>
      <c r="H3051" s="9" t="n">
        <v>29160</v>
      </c>
      <c r="I3051" s="10" t="inlineStr">
        <is>
          <t>ทรัพย์สินไทย</t>
        </is>
      </c>
      <c r="J3051" s="161" t="n">
        <v>22851</v>
      </c>
      <c r="L3051" s="8" t="inlineStr">
        <is>
          <t>ราคาที่ระบุเป็นก่อนหักส่วนลด</t>
        </is>
      </c>
    </row>
    <row r="3052">
      <c r="B3052" s="6" t="inlineStr">
        <is>
          <t>แม่สี Matrix  M-270 (สีขาว) -- แกลลอนละ 4ลิตร</t>
        </is>
      </c>
      <c r="C3052" s="8" t="inlineStr">
        <is>
          <t>5กล.</t>
        </is>
      </c>
      <c r="D3052" s="9" t="n">
        <v>3240</v>
      </c>
      <c r="F3052" s="8" t="n">
        <v>10</v>
      </c>
      <c r="H3052" s="9" t="n">
        <v>16200</v>
      </c>
      <c r="I3052" s="10" t="inlineStr">
        <is>
          <t>ทรัพย์สินไทย</t>
        </is>
      </c>
      <c r="J3052" s="161" t="n">
        <v>22877</v>
      </c>
      <c r="L3052" s="8" t="inlineStr">
        <is>
          <t>ราคาที่ระบุเป็นก่อนหักส่วนลด</t>
        </is>
      </c>
    </row>
    <row r="3053">
      <c r="B3053" s="6" t="inlineStr">
        <is>
          <t>แม่สี Matrix  M-270 (สีขาว) -- แกลลอนละ 4ลิตร</t>
        </is>
      </c>
      <c r="C3053" s="8" t="inlineStr">
        <is>
          <t>9กล.</t>
        </is>
      </c>
      <c r="D3053" s="9" t="n">
        <v>3240</v>
      </c>
      <c r="F3053" s="8" t="n">
        <v>10</v>
      </c>
      <c r="H3053" s="9" t="n">
        <v>29160</v>
      </c>
      <c r="I3053" s="10" t="inlineStr">
        <is>
          <t>ทรัพย์สินไทย</t>
        </is>
      </c>
      <c r="J3053" s="161" t="n">
        <v>22913</v>
      </c>
      <c r="L3053" s="8" t="inlineStr">
        <is>
          <t>ราคาที่ระบุเป็นก่อนหักส่วนลด</t>
        </is>
      </c>
    </row>
    <row r="3054">
      <c r="B3054" s="6" t="inlineStr">
        <is>
          <t>แม่สี Matrix  M-270 (สีขาว) -- แกลลอนละ 4ลิตร</t>
        </is>
      </c>
      <c r="C3054" s="8" t="inlineStr">
        <is>
          <t>6กล.</t>
        </is>
      </c>
      <c r="D3054" s="9" t="n">
        <v>3240</v>
      </c>
      <c r="F3054" s="8" t="n">
        <v>10</v>
      </c>
      <c r="H3054" s="9" t="n">
        <v>19440</v>
      </c>
      <c r="I3054" s="10" t="inlineStr">
        <is>
          <t>ทรัพย์สินไทย</t>
        </is>
      </c>
      <c r="J3054" s="161" t="n">
        <v>22884</v>
      </c>
      <c r="L3054" s="8" t="inlineStr">
        <is>
          <t>ราคาที่ระบุเป็นก่อนหักส่วนลด</t>
        </is>
      </c>
    </row>
    <row r="3055">
      <c r="B3055" s="6" t="inlineStr">
        <is>
          <t>แม่สี Matrix  M-270 (สีขาว) -- แกลลอนละ 4ลิตร</t>
        </is>
      </c>
      <c r="C3055" s="8" t="inlineStr">
        <is>
          <t>9กล.</t>
        </is>
      </c>
      <c r="D3055" s="9" t="n">
        <v>3240</v>
      </c>
      <c r="F3055" s="8" t="n">
        <v>10</v>
      </c>
      <c r="H3055" s="9" t="n">
        <v>29160</v>
      </c>
      <c r="I3055" s="10" t="inlineStr">
        <is>
          <t>ทรัพย์สินไทย</t>
        </is>
      </c>
      <c r="J3055" s="161" t="n">
        <v>23038</v>
      </c>
      <c r="L3055" s="8" t="inlineStr">
        <is>
          <t>ราคาที่ระบุเป็นก่อนหักส่วนลด</t>
        </is>
      </c>
    </row>
    <row r="3056">
      <c r="B3056" s="6" t="inlineStr">
        <is>
          <t>แม่สี Matrix  M-270 (สีขาว) -- แกลลอนละ 4ลิตร</t>
        </is>
      </c>
      <c r="C3056" s="8" t="inlineStr">
        <is>
          <t>6กล.</t>
        </is>
      </c>
      <c r="D3056" s="9" t="n">
        <v>3240</v>
      </c>
      <c r="F3056" s="8" t="n">
        <v>10</v>
      </c>
      <c r="H3056" s="9" t="n">
        <v>19440</v>
      </c>
      <c r="I3056" s="10" t="inlineStr">
        <is>
          <t>ทรัพย์สินไทย</t>
        </is>
      </c>
      <c r="J3056" s="161" t="n">
        <v>23062</v>
      </c>
      <c r="L3056" s="8" t="inlineStr">
        <is>
          <t>ราคาที่ระบุเป็นก่อนหักส่วนลด</t>
        </is>
      </c>
    </row>
    <row r="3057">
      <c r="B3057" s="6" t="inlineStr">
        <is>
          <t>แม่สี Matrix  M-270 (สีขาว) -- แกลลอนละ 4ลิตร</t>
        </is>
      </c>
      <c r="C3057" s="8" t="inlineStr">
        <is>
          <t>3กล.</t>
        </is>
      </c>
      <c r="D3057" s="9" t="n">
        <v>3240</v>
      </c>
      <c r="F3057" s="8" t="n">
        <v>10</v>
      </c>
      <c r="H3057" s="9" t="n">
        <v>9720</v>
      </c>
      <c r="I3057" s="10" t="inlineStr">
        <is>
          <t>ทรัพย์สินไทย</t>
        </is>
      </c>
      <c r="J3057" s="161" t="n">
        <v>23063</v>
      </c>
      <c r="L3057" s="8" t="inlineStr">
        <is>
          <t>ราคาที่ระบุเป็นก่อนหักส่วนลด</t>
        </is>
      </c>
    </row>
    <row r="3058">
      <c r="B3058" s="6" t="inlineStr">
        <is>
          <t>แม่สี Matrix  M-270 (สีขาว) -- แกลลอนละ 4ลิตร</t>
        </is>
      </c>
      <c r="C3058" s="8" t="inlineStr">
        <is>
          <t>6กล.</t>
        </is>
      </c>
      <c r="D3058" s="9" t="n">
        <v>3240</v>
      </c>
      <c r="F3058" s="8" t="n">
        <v>10</v>
      </c>
      <c r="H3058" s="9" t="n">
        <v>19440</v>
      </c>
      <c r="I3058" s="10" t="inlineStr">
        <is>
          <t>ทรัพย์สินไทย</t>
        </is>
      </c>
      <c r="J3058" s="161" t="n">
        <v>23081</v>
      </c>
      <c r="L3058" s="8" t="inlineStr">
        <is>
          <t>ราคาที่ระบุเป็นก่อนหักส่วนลด</t>
        </is>
      </c>
    </row>
    <row r="3059">
      <c r="B3059" s="6" t="inlineStr">
        <is>
          <t>แม่สี Matrix  M-270 (สีขาว) -- แกลลอนละ 4ลิตร</t>
        </is>
      </c>
      <c r="C3059" s="8" t="inlineStr">
        <is>
          <t>9กล.</t>
        </is>
      </c>
      <c r="D3059" s="9" t="n">
        <v>3240</v>
      </c>
      <c r="F3059" s="8" t="n">
        <v>10</v>
      </c>
      <c r="H3059" s="9" t="n">
        <v>29160</v>
      </c>
      <c r="I3059" s="10" t="inlineStr">
        <is>
          <t>ทรัพย์สินไทย</t>
        </is>
      </c>
      <c r="J3059" s="161" t="n">
        <v>23094</v>
      </c>
      <c r="L3059" s="8" t="inlineStr">
        <is>
          <t>ราคาที่ระบุเป็นก่อนหักส่วนลด</t>
        </is>
      </c>
    </row>
    <row r="3060">
      <c r="B3060" s="6" t="inlineStr">
        <is>
          <t>แม่สี Matrix  M-270 (สีขาว) -- แกลลอนละ 4ลิตร</t>
        </is>
      </c>
      <c r="C3060" s="8" t="inlineStr">
        <is>
          <t>6กล.</t>
        </is>
      </c>
      <c r="D3060" s="9" t="n">
        <v>3240</v>
      </c>
      <c r="F3060" s="8" t="n">
        <v>10</v>
      </c>
      <c r="H3060" s="9" t="n">
        <v>19440</v>
      </c>
      <c r="I3060" s="10" t="inlineStr">
        <is>
          <t>ทรัพย์สินไทย</t>
        </is>
      </c>
      <c r="J3060" s="161" t="n">
        <v>23107</v>
      </c>
      <c r="L3060" s="8" t="inlineStr">
        <is>
          <t>ราคาที่ระบุเป็นก่อนหักส่วนลด</t>
        </is>
      </c>
    </row>
    <row r="3061">
      <c r="B3061" s="6" t="inlineStr">
        <is>
          <t>แม่สี Matrix  M-270 (สีขาว) -- แกลลอนละ 4ลิตร</t>
        </is>
      </c>
      <c r="C3061" s="8" t="inlineStr">
        <is>
          <t>12กล.</t>
        </is>
      </c>
      <c r="D3061" s="9" t="n">
        <v>3240</v>
      </c>
      <c r="F3061" s="8" t="n">
        <v>10</v>
      </c>
      <c r="H3061" s="9" t="n">
        <v>38880</v>
      </c>
      <c r="I3061" s="10" t="inlineStr">
        <is>
          <t>ทรัพย์สินไทย</t>
        </is>
      </c>
      <c r="J3061" s="161" t="n">
        <v>23124</v>
      </c>
      <c r="L3061" s="8" t="inlineStr">
        <is>
          <t>ราคาที่ระบุเป็นก่อนหักส่วนลด</t>
        </is>
      </c>
    </row>
    <row r="3062">
      <c r="B3062" s="6" t="inlineStr">
        <is>
          <t>แม่สี Matrix  M-270 (สีขาว) -- แกลลอนละ 4ลิตร</t>
        </is>
      </c>
      <c r="C3062" s="8" t="inlineStr">
        <is>
          <t>3กล.</t>
        </is>
      </c>
      <c r="D3062" s="9" t="n">
        <v>3240</v>
      </c>
      <c r="F3062" s="8" t="n">
        <v>10</v>
      </c>
      <c r="H3062" s="9" t="n">
        <v>9720</v>
      </c>
      <c r="I3062" s="10" t="inlineStr">
        <is>
          <t>ทรัพย์สินไทย</t>
        </is>
      </c>
      <c r="J3062" s="161" t="n">
        <v>23172</v>
      </c>
      <c r="L3062" s="8" t="inlineStr">
        <is>
          <t>ราคาที่ระบุเป็นก่อนหักส่วนลด</t>
        </is>
      </c>
    </row>
    <row r="3063">
      <c r="B3063" s="6" t="inlineStr">
        <is>
          <t>แม่สี Matrix  M-270 (สีขาว) -- แกลลอนละ 4ลิตร</t>
        </is>
      </c>
      <c r="C3063" s="8" t="inlineStr">
        <is>
          <t>3กล.</t>
        </is>
      </c>
      <c r="D3063" s="9" t="n">
        <v>3240</v>
      </c>
      <c r="F3063" s="8" t="n">
        <v>10</v>
      </c>
      <c r="H3063" s="9" t="n">
        <v>9720</v>
      </c>
      <c r="I3063" s="10" t="inlineStr">
        <is>
          <t>ทรัพย์สินไทย</t>
        </is>
      </c>
      <c r="J3063" s="161" t="n">
        <v>23207</v>
      </c>
      <c r="L3063" s="8" t="inlineStr">
        <is>
          <t>ราคาที่ระบุเป็นก่อนหักส่วนลด</t>
        </is>
      </c>
    </row>
    <row r="3064">
      <c r="B3064" s="6" t="inlineStr">
        <is>
          <t>แม่สี Matrix  M-270 (สีขาว) -- แกลลอนละ 4ลิตร</t>
        </is>
      </c>
      <c r="C3064" s="8" t="inlineStr">
        <is>
          <t>9กล.</t>
        </is>
      </c>
      <c r="D3064" s="9" t="n">
        <v>3240</v>
      </c>
      <c r="F3064" s="8" t="n">
        <v>10</v>
      </c>
      <c r="H3064" s="9" t="n">
        <v>29160</v>
      </c>
      <c r="I3064" s="10" t="inlineStr">
        <is>
          <t>ทรัพย์สินไทย</t>
        </is>
      </c>
      <c r="J3064" s="161" t="n">
        <v>23216</v>
      </c>
      <c r="L3064" s="8" t="inlineStr">
        <is>
          <t>ราคาที่ระบุเป็นก่อนหักส่วนลด</t>
        </is>
      </c>
    </row>
    <row r="3065">
      <c r="B3065" s="6" t="inlineStr">
        <is>
          <t>แม่สี Matrix  M-270 (สีขาว) -- แกลลอนละ 4ลิตร</t>
        </is>
      </c>
      <c r="C3065" s="8" t="inlineStr">
        <is>
          <t>6กล.</t>
        </is>
      </c>
      <c r="D3065" s="9" t="n">
        <v>3240</v>
      </c>
      <c r="F3065" s="8" t="n">
        <v>10</v>
      </c>
      <c r="H3065" s="9" t="n">
        <v>19440</v>
      </c>
      <c r="I3065" s="10" t="inlineStr">
        <is>
          <t>ทรัพย์สินไทย</t>
        </is>
      </c>
      <c r="J3065" s="161" t="n">
        <v>23240</v>
      </c>
      <c r="L3065" s="8" t="inlineStr">
        <is>
          <t>ราคาที่ระบุเป็นก่อนหักส่วนลด</t>
        </is>
      </c>
    </row>
    <row r="3066">
      <c r="B3066" s="6" t="inlineStr">
        <is>
          <t>แม่สี Matrix  M-270 (สีขาว) -- แกลลอนละ 4ลิตร</t>
        </is>
      </c>
      <c r="C3066" s="8" t="inlineStr">
        <is>
          <t>12กล.</t>
        </is>
      </c>
      <c r="D3066" s="9" t="n">
        <v>3240</v>
      </c>
      <c r="F3066" s="8" t="n">
        <v>10</v>
      </c>
      <c r="H3066" s="9" t="n">
        <v>38880</v>
      </c>
      <c r="I3066" s="10" t="inlineStr">
        <is>
          <t>ทรัพย์สินไทย</t>
        </is>
      </c>
      <c r="J3066" s="161" t="n">
        <v>23247</v>
      </c>
      <c r="L3066" s="8" t="inlineStr">
        <is>
          <t>ราคาที่ระบุเป็นก่อนหักส่วนลด</t>
        </is>
      </c>
    </row>
    <row r="3067">
      <c r="B3067" s="6" t="inlineStr">
        <is>
          <t>แม่สี Matrix  M-270 (สีขาว) -- แกลลอนละ 4ลิตร</t>
        </is>
      </c>
      <c r="C3067" s="8" t="inlineStr">
        <is>
          <t>6กล.</t>
        </is>
      </c>
      <c r="D3067" s="9" t="n">
        <v>3240</v>
      </c>
      <c r="F3067" s="8" t="n">
        <v>10</v>
      </c>
      <c r="H3067" s="9" t="n">
        <v>19440</v>
      </c>
      <c r="I3067" s="10" t="inlineStr">
        <is>
          <t>ทรัพย์สินไทย</t>
        </is>
      </c>
      <c r="J3067" s="161" t="n">
        <v>23268</v>
      </c>
      <c r="L3067" s="8" t="inlineStr">
        <is>
          <t>ราคาที่ระบุเป็นก่อนหักส่วนลด</t>
        </is>
      </c>
    </row>
    <row r="3068">
      <c r="B3068" s="6" t="inlineStr">
        <is>
          <t>แม่สี Matrix  M-270 (สีขาว) -- แกลลอนละ 4ลิตร</t>
        </is>
      </c>
      <c r="C3068" s="8" t="inlineStr">
        <is>
          <t>12กล.</t>
        </is>
      </c>
      <c r="D3068" s="9" t="n">
        <v>3240</v>
      </c>
      <c r="F3068" s="8" t="n">
        <v>10</v>
      </c>
      <c r="H3068" s="9" t="n">
        <v>38880</v>
      </c>
      <c r="I3068" s="10" t="inlineStr">
        <is>
          <t>ทรัพย์สินไทย</t>
        </is>
      </c>
      <c r="J3068" s="161" t="n">
        <v>23277</v>
      </c>
      <c r="L3068" s="8" t="inlineStr">
        <is>
          <t>ราคาที่ระบุเป็นก่อนหักส่วนลด</t>
        </is>
      </c>
    </row>
    <row r="3069">
      <c r="B3069" s="6" t="inlineStr">
        <is>
          <t>แม่สี Matrix  M-270 (สีขาว) -- แกลลอนละ 4ลิตร</t>
        </is>
      </c>
      <c r="C3069" s="8" t="inlineStr">
        <is>
          <t>2กล.</t>
        </is>
      </c>
      <c r="D3069" s="9" t="n">
        <v>3240</v>
      </c>
      <c r="F3069" s="8" t="n">
        <v>10</v>
      </c>
      <c r="H3069" s="9" t="n">
        <v>6480</v>
      </c>
      <c r="I3069" s="10" t="inlineStr">
        <is>
          <t>ทรัพย์สินไทย</t>
        </is>
      </c>
      <c r="J3069" s="161" t="n">
        <v>23304</v>
      </c>
      <c r="L3069" s="8" t="inlineStr">
        <is>
          <t>ราคาที่ระบุเป็นก่อนหักส่วนลด</t>
        </is>
      </c>
    </row>
    <row r="3070">
      <c r="B3070" s="6" t="inlineStr">
        <is>
          <t>แม่สี Matrix  M-270 (สีขาว) -- แกลลอนละ 4ลิตร</t>
        </is>
      </c>
      <c r="C3070" s="8" t="inlineStr">
        <is>
          <t>12กล.</t>
        </is>
      </c>
      <c r="D3070" s="9" t="n">
        <v>3240</v>
      </c>
      <c r="F3070" s="8" t="n">
        <v>10</v>
      </c>
      <c r="H3070" s="9" t="n">
        <v>38880</v>
      </c>
      <c r="I3070" s="10" t="inlineStr">
        <is>
          <t>ทรัพย์สินไทย</t>
        </is>
      </c>
      <c r="J3070" s="161" t="n">
        <v>23305</v>
      </c>
      <c r="L3070" s="8" t="inlineStr">
        <is>
          <t>ราคาที่ระบุเป็นก่อนหักส่วนลด</t>
        </is>
      </c>
    </row>
    <row r="3071">
      <c r="B3071" s="6" t="inlineStr">
        <is>
          <t>แม่สี Matrix  M-270 (สีขาว) -- แกลลอนละ 4ลิตร</t>
        </is>
      </c>
      <c r="C3071" s="8" t="inlineStr">
        <is>
          <t>9กล.</t>
        </is>
      </c>
      <c r="D3071" s="9" t="n">
        <v>3240</v>
      </c>
      <c r="F3071" s="8" t="n">
        <v>10</v>
      </c>
      <c r="H3071" s="9" t="n">
        <v>29160</v>
      </c>
      <c r="I3071" s="10" t="inlineStr">
        <is>
          <t>ทรัพย์สินไทย</t>
        </is>
      </c>
      <c r="J3071" s="161" t="n">
        <v>23340</v>
      </c>
      <c r="L3071" s="8" t="inlineStr">
        <is>
          <t>ราคาที่ระบุเป็นก่อนหักส่วนลด</t>
        </is>
      </c>
    </row>
    <row r="3072">
      <c r="B3072" s="6" t="inlineStr">
        <is>
          <t>แม่สี Matrix  M-270 (สีขาว) -- แกลลอนละ 4ลิตร</t>
        </is>
      </c>
      <c r="C3072" s="8" t="inlineStr">
        <is>
          <t>4กล.</t>
        </is>
      </c>
      <c r="D3072" s="9" t="n">
        <v>3240</v>
      </c>
      <c r="F3072" s="8" t="n">
        <v>10</v>
      </c>
      <c r="H3072" s="9" t="n">
        <v>12960</v>
      </c>
      <c r="I3072" s="10" t="inlineStr">
        <is>
          <t>ทรัพย์สินไทย</t>
        </is>
      </c>
      <c r="J3072" s="161" t="n">
        <v>23355</v>
      </c>
      <c r="L3072" s="8" t="inlineStr">
        <is>
          <t>ราคาที่ระบุเป็นก่อนหักส่วนลด</t>
        </is>
      </c>
    </row>
    <row r="3073">
      <c r="B3073" s="6" t="inlineStr">
        <is>
          <t>แม่สี Matrix  M-270 (สีขาว) -- แกลลอนละ 4ลิตร</t>
        </is>
      </c>
      <c r="C3073" s="8" t="inlineStr">
        <is>
          <t>12กล.</t>
        </is>
      </c>
      <c r="D3073" s="9" t="n">
        <v>3240</v>
      </c>
      <c r="F3073" s="8" t="n">
        <v>10</v>
      </c>
      <c r="H3073" s="9" t="n">
        <v>38880</v>
      </c>
      <c r="I3073" s="10" t="inlineStr">
        <is>
          <t>ทรัพย์สินไทย</t>
        </is>
      </c>
      <c r="J3073" s="161" t="n">
        <v>23366</v>
      </c>
      <c r="L3073" s="8" t="inlineStr">
        <is>
          <t>ราคาที่ระบุเป็นก่อนหักส่วนลด</t>
        </is>
      </c>
    </row>
    <row r="3074">
      <c r="B3074" s="6" t="inlineStr">
        <is>
          <t>แม่สี Matrix  M-270 (สีขาว) -- แกลลอนละ 4ลิตร</t>
        </is>
      </c>
      <c r="C3074" s="8" t="inlineStr">
        <is>
          <t>6กล.</t>
        </is>
      </c>
      <c r="D3074" s="9" t="n">
        <v>3240</v>
      </c>
      <c r="F3074" s="8" t="n">
        <v>10</v>
      </c>
      <c r="H3074" s="9" t="n">
        <v>19440</v>
      </c>
      <c r="I3074" s="10" t="inlineStr">
        <is>
          <t>ทรัพย์สินไทย</t>
        </is>
      </c>
      <c r="J3074" s="161" t="n">
        <v>23398</v>
      </c>
      <c r="L3074" s="8" t="inlineStr">
        <is>
          <t>ราคาที่ระบุเป็นก่อนหักส่วนลด</t>
        </is>
      </c>
    </row>
    <row r="3075">
      <c r="B3075" s="6" t="inlineStr">
        <is>
          <t>แม่สี Matrix  M-270 (สีขาว) -- แกลลอนละ 4ลิตร</t>
        </is>
      </c>
      <c r="C3075" s="8" t="inlineStr">
        <is>
          <t>3กล.</t>
        </is>
      </c>
      <c r="D3075" s="9" t="n">
        <v>3240</v>
      </c>
      <c r="F3075" s="8" t="n">
        <v>10</v>
      </c>
      <c r="H3075" s="9" t="n">
        <v>9720</v>
      </c>
      <c r="I3075" s="10" t="inlineStr">
        <is>
          <t>ทรัพย์สินไทย</t>
        </is>
      </c>
      <c r="J3075" s="161" t="n">
        <v>23403</v>
      </c>
      <c r="L3075" s="8" t="inlineStr">
        <is>
          <t>ราคาที่ระบุเป็นก่อนหักส่วนลด</t>
        </is>
      </c>
    </row>
    <row r="3076">
      <c r="B3076" s="6" t="inlineStr">
        <is>
          <t>แม่สี Matrix  M-270 (สีขาว) -- แกลลอนละ 4ลิตร</t>
        </is>
      </c>
      <c r="C3076" s="8" t="inlineStr">
        <is>
          <t>3กล.</t>
        </is>
      </c>
      <c r="D3076" s="9" t="n">
        <v>3240</v>
      </c>
      <c r="F3076" s="8" t="n">
        <v>10</v>
      </c>
      <c r="H3076" s="9" t="n">
        <v>9720</v>
      </c>
      <c r="I3076" s="10" t="inlineStr">
        <is>
          <t>ทรัพย์สินไทย</t>
        </is>
      </c>
      <c r="J3076" s="161" t="n">
        <v>23422</v>
      </c>
      <c r="L3076" s="8" t="inlineStr">
        <is>
          <t>ราคาที่ระบุเป็นก่อนหักส่วนลด</t>
        </is>
      </c>
    </row>
    <row r="3077">
      <c r="B3077" s="6" t="inlineStr">
        <is>
          <t>แม่สี Matrix  M-270 (สีขาว) -- แกลลอนละ 4ลิตร</t>
        </is>
      </c>
      <c r="C3077" s="8" t="inlineStr">
        <is>
          <t>12กล.</t>
        </is>
      </c>
      <c r="D3077" s="9" t="n">
        <v>3240</v>
      </c>
      <c r="F3077" s="8" t="n">
        <v>10</v>
      </c>
      <c r="H3077" s="9" t="n">
        <v>38880</v>
      </c>
      <c r="I3077" s="10" t="inlineStr">
        <is>
          <t>ทรัพย์สินไทย</t>
        </is>
      </c>
      <c r="J3077" s="161" t="n">
        <v>23430</v>
      </c>
      <c r="L3077" s="8" t="inlineStr">
        <is>
          <t>ราคาที่ระบุเป็นก่อนหักส่วนลด</t>
        </is>
      </c>
    </row>
    <row r="3078">
      <c r="B3078" s="6" t="inlineStr">
        <is>
          <t>แม่สี Matrix  M-270 (สีขาว) -- แกลลอนละ 4ลิตร</t>
        </is>
      </c>
      <c r="C3078" s="8" t="inlineStr">
        <is>
          <t>12กล.</t>
        </is>
      </c>
      <c r="D3078" s="9" t="n">
        <v>3240</v>
      </c>
      <c r="F3078" s="8" t="n">
        <v>10</v>
      </c>
      <c r="H3078" s="9" t="n">
        <v>38880</v>
      </c>
      <c r="I3078" s="10" t="inlineStr">
        <is>
          <t>ทรัพย์สินไทย</t>
        </is>
      </c>
      <c r="J3078" s="161" t="n">
        <v>23460</v>
      </c>
      <c r="L3078" s="8" t="inlineStr">
        <is>
          <t>ราคาที่ระบุเป็นก่อนหักส่วนลด</t>
        </is>
      </c>
    </row>
    <row r="3079">
      <c r="B3079" s="6" t="inlineStr">
        <is>
          <t>แม่สี Matrix  M-270 (สีขาว) -- แกลลอนละ 4ลิตร</t>
        </is>
      </c>
      <c r="C3079" s="8" t="inlineStr">
        <is>
          <t>3กล.</t>
        </is>
      </c>
      <c r="D3079" s="9" t="n">
        <v>3240</v>
      </c>
      <c r="F3079" s="8" t="n">
        <v>10</v>
      </c>
      <c r="H3079" s="9" t="n">
        <v>9720</v>
      </c>
      <c r="I3079" s="10" t="inlineStr">
        <is>
          <t>ทรัพย์สินไทย</t>
        </is>
      </c>
      <c r="J3079" s="161" t="n">
        <v>23493</v>
      </c>
      <c r="L3079" s="8" t="inlineStr">
        <is>
          <t>ราคาที่ระบุเป็นก่อนหักส่วนลด</t>
        </is>
      </c>
    </row>
    <row r="3080">
      <c r="B3080" s="6" t="inlineStr">
        <is>
          <t>แม่สี Matrix  M-270 (สีขาว) -- แกลลอนละ 4ลิตร</t>
        </is>
      </c>
      <c r="C3080" s="8" t="inlineStr">
        <is>
          <t>3กล.</t>
        </is>
      </c>
      <c r="D3080" s="9" t="n">
        <v>3240</v>
      </c>
      <c r="F3080" s="8" t="n">
        <v>10</v>
      </c>
      <c r="H3080" s="9" t="n">
        <v>9720</v>
      </c>
      <c r="I3080" s="10" t="inlineStr">
        <is>
          <t>ทรัพย์สินไทย</t>
        </is>
      </c>
      <c r="J3080" s="161" t="n">
        <v>23518</v>
      </c>
      <c r="L3080" s="8" t="inlineStr">
        <is>
          <t>ราคาที่ระบุเป็นก่อนหักส่วนลด</t>
        </is>
      </c>
    </row>
    <row r="3081">
      <c r="B3081" s="6" t="inlineStr">
        <is>
          <t>แม่สี Matrix  M-270 (สีขาว) -- แกลลอนละ 4ลิตร</t>
        </is>
      </c>
      <c r="C3081" s="8" t="inlineStr">
        <is>
          <t>9กล.</t>
        </is>
      </c>
      <c r="D3081" s="9" t="n">
        <v>3240</v>
      </c>
      <c r="F3081" s="8" t="n">
        <v>10</v>
      </c>
      <c r="H3081" s="9" t="n">
        <v>29160</v>
      </c>
      <c r="I3081" s="10" t="inlineStr">
        <is>
          <t>ทรัพย์สินไทย</t>
        </is>
      </c>
      <c r="J3081" s="161" t="n">
        <v>23546</v>
      </c>
      <c r="L3081" s="8" t="inlineStr">
        <is>
          <t>ราคาที่ระบุเป็นก่อนหักส่วนลด</t>
        </is>
      </c>
    </row>
    <row r="3082">
      <c r="B3082" s="6" t="inlineStr">
        <is>
          <t>แม่สี Matrix  M-270 (สีขาว) -- แกลลอนละ 4ลิตร</t>
        </is>
      </c>
      <c r="C3082" s="8" t="inlineStr">
        <is>
          <t>3กล.</t>
        </is>
      </c>
      <c r="D3082" s="9" t="n">
        <v>3240</v>
      </c>
      <c r="F3082" s="8" t="n">
        <v>10</v>
      </c>
      <c r="H3082" s="9" t="n">
        <v>9720</v>
      </c>
      <c r="I3082" s="10" t="inlineStr">
        <is>
          <t>ทรัพย์สินไทย</t>
        </is>
      </c>
      <c r="J3082" s="161" t="n">
        <v>23550</v>
      </c>
      <c r="L3082" s="8" t="inlineStr">
        <is>
          <t>ราคาที่ระบุเป็นก่อนหักส่วนลด</t>
        </is>
      </c>
    </row>
    <row r="3083">
      <c r="B3083" s="6" t="inlineStr">
        <is>
          <t>แม่สี Matrix  M-270 (สีขาว) -- แกลลอนละ 4ลิตร</t>
        </is>
      </c>
      <c r="C3083" s="8" t="inlineStr">
        <is>
          <t>9กล.</t>
        </is>
      </c>
      <c r="D3083" s="9" t="n">
        <v>3240</v>
      </c>
      <c r="F3083" s="8" t="n">
        <v>10</v>
      </c>
      <c r="H3083" s="9" t="n">
        <v>29160</v>
      </c>
      <c r="I3083" s="10" t="inlineStr">
        <is>
          <t>ทรัพย์สินไทย</t>
        </is>
      </c>
      <c r="J3083" s="161" t="n">
        <v>23584</v>
      </c>
      <c r="L3083" s="8" t="inlineStr">
        <is>
          <t>ราคาที่ระบุเป็นก่อนหักส่วนลด</t>
        </is>
      </c>
    </row>
    <row r="3084">
      <c r="B3084" s="6" t="inlineStr">
        <is>
          <t>แม่สี Matrix  M-270 (สีขาว) -- แกลลอนละ 4ลิตร</t>
        </is>
      </c>
      <c r="C3084" s="8" t="inlineStr">
        <is>
          <t>6กล.</t>
        </is>
      </c>
      <c r="D3084" s="9" t="n">
        <v>3240</v>
      </c>
      <c r="F3084" s="8" t="n">
        <v>10</v>
      </c>
      <c r="H3084" s="9" t="n">
        <v>19440</v>
      </c>
      <c r="I3084" s="10" t="inlineStr">
        <is>
          <t>ทรัพย์สินไทย</t>
        </is>
      </c>
      <c r="J3084" s="161" t="n">
        <v>23613</v>
      </c>
      <c r="L3084" s="8" t="inlineStr">
        <is>
          <t>ราคาที่ระบุเป็นก่อนหักส่วนลด</t>
        </is>
      </c>
    </row>
    <row r="3085">
      <c r="B3085" s="6" t="inlineStr">
        <is>
          <t>แม่สี Matrix  M-270 (สีขาว) -- แกลลอนละ 4ลิตร</t>
        </is>
      </c>
      <c r="C3085" s="8" t="inlineStr">
        <is>
          <t>2กล.</t>
        </is>
      </c>
      <c r="D3085" s="9" t="n">
        <v>3240</v>
      </c>
      <c r="F3085" s="8" t="n">
        <v>10</v>
      </c>
      <c r="H3085" s="9" t="n">
        <v>6480</v>
      </c>
      <c r="I3085" s="10" t="inlineStr">
        <is>
          <t>ทรัพย์สินไทย</t>
        </is>
      </c>
      <c r="J3085" s="161" t="n">
        <v>23615</v>
      </c>
      <c r="L3085" s="8" t="inlineStr">
        <is>
          <t>ราคาที่ระบุเป็นก่อนหักส่วนลด</t>
        </is>
      </c>
    </row>
    <row r="3086">
      <c r="B3086" s="6" t="inlineStr">
        <is>
          <t>แม่สี Matrix  M-270 (สีขาว) -- แกลลอนละ 4ลิตร</t>
        </is>
      </c>
      <c r="C3086" s="8" t="inlineStr">
        <is>
          <t>4กล.</t>
        </is>
      </c>
      <c r="D3086" s="9" t="n">
        <v>3240</v>
      </c>
      <c r="F3086" s="8" t="n">
        <v>10</v>
      </c>
      <c r="H3086" s="9" t="n">
        <v>12960</v>
      </c>
      <c r="I3086" s="10" t="inlineStr">
        <is>
          <t>ทรัพย์สินไทย</t>
        </is>
      </c>
      <c r="J3086" s="161" t="n">
        <v>23615</v>
      </c>
      <c r="L3086" s="8" t="inlineStr">
        <is>
          <t>ราคาที่ระบุเป็นก่อนหักส่วนลด</t>
        </is>
      </c>
    </row>
    <row r="3087">
      <c r="B3087" s="6" t="inlineStr">
        <is>
          <t>แม่สี Matrix  M-270 (สีขาว) -- แกลลอนละ 4ลิตร</t>
        </is>
      </c>
      <c r="C3087" s="8" t="inlineStr">
        <is>
          <t>6กล.</t>
        </is>
      </c>
      <c r="D3087" s="9" t="n">
        <v>3240</v>
      </c>
      <c r="F3087" s="8" t="n">
        <v>10</v>
      </c>
      <c r="H3087" s="9" t="n">
        <v>19440</v>
      </c>
      <c r="I3087" s="10" t="inlineStr">
        <is>
          <t>ทรัพย์สินไทย</t>
        </is>
      </c>
      <c r="J3087" s="161" t="n">
        <v>23570</v>
      </c>
      <c r="L3087" s="8" t="inlineStr">
        <is>
          <t>ราคาที่ระบุเป็นก่อนหักส่วนลด</t>
        </is>
      </c>
    </row>
    <row r="3088">
      <c r="B3088" s="6" t="inlineStr">
        <is>
          <t>แม่สี Matrix  M-270 (สีขาว) -- แกลลอนละ 4ลิตร</t>
        </is>
      </c>
      <c r="C3088" s="8" t="inlineStr">
        <is>
          <t>6กล.</t>
        </is>
      </c>
      <c r="D3088" s="9" t="n">
        <v>3240</v>
      </c>
      <c r="F3088" s="8" t="n">
        <v>10</v>
      </c>
      <c r="H3088" s="9" t="n">
        <v>19440</v>
      </c>
      <c r="I3088" s="10" t="inlineStr">
        <is>
          <t>ทรัพย์สินไทย</t>
        </is>
      </c>
      <c r="J3088" s="161" t="n">
        <v>23642</v>
      </c>
      <c r="K3088" s="8" t="inlineStr">
        <is>
          <t>IV6409285</t>
        </is>
      </c>
      <c r="L3088" s="8" t="inlineStr">
        <is>
          <t>ราคาที่ระบุเป็นก่อนหักส่วนลด</t>
        </is>
      </c>
    </row>
    <row r="3089">
      <c r="B3089" s="6" t="inlineStr">
        <is>
          <t>แม่สี Matrix  M-270 (สีขาว) -- แกลลอนละ 4ลิตร</t>
        </is>
      </c>
      <c r="C3089" s="8" t="inlineStr">
        <is>
          <t>6กล.</t>
        </is>
      </c>
      <c r="D3089" s="9" t="n">
        <v>3240</v>
      </c>
      <c r="F3089" s="8" t="n">
        <v>10</v>
      </c>
      <c r="H3089" s="9" t="n">
        <v>19440</v>
      </c>
      <c r="I3089" s="10" t="inlineStr">
        <is>
          <t>ทรัพย์สินไทย</t>
        </is>
      </c>
      <c r="J3089" s="161" t="n">
        <v>23676</v>
      </c>
      <c r="K3089" s="8" t="inlineStr">
        <is>
          <t>IV6410364</t>
        </is>
      </c>
      <c r="L3089" s="8" t="inlineStr">
        <is>
          <t>ราคาที่ระบุเป็นก่อนหักส่วนลด</t>
        </is>
      </c>
    </row>
    <row r="3090">
      <c r="B3090" s="6" t="inlineStr">
        <is>
          <t>แม่สี Matrix  M-270 (สีขาว) -- แกลลอนละ 4ลิตร</t>
        </is>
      </c>
      <c r="C3090" s="8" t="inlineStr">
        <is>
          <t>5กล.</t>
        </is>
      </c>
      <c r="D3090" s="9" t="n">
        <v>3240</v>
      </c>
      <c r="F3090" s="8" t="n">
        <v>10</v>
      </c>
      <c r="H3090" s="9" t="n">
        <v>16200</v>
      </c>
      <c r="I3090" s="10" t="inlineStr">
        <is>
          <t>ทรัพย์สินไทย</t>
        </is>
      </c>
      <c r="J3090" s="161" t="n">
        <v>23692</v>
      </c>
      <c r="K3090" s="8" t="inlineStr">
        <is>
          <t>IV6411168</t>
        </is>
      </c>
      <c r="L3090" s="8" t="inlineStr">
        <is>
          <t>ราคาที่ระบุเป็นก่อนหักส่วนลด</t>
        </is>
      </c>
    </row>
    <row r="3091">
      <c r="B3091" s="6" t="inlineStr">
        <is>
          <t>แม่สี Matrix  M-270 (สีขาว) -- แกลลอนละ 4ลิตร</t>
        </is>
      </c>
      <c r="C3091" s="8" t="inlineStr">
        <is>
          <t>8กล.</t>
        </is>
      </c>
      <c r="D3091" s="9" t="n">
        <v>3240</v>
      </c>
      <c r="F3091" s="8" t="n">
        <v>10</v>
      </c>
      <c r="H3091" s="9" t="n">
        <v>25920</v>
      </c>
      <c r="I3091" s="10" t="inlineStr">
        <is>
          <t>ทรัพย์สินไทย</t>
        </is>
      </c>
      <c r="J3091" s="161" t="n">
        <v>23704</v>
      </c>
      <c r="K3091" s="8" t="inlineStr">
        <is>
          <t>IV6411320</t>
        </is>
      </c>
      <c r="L3091" s="8" t="inlineStr">
        <is>
          <t>ราคาที่ระบุเป็นก่อนหักส่วนลด</t>
        </is>
      </c>
    </row>
    <row r="3092">
      <c r="B3092" s="6" t="inlineStr">
        <is>
          <t>แม่สี Matrix  M-270 (สีขาว) -- แกลลอนละ 4ลิตร</t>
        </is>
      </c>
      <c r="C3092" s="8" t="inlineStr">
        <is>
          <t>14กล.</t>
        </is>
      </c>
      <c r="D3092" s="9" t="n">
        <v>3240</v>
      </c>
      <c r="F3092" s="8" t="n">
        <v>10</v>
      </c>
      <c r="H3092" s="9" t="n">
        <v>45360</v>
      </c>
      <c r="I3092" s="10" t="inlineStr">
        <is>
          <t>ทรัพย์สินไทย</t>
        </is>
      </c>
      <c r="J3092" s="161" t="n">
        <v>23733</v>
      </c>
      <c r="K3092" s="8" t="inlineStr">
        <is>
          <t>IV6412302</t>
        </is>
      </c>
      <c r="L3092" s="8" t="inlineStr">
        <is>
          <t>ราคาที่ระบุเป็นก่อนหักส่วนลด</t>
        </is>
      </c>
    </row>
    <row r="3093">
      <c r="B3093" s="6" t="inlineStr">
        <is>
          <t>แม่สี Matrix  M-270 (สีขาว) -- แกลลอนละ 4ลิตร</t>
        </is>
      </c>
      <c r="C3093" s="8" t="inlineStr">
        <is>
          <t>6กล.</t>
        </is>
      </c>
      <c r="D3093" s="9" t="n">
        <v>3240</v>
      </c>
      <c r="F3093" s="8" t="n">
        <v>10</v>
      </c>
      <c r="H3093" s="9" t="n">
        <v>19440</v>
      </c>
      <c r="I3093" s="10" t="inlineStr">
        <is>
          <t>ทรัพย์สินไทย</t>
        </is>
      </c>
      <c r="J3093" s="161" t="n">
        <v>23763</v>
      </c>
      <c r="K3093" s="8" t="inlineStr">
        <is>
          <t>IV6501224</t>
        </is>
      </c>
      <c r="L3093" s="8" t="inlineStr">
        <is>
          <t>ราคาที่ระบุเป็นก่อนหักส่วนลด</t>
        </is>
      </c>
    </row>
    <row r="3094">
      <c r="B3094" s="6" t="inlineStr">
        <is>
          <t>แม่สี Matrix  M-270 (สีขาว) -- แกลลอนละ 4ลิตร</t>
        </is>
      </c>
      <c r="C3094" s="8" t="inlineStr">
        <is>
          <t>6กล.</t>
        </is>
      </c>
      <c r="D3094" s="9" t="n">
        <v>3240</v>
      </c>
      <c r="F3094" s="8" t="n">
        <v>10</v>
      </c>
      <c r="H3094" s="9" t="n">
        <v>19440</v>
      </c>
      <c r="I3094" s="10" t="inlineStr">
        <is>
          <t>ทรัพย์สินไทย</t>
        </is>
      </c>
      <c r="J3094" s="161" t="n">
        <v>23795</v>
      </c>
      <c r="K3094" s="8" t="inlineStr">
        <is>
          <t>IV6502259</t>
        </is>
      </c>
      <c r="L3094" s="8" t="inlineStr">
        <is>
          <t>ราคาที่ระบุเป็นก่อนหักส่วนลด</t>
        </is>
      </c>
    </row>
    <row r="3095">
      <c r="B3095" s="6" t="inlineStr">
        <is>
          <t>แม่สี Matrix  M-270 (สีขาว) -- แกลลอนละ 4ลิตร</t>
        </is>
      </c>
      <c r="C3095" s="8" t="inlineStr">
        <is>
          <t>6กล.</t>
        </is>
      </c>
      <c r="D3095" s="9" t="n">
        <v>3240</v>
      </c>
      <c r="F3095" s="8" t="n">
        <v>10</v>
      </c>
      <c r="H3095" s="9" t="n">
        <v>19440</v>
      </c>
      <c r="I3095" s="10" t="inlineStr">
        <is>
          <t>ทรัพย์สินไทย</t>
        </is>
      </c>
      <c r="J3095" s="161" t="n">
        <v>23803</v>
      </c>
      <c r="K3095" s="8" t="inlineStr">
        <is>
          <t>IV6503046</t>
        </is>
      </c>
      <c r="L3095" s="8" t="inlineStr">
        <is>
          <t>ราคาที่ระบุเป็นก่อนหักส่วนลด</t>
        </is>
      </c>
    </row>
    <row r="3096">
      <c r="B3096" s="6" t="inlineStr">
        <is>
          <t>แม่สี Matrix  M-270 (สีขาว) -- แกลลอนละ 4ลิตร</t>
        </is>
      </c>
      <c r="C3096" s="8" t="inlineStr">
        <is>
          <t>3กล.</t>
        </is>
      </c>
      <c r="D3096" s="9" t="n">
        <v>3240</v>
      </c>
      <c r="F3096" s="8" t="n">
        <v>10</v>
      </c>
      <c r="H3096" s="9" t="n">
        <v>9720</v>
      </c>
      <c r="I3096" s="10" t="inlineStr">
        <is>
          <t>ทรัพย์สินไทย</t>
        </is>
      </c>
      <c r="J3096" s="161" t="n">
        <v>23819</v>
      </c>
      <c r="K3096" s="8" t="inlineStr">
        <is>
          <t>IV6503253</t>
        </is>
      </c>
      <c r="L3096" s="8" t="inlineStr">
        <is>
          <t>ราคาที่ระบุเป็นก่อนหักส่วนลด</t>
        </is>
      </c>
    </row>
    <row r="3097">
      <c r="B3097" s="6" t="inlineStr">
        <is>
          <t>แม่สี Matrix  M-270 (สีขาว) -- แกลลอนละ 4ลิตร</t>
        </is>
      </c>
      <c r="C3097" s="8" t="inlineStr">
        <is>
          <t>9กล.</t>
        </is>
      </c>
      <c r="D3097" s="9" t="n">
        <v>3240</v>
      </c>
      <c r="F3097" s="8" t="n">
        <v>10</v>
      </c>
      <c r="H3097" s="9" t="n">
        <v>29160</v>
      </c>
      <c r="I3097" s="10" t="inlineStr">
        <is>
          <t>ทรัพย์สินไทย</t>
        </is>
      </c>
      <c r="J3097" s="161" t="n">
        <v>23824</v>
      </c>
      <c r="K3097" s="8" t="inlineStr">
        <is>
          <t>IV6503301</t>
        </is>
      </c>
      <c r="L3097" s="8" t="inlineStr">
        <is>
          <t>ราคาที่ระบุเป็นก่อนหักส่วนลด</t>
        </is>
      </c>
    </row>
    <row r="3098">
      <c r="B3098" s="6" t="inlineStr">
        <is>
          <t>แม่สี Matrix  M-270 (สีขาว) -- แกลลอนละ 4ลิตร</t>
        </is>
      </c>
      <c r="C3098" s="8" t="inlineStr">
        <is>
          <t>11กล.</t>
        </is>
      </c>
      <c r="D3098" s="9" t="n">
        <v>3240</v>
      </c>
      <c r="F3098" s="8" t="n">
        <v>10</v>
      </c>
      <c r="H3098" s="9" t="n">
        <v>35640</v>
      </c>
      <c r="I3098" s="10" t="inlineStr">
        <is>
          <t>ทรัพย์สินไทย</t>
        </is>
      </c>
      <c r="J3098" s="161" t="n">
        <v>23859</v>
      </c>
      <c r="K3098" s="8" t="inlineStr">
        <is>
          <t>IV6504236</t>
        </is>
      </c>
      <c r="L3098" s="8" t="inlineStr">
        <is>
          <t>ราคาที่ระบุเป็นก่อนหักส่วนลด</t>
        </is>
      </c>
    </row>
    <row r="3099">
      <c r="B3099" s="6" t="inlineStr">
        <is>
          <t>แม่สี Matrix  M-270 (สีขาว) -- แกลลอนละ 4ลิตร</t>
        </is>
      </c>
      <c r="C3099" s="8" t="inlineStr">
        <is>
          <t>6กล.</t>
        </is>
      </c>
      <c r="D3099" s="9" t="n">
        <v>3240</v>
      </c>
      <c r="F3099" s="8" t="n">
        <v>10</v>
      </c>
      <c r="H3099" s="9" t="n">
        <v>19440</v>
      </c>
      <c r="I3099" s="10" t="inlineStr">
        <is>
          <t>ทรัพย์สินไทย</t>
        </is>
      </c>
      <c r="J3099" s="161" t="n">
        <v>23875</v>
      </c>
      <c r="K3099" s="8" t="inlineStr">
        <is>
          <t>IV6505167</t>
        </is>
      </c>
      <c r="L3099" s="8" t="inlineStr">
        <is>
          <t>ราคาที่ระบุเป็นก่อนหักส่วนลด</t>
        </is>
      </c>
    </row>
    <row r="3100">
      <c r="B3100" s="6" t="inlineStr">
        <is>
          <t>แม่สี Matrix  M-270 (สีขาว) -- แกลลอนละ 4ลิตร</t>
        </is>
      </c>
      <c r="C3100" s="8" t="inlineStr">
        <is>
          <t>6กล.</t>
        </is>
      </c>
      <c r="D3100" s="9" t="n">
        <v>3240</v>
      </c>
      <c r="F3100" s="8" t="n">
        <v>10</v>
      </c>
      <c r="H3100" s="9" t="n">
        <v>19440</v>
      </c>
      <c r="I3100" s="10" t="inlineStr">
        <is>
          <t>ทรัพย์สินไทย</t>
        </is>
      </c>
      <c r="J3100" s="161" t="n">
        <v>23887</v>
      </c>
      <c r="K3100" s="8" t="inlineStr">
        <is>
          <t>IV6505291</t>
        </is>
      </c>
      <c r="L3100" s="8" t="inlineStr">
        <is>
          <t>ราคาที่ระบุเป็นก่อนหักส่วนลด</t>
        </is>
      </c>
    </row>
    <row r="3101">
      <c r="B3101" s="6" t="inlineStr">
        <is>
          <t>แม่สี Matrix  M-270 (สีขาว) -- แกลลอนละ 4ลิตร</t>
        </is>
      </c>
      <c r="C3101" s="8" t="inlineStr">
        <is>
          <t>3กล.</t>
        </is>
      </c>
      <c r="D3101" s="9" t="n">
        <v>3240</v>
      </c>
      <c r="F3101" s="8" t="n">
        <v>10</v>
      </c>
      <c r="H3101" s="9" t="n">
        <v>9720</v>
      </c>
      <c r="I3101" s="10" t="inlineStr">
        <is>
          <t>ทรัพย์สินไทย</t>
        </is>
      </c>
      <c r="J3101" s="161" t="n">
        <v>23917</v>
      </c>
      <c r="K3101" s="8" t="inlineStr">
        <is>
          <t>IV6506322</t>
        </is>
      </c>
      <c r="L3101" s="8" t="inlineStr">
        <is>
          <t>ราคาที่ระบุเป็นก่อนหักส่วนลด</t>
        </is>
      </c>
    </row>
    <row r="3102">
      <c r="B3102" s="6" t="inlineStr">
        <is>
          <t>แม่สี Matrix  M-270 (สีขาว) -- แกลลอนละ 4ลิตร</t>
        </is>
      </c>
      <c r="C3102" s="8" t="inlineStr">
        <is>
          <t>9กล.</t>
        </is>
      </c>
      <c r="D3102" s="9" t="n">
        <v>3240</v>
      </c>
      <c r="F3102" s="8" t="n">
        <v>10</v>
      </c>
      <c r="H3102" s="9" t="n">
        <v>29160</v>
      </c>
      <c r="I3102" s="10" t="inlineStr">
        <is>
          <t>ทรัพย์สินไทย</t>
        </is>
      </c>
      <c r="J3102" s="161" t="n">
        <v>23920</v>
      </c>
      <c r="K3102" s="8" t="inlineStr">
        <is>
          <t>IV6506337</t>
        </is>
      </c>
      <c r="L3102" s="8" t="inlineStr">
        <is>
          <t>ราคาที่ระบุเป็นก่อนหักส่วนลด</t>
        </is>
      </c>
    </row>
    <row r="3103">
      <c r="B3103" s="6" t="inlineStr">
        <is>
          <t>แม่สี ขาวเนื้อมาก  SC-270 (สีขาว) -- แกลลอนละ 4ลิตร</t>
        </is>
      </c>
      <c r="C3103" s="8" t="inlineStr">
        <is>
          <t>4กล.</t>
        </is>
      </c>
      <c r="D3103" s="9" t="n">
        <v>2600</v>
      </c>
      <c r="H3103" s="9" t="n">
        <v>10400</v>
      </c>
      <c r="I3103" s="10" t="inlineStr">
        <is>
          <t>บจก. วีที คัลเลอร์ โปร</t>
        </is>
      </c>
      <c r="J3103" s="161" t="n">
        <v>23944</v>
      </c>
      <c r="K3103" s="8" t="inlineStr">
        <is>
          <t>IV101-65</t>
        </is>
      </c>
      <c r="L3103" s="8" t="inlineStr">
        <is>
          <t>ราคาที่ระบุ ยังไม่รวม VAT7%</t>
        </is>
      </c>
    </row>
    <row r="3104">
      <c r="B3104" s="6" t="inlineStr">
        <is>
          <t>แม่สี ขาวเนื้อมาก  SC-270 (สีขาว) -- แกลลอนละ 4ลิตร</t>
        </is>
      </c>
      <c r="C3104" s="8" t="inlineStr">
        <is>
          <t>6กล.</t>
        </is>
      </c>
      <c r="D3104" s="9" t="n">
        <v>2600</v>
      </c>
      <c r="H3104" s="9" t="n">
        <v>15600</v>
      </c>
      <c r="I3104" s="10" t="inlineStr">
        <is>
          <t>บจก. วีที คัลเลอร์ โปร</t>
        </is>
      </c>
      <c r="J3104" s="161" t="n">
        <v>23956</v>
      </c>
      <c r="K3104" s="8" t="inlineStr">
        <is>
          <t>IV116-65</t>
        </is>
      </c>
      <c r="L3104" s="8" t="inlineStr">
        <is>
          <t>ราคาที่ระบุ ยังไม่รวม VAT7%</t>
        </is>
      </c>
    </row>
    <row r="3105">
      <c r="B3105" s="6" t="inlineStr">
        <is>
          <t>แม่สี ขาวเนื้อมาก  SC-270 (สีขาว) -- แกลลอนละ 4ลิตร</t>
        </is>
      </c>
      <c r="C3105" s="8" t="inlineStr">
        <is>
          <t>8กล.</t>
        </is>
      </c>
      <c r="D3105" s="9" t="n">
        <v>2600</v>
      </c>
      <c r="H3105" s="9" t="n">
        <v>20800</v>
      </c>
      <c r="I3105" s="10" t="inlineStr">
        <is>
          <t>บจก. วีที คัลเลอร์ โปร</t>
        </is>
      </c>
      <c r="J3105" s="161" t="n">
        <v>23978</v>
      </c>
      <c r="K3105" s="8" t="inlineStr">
        <is>
          <t>IV148-65</t>
        </is>
      </c>
      <c r="L3105" s="8" t="inlineStr">
        <is>
          <t>ราคาที่ระบุ ยังไม่รวม VAT7%</t>
        </is>
      </c>
    </row>
    <row r="3106">
      <c r="B3106" s="6" t="inlineStr">
        <is>
          <t>แม่สี ขาวเนื้อมาก  SC-270 (สีขาว) -- แกลลอนละ 4ลิตร</t>
        </is>
      </c>
      <c r="C3106" s="8" t="inlineStr">
        <is>
          <t>8กล.</t>
        </is>
      </c>
      <c r="D3106" s="9" t="n">
        <v>2600</v>
      </c>
      <c r="H3106" s="9" t="n">
        <v>20800</v>
      </c>
      <c r="I3106" s="10" t="inlineStr">
        <is>
          <t>บจก. วีที คัลเลอร์ โปร</t>
        </is>
      </c>
      <c r="J3106" s="161" t="n">
        <v>24005</v>
      </c>
      <c r="K3106" s="8" t="inlineStr">
        <is>
          <t>IV184-65</t>
        </is>
      </c>
      <c r="L3106" s="8" t="inlineStr">
        <is>
          <t>ราคาที่ระบุ ยังไม่รวม VAT7%</t>
        </is>
      </c>
    </row>
    <row r="3107">
      <c r="B3107" s="6" t="inlineStr">
        <is>
          <t>แม่สี ขาวเนื้อมาก  SC-270 (สีขาว) -- แกลลอนละ 4ลิตร</t>
        </is>
      </c>
      <c r="C3107" s="8" t="inlineStr">
        <is>
          <t>6กล.</t>
        </is>
      </c>
      <c r="D3107" s="9" t="n">
        <v>2600</v>
      </c>
      <c r="H3107" s="9" t="n">
        <v>15600</v>
      </c>
      <c r="I3107" s="10" t="inlineStr">
        <is>
          <t>บจก. วีที คัลเลอร์ โปร</t>
        </is>
      </c>
      <c r="J3107" s="161" t="n">
        <v>24018</v>
      </c>
      <c r="K3107" s="8" t="inlineStr">
        <is>
          <t>IV198-65</t>
        </is>
      </c>
      <c r="L3107" s="8" t="inlineStr">
        <is>
          <t>ราคาที่ระบุ ยังไม่รวม VAT7%</t>
        </is>
      </c>
    </row>
    <row r="3108">
      <c r="B3108" s="6" t="inlineStr">
        <is>
          <t>แม่สี ขาวเนื้อมาก  SC-270 (สีขาว) -- แกลลอนละ 4ลิตร</t>
        </is>
      </c>
      <c r="C3108" s="8" t="inlineStr">
        <is>
          <t>3กล.</t>
        </is>
      </c>
      <c r="D3108" s="9" t="n">
        <v>2600</v>
      </c>
      <c r="H3108" s="9" t="n">
        <v>7800</v>
      </c>
      <c r="I3108" s="10" t="inlineStr">
        <is>
          <t>บจก. วีที คัลเลอร์ โปร</t>
        </is>
      </c>
      <c r="J3108" s="161" t="n">
        <v>24030</v>
      </c>
      <c r="K3108" s="8" t="inlineStr">
        <is>
          <t>IV214-65</t>
        </is>
      </c>
      <c r="L3108" s="8" t="inlineStr">
        <is>
          <t>ราคาที่ระบุ ยังไม่รวม VAT7%</t>
        </is>
      </c>
    </row>
    <row r="3109">
      <c r="B3109" s="6" t="inlineStr">
        <is>
          <t>แม่สี ขาวเนื้อมาก  SC-270 (สีขาว) -- แกลลอนละ 4ลิตร</t>
        </is>
      </c>
      <c r="C3109" s="8" t="inlineStr">
        <is>
          <t>9กล.</t>
        </is>
      </c>
      <c r="D3109" s="9" t="n">
        <v>2600</v>
      </c>
      <c r="H3109" s="9" t="n">
        <v>23400</v>
      </c>
      <c r="I3109" s="10" t="inlineStr">
        <is>
          <t>บจก. วีที คัลเลอร์ โปร</t>
        </is>
      </c>
      <c r="J3109" s="161" t="n">
        <v>24040</v>
      </c>
      <c r="K3109" s="8" t="inlineStr">
        <is>
          <t>IV228-65</t>
        </is>
      </c>
      <c r="L3109" s="8" t="inlineStr">
        <is>
          <t>ราคาที่ระบุ ยังไม่รวม VAT7%</t>
        </is>
      </c>
    </row>
    <row r="3110">
      <c r="B3110" s="6" t="inlineStr">
        <is>
          <t>แม่สี ขาวเนื้อมาก  SC-270 (สีขาว) -- แกลลอนละ 4ลิตร</t>
        </is>
      </c>
      <c r="C3110" s="8" t="inlineStr">
        <is>
          <t>4กล.</t>
        </is>
      </c>
      <c r="D3110" s="9" t="n">
        <v>2600</v>
      </c>
      <c r="H3110" s="9" t="n">
        <v>10400</v>
      </c>
      <c r="I3110" s="10" t="inlineStr">
        <is>
          <t>บจก. วีที คัลเลอร์ โปร</t>
        </is>
      </c>
      <c r="J3110" s="161" t="n">
        <v>24057</v>
      </c>
      <c r="K3110" s="8" t="inlineStr">
        <is>
          <t>IV259-65</t>
        </is>
      </c>
      <c r="L3110" s="8" t="inlineStr">
        <is>
          <t>ราคาที่ระบุ ยังไม่รวม VAT7%</t>
        </is>
      </c>
    </row>
    <row r="3111">
      <c r="B3111" s="6" t="inlineStr">
        <is>
          <t>แม่สี ขาวเนื้อมาก  SC-270 (สีขาว) -- แกลลอนละ 4ลิตร</t>
        </is>
      </c>
      <c r="C3111" s="8" t="inlineStr">
        <is>
          <t>10กล.</t>
        </is>
      </c>
      <c r="D3111" s="9" t="n">
        <v>2600</v>
      </c>
      <c r="H3111" s="9" t="n">
        <v>26000</v>
      </c>
      <c r="I3111" s="10" t="inlineStr">
        <is>
          <t>บจก. วีที คัลเลอร์ โปร</t>
        </is>
      </c>
      <c r="J3111" s="161" t="n">
        <v>24069</v>
      </c>
      <c r="K3111" s="8" t="inlineStr">
        <is>
          <t>IV276-65</t>
        </is>
      </c>
      <c r="L3111" s="8" t="inlineStr">
        <is>
          <t>ราคาที่ระบุ ยังไม่รวม VAT7%</t>
        </is>
      </c>
    </row>
    <row r="3112">
      <c r="B3112" s="6" t="inlineStr">
        <is>
          <t>แม่สี ขาวเนื้อมาก  SC-270 (สีขาว) -- แกลลอนละ 4ลิตร</t>
        </is>
      </c>
      <c r="C3112" s="8" t="inlineStr">
        <is>
          <t>10กล.</t>
        </is>
      </c>
      <c r="D3112" s="9" t="n">
        <v>2600</v>
      </c>
      <c r="H3112" s="9" t="n">
        <v>26000</v>
      </c>
      <c r="I3112" s="10" t="inlineStr">
        <is>
          <t>บจก. วีที คัลเลอร์ โปร</t>
        </is>
      </c>
      <c r="J3112" s="161" t="n">
        <v>24095</v>
      </c>
      <c r="K3112" s="8" t="inlineStr">
        <is>
          <t>IV318-65</t>
        </is>
      </c>
      <c r="L3112" s="8" t="inlineStr">
        <is>
          <t>ราคาที่ระบุ ยังไม่รวม VAT7%</t>
        </is>
      </c>
    </row>
    <row r="3113">
      <c r="B3113" s="6" t="inlineStr">
        <is>
          <t>แม่สี ขาวเนื้อมาก  SC-270 (สีขาว) -- แกลลอนละ 4ลิตร</t>
        </is>
      </c>
      <c r="C3113" s="8" t="inlineStr">
        <is>
          <t>7กล.</t>
        </is>
      </c>
      <c r="D3113" s="9" t="n">
        <v>2600</v>
      </c>
      <c r="H3113" s="9" t="n">
        <v>18200</v>
      </c>
      <c r="I3113" s="10" t="inlineStr">
        <is>
          <t>บจก. วีที คัลเลอร์ โปร</t>
        </is>
      </c>
      <c r="J3113" s="161" t="n">
        <v>24189</v>
      </c>
      <c r="K3113" s="8" t="inlineStr">
        <is>
          <t>IV178-66</t>
        </is>
      </c>
      <c r="L3113" s="8" t="inlineStr">
        <is>
          <t>ราคาที่ระบุ ยังไม่รวม VAT7%</t>
        </is>
      </c>
    </row>
    <row r="3114">
      <c r="B3114" s="6" t="inlineStr">
        <is>
          <t>แม่สี ขาวเนื้อมาก  SC-270 (สีขาว) -- แกลลอนละ 4ลิตร</t>
        </is>
      </c>
      <c r="C3114" s="8" t="inlineStr">
        <is>
          <t>12กล.</t>
        </is>
      </c>
      <c r="D3114" s="9" t="n">
        <v>2600</v>
      </c>
      <c r="H3114" s="9" t="n">
        <v>31200</v>
      </c>
      <c r="I3114" s="10" t="inlineStr">
        <is>
          <t>บจก. วีที คัลเลอร์ โปร</t>
        </is>
      </c>
      <c r="J3114" s="161" t="n">
        <v>24127</v>
      </c>
      <c r="K3114" s="8" t="inlineStr">
        <is>
          <t>IV041-66</t>
        </is>
      </c>
      <c r="L3114" s="8" t="inlineStr">
        <is>
          <t>ราคาที่ระบุ ยังไม่รวม VAT7%</t>
        </is>
      </c>
    </row>
    <row r="3115">
      <c r="B3115" s="6" t="inlineStr">
        <is>
          <t>แม่สี ขาวเนื้อมาก  SC-270 (สีขาว) -- แกลลอนละ 4ลิตร</t>
        </is>
      </c>
      <c r="C3115" s="8" t="inlineStr">
        <is>
          <t>5กล.</t>
        </is>
      </c>
      <c r="D3115" s="9" t="n">
        <v>2600</v>
      </c>
      <c r="H3115" s="9" t="n">
        <v>13000</v>
      </c>
      <c r="I3115" s="10" t="inlineStr">
        <is>
          <t>บจก. วีที คัลเลอร์ โปร</t>
        </is>
      </c>
      <c r="J3115" s="161" t="n">
        <v>24147</v>
      </c>
      <c r="K3115" s="8" t="inlineStr">
        <is>
          <t>IV088-66</t>
        </is>
      </c>
      <c r="L3115" s="8" t="inlineStr">
        <is>
          <t>ราคาที่ระบุ ยังไม่รวม VAT7%</t>
        </is>
      </c>
    </row>
    <row r="3116">
      <c r="B3116" s="6" t="inlineStr">
        <is>
          <t>แม่สี ขาวเนื้อมาก  SC-270 (สีขาว) -- แกลลอนละ 4ลิตร</t>
        </is>
      </c>
      <c r="C3116" s="8" t="inlineStr">
        <is>
          <t>10กล.</t>
        </is>
      </c>
      <c r="D3116" s="9" t="n">
        <v>2600</v>
      </c>
      <c r="H3116" s="9" t="n">
        <v>26000</v>
      </c>
      <c r="I3116" s="10" t="inlineStr">
        <is>
          <t>บจก. วีที คัลเลอร์ โปร</t>
        </is>
      </c>
      <c r="J3116" s="161" t="n">
        <v>24160</v>
      </c>
      <c r="K3116" s="8" t="inlineStr">
        <is>
          <t>IV113-66</t>
        </is>
      </c>
      <c r="L3116" s="8" t="inlineStr">
        <is>
          <t>ราคาที่ระบุ ยังไม่รวม VAT7%</t>
        </is>
      </c>
    </row>
    <row r="3117">
      <c r="B3117" s="6" t="inlineStr">
        <is>
          <t>แม่สี ขาวเนื้อมาก  SC-270 (สีขาว) -- แกลลอนละ 4ลิตร</t>
        </is>
      </c>
      <c r="C3117" s="8" t="inlineStr">
        <is>
          <t>6กล.</t>
        </is>
      </c>
      <c r="D3117" s="9" t="n">
        <v>2600</v>
      </c>
      <c r="H3117" s="9" t="n">
        <v>15600</v>
      </c>
      <c r="I3117" s="10" t="inlineStr">
        <is>
          <t>บจก. วีที คัลเลอร์ โปร</t>
        </is>
      </c>
      <c r="J3117" s="161" t="n">
        <v>24176</v>
      </c>
      <c r="K3117" s="8" t="inlineStr">
        <is>
          <t>IV150-66</t>
        </is>
      </c>
      <c r="L3117" s="8" t="inlineStr">
        <is>
          <t>ราคาที่ระบุ ยังไม่รวม VAT7%</t>
        </is>
      </c>
    </row>
    <row r="3118">
      <c r="B3118" s="6" t="inlineStr">
        <is>
          <t>แม่สี ขาวเนื้อมาก  SC-270 (สีขาว) -- แกลลอนละ 4ลิตร</t>
        </is>
      </c>
      <c r="C3118" s="8" t="inlineStr">
        <is>
          <t>6กล.</t>
        </is>
      </c>
      <c r="D3118" s="9" t="n">
        <v>2600</v>
      </c>
      <c r="H3118" s="9" t="n">
        <v>15600</v>
      </c>
      <c r="I3118" s="10" t="inlineStr">
        <is>
          <t>บจก. วีที คัลเลอร์ โปร</t>
        </is>
      </c>
      <c r="J3118" s="161" t="n">
        <v>24186</v>
      </c>
      <c r="K3118" s="8" t="inlineStr">
        <is>
          <t>IV168-66</t>
        </is>
      </c>
      <c r="L3118" s="8" t="inlineStr">
        <is>
          <t>ราคาที่ระบุ ยังไม่รวม VAT7%</t>
        </is>
      </c>
    </row>
    <row r="3119">
      <c r="B3119" s="6" t="inlineStr">
        <is>
          <t>แม่สี ขาวเนื้อมาก  SC-270 (สีขาว) -- แกลลอนละ 4ลิตร</t>
        </is>
      </c>
      <c r="C3119" s="8" t="inlineStr">
        <is>
          <t>10กล.</t>
        </is>
      </c>
      <c r="D3119" s="9" t="n">
        <v>2600</v>
      </c>
      <c r="H3119" s="9" t="n">
        <v>26000</v>
      </c>
      <c r="I3119" s="10" t="inlineStr">
        <is>
          <t>บจก. วีที คัลเลอร์ โปร</t>
        </is>
      </c>
      <c r="J3119" s="161" t="n">
        <v>24221</v>
      </c>
      <c r="K3119" s="8" t="inlineStr">
        <is>
          <t>IV226-66</t>
        </is>
      </c>
      <c r="L3119" s="8" t="inlineStr">
        <is>
          <t>ราคาที่ระบุ ยังไม่รวม VAT7%</t>
        </is>
      </c>
    </row>
    <row r="3120">
      <c r="B3120" s="6" t="inlineStr">
        <is>
          <t>แม่สี ขาวเนื้อมาก  SC-270 (สีขาว) -- แกลลอนละ 4ลิตร</t>
        </is>
      </c>
      <c r="C3120" s="8" t="inlineStr">
        <is>
          <t>5กล.</t>
        </is>
      </c>
      <c r="D3120" s="9" t="n">
        <v>2600</v>
      </c>
      <c r="H3120" s="9" t="n">
        <v>13000</v>
      </c>
      <c r="I3120" s="10" t="inlineStr">
        <is>
          <t>บจก. วีที คัลเลอร์ โปร</t>
        </is>
      </c>
      <c r="J3120" s="161" t="n">
        <v>24271</v>
      </c>
      <c r="K3120" s="8" t="inlineStr">
        <is>
          <t>IV329-66</t>
        </is>
      </c>
      <c r="L3120" s="8" t="inlineStr">
        <is>
          <t>ราคาที่ระบุ ยังไม่รวม VAT7%</t>
        </is>
      </c>
    </row>
    <row r="3121">
      <c r="B3121" s="6" t="inlineStr">
        <is>
          <t>แม่สี ขาวเนื้อมาก  SC-270 (สีขาว) -- แกลลอนละ 4ลิตร</t>
        </is>
      </c>
      <c r="C3121" s="8" t="inlineStr">
        <is>
          <t>8กล.</t>
        </is>
      </c>
      <c r="D3121" s="9" t="n">
        <v>2600</v>
      </c>
      <c r="H3121" s="9" t="n">
        <v>20800</v>
      </c>
      <c r="I3121" s="10" t="inlineStr">
        <is>
          <t>บจก. วีที คัลเลอร์ โปร</t>
        </is>
      </c>
      <c r="J3121" s="161" t="n">
        <v>24282</v>
      </c>
      <c r="K3121" s="8" t="inlineStr">
        <is>
          <t>IV353-66</t>
        </is>
      </c>
      <c r="L3121" s="8" t="inlineStr">
        <is>
          <t>ราคาที่ระบุ ยังไม่รวม VAT7%</t>
        </is>
      </c>
    </row>
    <row r="3122">
      <c r="B3122" s="6" t="inlineStr">
        <is>
          <t>แม่สี ขาวเนื้อมาก  Hybrid S270 (สีขาว) -- แกลลอนละ 4ลิตร</t>
        </is>
      </c>
      <c r="C3122" s="8" t="inlineStr">
        <is>
          <t>6กล.</t>
        </is>
      </c>
      <c r="D3122" s="9" t="n">
        <v>2600</v>
      </c>
      <c r="H3122" s="9" t="n">
        <v>15600</v>
      </c>
      <c r="I3122" s="10" t="inlineStr">
        <is>
          <t>บจก. วีที คัลเลอร์ โปร</t>
        </is>
      </c>
      <c r="J3122" s="161" t="n">
        <v>24298</v>
      </c>
      <c r="K3122" s="8" t="inlineStr">
        <is>
          <t>IV387-66</t>
        </is>
      </c>
      <c r="L3122" s="8" t="inlineStr">
        <is>
          <t>ราคาที่ระบุ ยังไม่รวม VAT7%</t>
        </is>
      </c>
    </row>
    <row r="3123">
      <c r="B3123" s="6" t="inlineStr">
        <is>
          <t>แม่สี ขาวเนื้อมาก  Hybrid S270 (สีขาว) -- แกลลอนละ 4ลิตร</t>
        </is>
      </c>
      <c r="C3123" s="8" t="inlineStr">
        <is>
          <t>6กล.</t>
        </is>
      </c>
      <c r="D3123" s="9" t="n">
        <v>2600</v>
      </c>
      <c r="H3123" s="9" t="n">
        <v>15600</v>
      </c>
      <c r="I3123" s="10" t="inlineStr">
        <is>
          <t>บจก. วีที คัลเลอร์ โปร</t>
        </is>
      </c>
      <c r="J3123" s="161" t="n">
        <v>24309</v>
      </c>
      <c r="K3123" s="8" t="inlineStr">
        <is>
          <t>IV410-66</t>
        </is>
      </c>
      <c r="L3123" s="8" t="inlineStr">
        <is>
          <t>ราคาที่ระบุ ยังไม่รวม VAT7%</t>
        </is>
      </c>
    </row>
    <row r="3124">
      <c r="B3124" s="6" t="inlineStr">
        <is>
          <t>แม่สี ขาวเนื้อมาก  Hybrid S270 (สีขาว) -- แกลลอนละ 4ลิตร</t>
        </is>
      </c>
      <c r="C3124" s="8" t="inlineStr">
        <is>
          <t>8กล.</t>
        </is>
      </c>
      <c r="D3124" s="9" t="n">
        <v>2600</v>
      </c>
      <c r="H3124" s="9" t="n">
        <v>20800</v>
      </c>
      <c r="I3124" s="10" t="inlineStr">
        <is>
          <t>บจก. วีที คัลเลอร์ โปร</t>
        </is>
      </c>
      <c r="J3124" s="161" t="n">
        <v>24315</v>
      </c>
      <c r="K3124" s="8" t="inlineStr">
        <is>
          <t>IV424-66</t>
        </is>
      </c>
      <c r="L3124" s="8" t="inlineStr">
        <is>
          <t>ราคาที่ระบุ ยังไม่รวม VAT7%</t>
        </is>
      </c>
    </row>
    <row r="3125">
      <c r="B3125" s="6" t="inlineStr">
        <is>
          <t>แม่สี ขาวเนื้อมาก  Hybrid S270 (สีขาว) -- แกลลอนละ 4ลิตร</t>
        </is>
      </c>
      <c r="C3125" s="8" t="n">
        <v>10</v>
      </c>
      <c r="D3125" s="9" t="n">
        <v>2600</v>
      </c>
      <c r="H3125" s="9">
        <f>SUM(D3125*C3125)</f>
        <v/>
      </c>
      <c r="I3125" s="10" t="inlineStr">
        <is>
          <t>บจก. วีที คัลเลอร์ โปร</t>
        </is>
      </c>
      <c r="J3125" s="161" t="n">
        <v>24340</v>
      </c>
      <c r="K3125" s="8" t="inlineStr">
        <is>
          <t>IV469-66</t>
        </is>
      </c>
      <c r="L3125" s="8" t="inlineStr">
        <is>
          <t>ราคาที่ระบุ ยังไม่รวม VAT7%</t>
        </is>
      </c>
    </row>
    <row r="3126">
      <c r="B3126" s="6" t="inlineStr">
        <is>
          <t>แม่สี ขาวเนื้อมาก  Hybrid S270 (สีขาว) -- แกลลอนละ 4ลิตร</t>
        </is>
      </c>
      <c r="C3126" s="8" t="n">
        <v>5</v>
      </c>
      <c r="D3126" s="9" t="n">
        <v>2600</v>
      </c>
      <c r="H3126" s="9">
        <f>SUM(D3126*C3126)</f>
        <v/>
      </c>
      <c r="I3126" s="10" t="inlineStr">
        <is>
          <t>บจก. วีที คัลเลอร์ โปร</t>
        </is>
      </c>
      <c r="J3126" s="161" t="n">
        <v>24359</v>
      </c>
      <c r="K3126" s="8" t="inlineStr">
        <is>
          <t>IV517-66</t>
        </is>
      </c>
      <c r="L3126" s="8" t="inlineStr">
        <is>
          <t>ราคาที่ระบุ ยังไม่รวม VAT7%</t>
        </is>
      </c>
    </row>
    <row r="3127">
      <c r="B3127" s="6" t="inlineStr">
        <is>
          <t>แม่สี ขาวเนื้อมาก  Hybrid S270 (สีขาว) -- แกลลอนละ 4ลิตร</t>
        </is>
      </c>
      <c r="C3127" s="8" t="n">
        <v>10</v>
      </c>
      <c r="D3127" s="9" t="n">
        <v>2600</v>
      </c>
      <c r="H3127" s="9">
        <f>SUM(D3127*C3127)</f>
        <v/>
      </c>
      <c r="I3127" s="10" t="inlineStr">
        <is>
          <t>บจก. วีที คัลเลอร์ โปร</t>
        </is>
      </c>
      <c r="J3127" s="161" t="n">
        <v>24372</v>
      </c>
      <c r="K3127" s="8" t="inlineStr">
        <is>
          <t>IV541-66</t>
        </is>
      </c>
      <c r="L3127" s="8" t="inlineStr">
        <is>
          <t>ราคาที่ระบุ ยังไม่รวม VAT7%</t>
        </is>
      </c>
    </row>
    <row r="3128">
      <c r="B3128" s="6" t="inlineStr">
        <is>
          <t>แม่สี ขาวเนื้อมาก  Hybrid S270 (สีขาว) -- แกลลอนละ 4ลิตร</t>
        </is>
      </c>
      <c r="C3128" s="8" t="n">
        <v>4</v>
      </c>
      <c r="D3128" s="9" t="n">
        <v>2600</v>
      </c>
      <c r="H3128" s="9">
        <f>SUM(D3128*C3128)</f>
        <v/>
      </c>
      <c r="I3128" s="10" t="inlineStr">
        <is>
          <t>บจก. วีที คัลเลอร์ โปร</t>
        </is>
      </c>
      <c r="J3128" s="161" t="n">
        <v>24396</v>
      </c>
      <c r="K3128" s="8" t="inlineStr">
        <is>
          <t>IV591-66</t>
        </is>
      </c>
      <c r="L3128" s="8" t="inlineStr">
        <is>
          <t>ราคาที่ระบุ ยังไม่รวม VAT7%</t>
        </is>
      </c>
    </row>
    <row r="3129">
      <c r="B3129" s="6" t="inlineStr">
        <is>
          <t>แม่สี ขาวเนื้อมาก  Hybrid S270 (สีขาว) -- แกลลอนละ 4ลิตร</t>
        </is>
      </c>
      <c r="C3129" s="8" t="n">
        <v>10</v>
      </c>
      <c r="D3129" s="9" t="n">
        <v>2600</v>
      </c>
      <c r="H3129" s="9">
        <f>SUM(D3129*C3129)</f>
        <v/>
      </c>
      <c r="I3129" s="10" t="inlineStr">
        <is>
          <t>บจก. วีที คัลเลอร์ โปร</t>
        </is>
      </c>
      <c r="J3129" s="161" t="n">
        <v>24401</v>
      </c>
      <c r="K3129" s="8" t="inlineStr">
        <is>
          <t>IV684-66</t>
        </is>
      </c>
      <c r="L3129" s="8" t="inlineStr">
        <is>
          <t>ราคาที่ระบุ ยังไม่รวม VAT7%</t>
        </is>
      </c>
    </row>
    <row r="3130">
      <c r="B3130" s="6" t="inlineStr">
        <is>
          <t>แม่สี ขาวเนื้อมาก  Hybrid S270 (สีขาว) -- แกลลอนละ 4ลิตร</t>
        </is>
      </c>
      <c r="C3130" s="8" t="n">
        <v>10</v>
      </c>
      <c r="D3130" s="9" t="n">
        <v>2600</v>
      </c>
      <c r="H3130" s="9">
        <f>SUM(D3130*C3130)</f>
        <v/>
      </c>
      <c r="I3130" s="10" t="inlineStr">
        <is>
          <t>บจก. วีที คัลเลอร์ โปร</t>
        </is>
      </c>
      <c r="J3130" s="161" t="n">
        <v>24404</v>
      </c>
      <c r="K3130" s="8" t="inlineStr">
        <is>
          <t>IV619-66</t>
        </is>
      </c>
      <c r="L3130" s="8" t="inlineStr">
        <is>
          <t>ราคาที่ระบุ ยังไม่รวม VAT7%</t>
        </is>
      </c>
    </row>
    <row r="3131">
      <c r="B3131" s="6" t="inlineStr">
        <is>
          <t>แม่สี ขาวเนื้อมาก  Hybrid S270 (สีขาว) -- แกลลอนละ 4ลิตร</t>
        </is>
      </c>
      <c r="C3131" s="8" t="n">
        <v>10</v>
      </c>
      <c r="D3131" s="9" t="n">
        <v>2600</v>
      </c>
      <c r="H3131" s="9">
        <f>SUM(D3131*C3131)</f>
        <v/>
      </c>
      <c r="I3131" s="10" t="inlineStr">
        <is>
          <t>บจก. วีที คัลเลอร์ โปร</t>
        </is>
      </c>
      <c r="J3131" s="161" t="n">
        <v>24462</v>
      </c>
      <c r="K3131" s="8" t="inlineStr">
        <is>
          <t>IV765-66</t>
        </is>
      </c>
      <c r="L3131" s="8" t="inlineStr">
        <is>
          <t>ราคาที่ระบุ ยังไม่รวม VAT7%</t>
        </is>
      </c>
    </row>
    <row r="3132">
      <c r="B3132" s="6" t="inlineStr">
        <is>
          <t>แม่สี ขาวเนื้อมาก  Hybrid S270 (สีขาว) -- แกลลอนละ 4ลิตร</t>
        </is>
      </c>
      <c r="C3132" s="8" t="n">
        <v>5</v>
      </c>
      <c r="D3132" s="9" t="n">
        <v>2600</v>
      </c>
      <c r="H3132" s="9">
        <f>SUM(D3132*C3132)</f>
        <v/>
      </c>
      <c r="I3132" s="10" t="inlineStr">
        <is>
          <t>บจก. วีที คัลเลอร์ โปร</t>
        </is>
      </c>
      <c r="J3132" s="161" t="n">
        <v>24494</v>
      </c>
      <c r="K3132" s="8" t="inlineStr">
        <is>
          <t>IV6701069</t>
        </is>
      </c>
      <c r="L3132" s="8" t="inlineStr">
        <is>
          <t>ราคาที่ระบุ ยังไม่รวม VAT7%</t>
        </is>
      </c>
    </row>
    <row r="3133">
      <c r="B3133" s="6" t="inlineStr">
        <is>
          <t>แม่สี ขาวเนื้อมาก  Hybrid S270 (สีขาว) -- แกลลอนละ 4ลิตร</t>
        </is>
      </c>
      <c r="C3133" s="8" t="n">
        <v>5</v>
      </c>
      <c r="D3133" s="9" t="n">
        <v>2600</v>
      </c>
      <c r="H3133" s="9">
        <f>SUM(D3133*C3133)</f>
        <v/>
      </c>
      <c r="I3133" s="10" t="inlineStr">
        <is>
          <t>บจก. วีที คัลเลอร์ โปร</t>
        </is>
      </c>
      <c r="J3133" s="161" t="n">
        <v>24496</v>
      </c>
      <c r="K3133" s="8" t="inlineStr">
        <is>
          <t>IV6701079</t>
        </is>
      </c>
      <c r="L3133" s="8" t="inlineStr">
        <is>
          <t>ราคาที่ระบุ ยังไม่รวม VAT7%</t>
        </is>
      </c>
    </row>
    <row r="3134">
      <c r="B3134" s="6" t="inlineStr">
        <is>
          <t>แม่สี ขาวเนื้อมาก  Hybrid S270 (สีขาว) -- แกลลอนละ 4ลิตร</t>
        </is>
      </c>
      <c r="C3134" s="8" t="n">
        <v>5</v>
      </c>
      <c r="D3134" s="9" t="n">
        <v>2600</v>
      </c>
      <c r="H3134" s="9">
        <f>SUM(D3134*C3134)</f>
        <v/>
      </c>
      <c r="I3134" s="10" t="inlineStr">
        <is>
          <t>บจก. วีที คัลเลอร์ โปร</t>
        </is>
      </c>
      <c r="J3134" s="161" t="n">
        <v>24515</v>
      </c>
      <c r="K3134" s="8" t="inlineStr">
        <is>
          <t>IV6702047</t>
        </is>
      </c>
      <c r="L3134" s="8" t="inlineStr">
        <is>
          <t>ราคาที่ระบุ ยังไม่รวม VAT7%</t>
        </is>
      </c>
    </row>
    <row r="3135">
      <c r="B3135" s="6" t="inlineStr">
        <is>
          <t>แม่สี ขาวเนื้อมาก  Hybrid S270 (สีขาว) -- แกลลอนละ 4ลิตร</t>
        </is>
      </c>
      <c r="C3135" s="8" t="n">
        <v>8</v>
      </c>
      <c r="D3135" s="9" t="n">
        <v>2600</v>
      </c>
      <c r="H3135" s="9">
        <f>SUM(D3135*C3135)</f>
        <v/>
      </c>
      <c r="I3135" s="10" t="inlineStr">
        <is>
          <t>บจก. วีที คัลเลอร์ โปร</t>
        </is>
      </c>
      <c r="J3135" s="161" t="n">
        <v>24529</v>
      </c>
      <c r="K3135" s="8" t="inlineStr">
        <is>
          <t>IV6702103</t>
        </is>
      </c>
      <c r="L3135" s="8" t="inlineStr">
        <is>
          <t>ราคาที่ระบุ ยังไม่รวม VAT7%</t>
        </is>
      </c>
    </row>
    <row r="3136">
      <c r="B3136" s="6" t="inlineStr">
        <is>
          <t>แม่สี ขาวเนื้อมาก  Hybrid S270 (สีขาว) -- แกลลอนละ 4ลิตร</t>
        </is>
      </c>
      <c r="C3136" s="8" t="n">
        <v>6</v>
      </c>
      <c r="D3136" s="9" t="n">
        <v>2600</v>
      </c>
      <c r="H3136" s="9">
        <f>SUM(D3136*C3136)</f>
        <v/>
      </c>
      <c r="I3136" s="10" t="inlineStr">
        <is>
          <t>บจก. วีที คัลเลอร์ โปร</t>
        </is>
      </c>
      <c r="J3136" s="161" t="n">
        <v>24539</v>
      </c>
      <c r="K3136" s="8" t="inlineStr">
        <is>
          <t>IV6703040</t>
        </is>
      </c>
      <c r="L3136" s="8" t="inlineStr">
        <is>
          <t>ราคาที่ระบุ ยังไม่รวม VAT7%</t>
        </is>
      </c>
    </row>
    <row r="3137">
      <c r="B3137" s="6" t="inlineStr">
        <is>
          <t>แม่สี ขาวเนื้อมาก  Hybrid S270 (สีขาว) -- แกลลอนละ 4ลิตร</t>
        </is>
      </c>
      <c r="C3137" s="8" t="n">
        <v>10</v>
      </c>
      <c r="D3137" s="9" t="n">
        <v>2600</v>
      </c>
      <c r="H3137" s="9">
        <f>SUM(D3137*C3137)</f>
        <v/>
      </c>
      <c r="I3137" s="10" t="inlineStr">
        <is>
          <t>บจก. วีที คัลเลอร์ โปร</t>
        </is>
      </c>
      <c r="J3137" s="161" t="n">
        <v>24550</v>
      </c>
      <c r="K3137" s="8" t="inlineStr">
        <is>
          <t>IV6703088</t>
        </is>
      </c>
      <c r="L3137" s="8" t="inlineStr">
        <is>
          <t>ราคาที่ระบุ ยังไม่รวม VAT7%</t>
        </is>
      </c>
    </row>
    <row r="3138">
      <c r="B3138" s="6" t="inlineStr">
        <is>
          <t>แม่สี ขาวเนื้อมาก  Hybrid S270 (สีขาว) -- แกลลอนละ 4ลิตร</t>
        </is>
      </c>
      <c r="C3138" s="8" t="n">
        <v>10</v>
      </c>
      <c r="D3138" s="9" t="n">
        <v>2600</v>
      </c>
      <c r="H3138" s="9">
        <f>SUM(D3138*C3138)</f>
        <v/>
      </c>
      <c r="I3138" s="10" t="inlineStr">
        <is>
          <t>บจก. วีที คัลเลอร์ โปร</t>
        </is>
      </c>
      <c r="J3138" s="161" t="n">
        <v>24584</v>
      </c>
      <c r="K3138" s="8" t="inlineStr">
        <is>
          <t>IV6704071</t>
        </is>
      </c>
      <c r="L3138" s="8" t="inlineStr">
        <is>
          <t>ราคาที่ระบุ ยังไม่รวม VAT7%</t>
        </is>
      </c>
    </row>
    <row r="3139">
      <c r="B3139" s="6" t="inlineStr">
        <is>
          <t>แม่สี ขาวเนื้อมาก  Hybrid S270 (สีขาว) -- แกลลอนละ 4ลิตร</t>
        </is>
      </c>
      <c r="C3139" s="8" t="n">
        <v>4</v>
      </c>
      <c r="D3139" s="9" t="n">
        <v>2600</v>
      </c>
      <c r="H3139" s="9">
        <f>SUM(D3139*C3139)</f>
        <v/>
      </c>
      <c r="I3139" s="10" t="inlineStr">
        <is>
          <t>บจก. วีที คัลเลอร์ โปร</t>
        </is>
      </c>
      <c r="J3139" s="161" t="n">
        <v>24600</v>
      </c>
      <c r="K3139" s="8" t="inlineStr">
        <is>
          <t>IV6705049</t>
        </is>
      </c>
      <c r="L3139" s="8" t="inlineStr">
        <is>
          <t>ราคาที่ระบุ ยังไม่รวม VAT7%</t>
        </is>
      </c>
    </row>
    <row r="3140">
      <c r="B3140" s="6" t="inlineStr">
        <is>
          <t>แม่สี ขาวเนื้อมาก  Hybrid S270 (สีขาว) -- แกลลอนละ 4ลิตร</t>
        </is>
      </c>
      <c r="C3140" s="8" t="n">
        <v>12</v>
      </c>
      <c r="D3140" s="9" t="n">
        <v>2600</v>
      </c>
      <c r="H3140" s="9">
        <f>SUM(D3140*C3140)</f>
        <v/>
      </c>
      <c r="I3140" s="10" t="inlineStr">
        <is>
          <t>บจก. วีที คัลเลอร์ โปร</t>
        </is>
      </c>
      <c r="J3140" s="161" t="n">
        <v>24613</v>
      </c>
      <c r="K3140" s="8" t="inlineStr">
        <is>
          <t>IV6705104</t>
        </is>
      </c>
      <c r="L3140" s="8" t="inlineStr">
        <is>
          <t>ราคาที่ระบุ ยังไม่รวม VAT7%</t>
        </is>
      </c>
    </row>
    <row r="3141">
      <c r="B3141" s="6" t="inlineStr">
        <is>
          <t>แม่สี ขาวเนื้อมาก  Hybrid S270 (สีขาว) -- แกลลอนละ 4ลิตร</t>
        </is>
      </c>
      <c r="C3141" s="8" t="n">
        <v>5</v>
      </c>
      <c r="D3141" s="9" t="n">
        <v>2600</v>
      </c>
      <c r="H3141" s="9">
        <f>SUM(D3141*C3141)</f>
        <v/>
      </c>
      <c r="I3141" s="10" t="inlineStr">
        <is>
          <t>บจก. วีที คัลเลอร์ โปร</t>
        </is>
      </c>
      <c r="J3141" s="161" t="n">
        <v>24634</v>
      </c>
      <c r="K3141" s="8" t="inlineStr">
        <is>
          <t>IV6706078</t>
        </is>
      </c>
      <c r="L3141" s="8" t="inlineStr">
        <is>
          <t>ราคาที่ระบุ ยังไม่รวม VAT7%</t>
        </is>
      </c>
    </row>
    <row r="3142">
      <c r="B3142" s="6" t="inlineStr">
        <is>
          <t>แม่สี ขาวเนื้อมาก  Hybrid S270 (สีขาว) -- แกลลอนละ 4ลิตร</t>
        </is>
      </c>
      <c r="C3142" s="8" t="n">
        <v>12</v>
      </c>
      <c r="D3142" s="9" t="n">
        <v>2600</v>
      </c>
      <c r="H3142" s="9">
        <f>SUM(D3142*C3142)</f>
        <v/>
      </c>
      <c r="I3142" s="10" t="inlineStr">
        <is>
          <t>บจก. วีที คัลเลอร์ โปร</t>
        </is>
      </c>
      <c r="J3142" s="161" t="n">
        <v>24644</v>
      </c>
      <c r="K3142" s="8" t="inlineStr">
        <is>
          <t>IV6706124</t>
        </is>
      </c>
      <c r="L3142" s="8" t="inlineStr">
        <is>
          <t>ราคาที่ระบุ ยังไม่รวม VAT7%</t>
        </is>
      </c>
    </row>
    <row r="3143">
      <c r="B3143" s="6" t="inlineStr">
        <is>
          <t>แม่สี ขาวเนื้อมาก  Hybrid S270 (สีขาว) -- แกลลอนละ 4ลิตร</t>
        </is>
      </c>
      <c r="C3143" s="8" t="n">
        <v>3</v>
      </c>
      <c r="D3143" s="9" t="n">
        <v>2600</v>
      </c>
      <c r="H3143" s="9">
        <f>SUM(D3143*C3143)</f>
        <v/>
      </c>
      <c r="I3143" s="10" t="inlineStr">
        <is>
          <t>บจก. วีที คัลเลอร์ โปร</t>
        </is>
      </c>
      <c r="J3143" s="161" t="n">
        <v>24664</v>
      </c>
      <c r="K3143" s="8" t="inlineStr">
        <is>
          <t>IV6707082</t>
        </is>
      </c>
      <c r="L3143" s="8" t="inlineStr">
        <is>
          <t>ราคาที่ระบุ ยังไม่รวม VAT7%</t>
        </is>
      </c>
    </row>
    <row r="3144">
      <c r="B3144" s="6" t="inlineStr">
        <is>
          <t>แม่สี ขาวเนื้อมาก  Hybrid S270 (สีขาว) -- แกลลอนละ 4ลิตร</t>
        </is>
      </c>
      <c r="C3144" s="8" t="n">
        <v>12</v>
      </c>
      <c r="D3144" s="9" t="n">
        <v>2600</v>
      </c>
      <c r="H3144" s="9">
        <f>SUM(D3144*C3144)</f>
        <v/>
      </c>
      <c r="I3144" s="10" t="inlineStr">
        <is>
          <t>บจก. วีที คัลเลอร์ โปร</t>
        </is>
      </c>
      <c r="J3144" s="161" t="n">
        <v>24676</v>
      </c>
      <c r="K3144" s="8" t="inlineStr">
        <is>
          <t>IV6707130</t>
        </is>
      </c>
      <c r="L3144" s="8" t="inlineStr">
        <is>
          <t>ราคาที่ระบุ ยังไม่รวม VAT7%</t>
        </is>
      </c>
    </row>
    <row r="3145">
      <c r="B3145" s="6" t="inlineStr">
        <is>
          <t>แม่สี ขาวเนื้อมาก  Hybrid S270 (สีขาว) -- แกลลอนละ 4ลิตร</t>
        </is>
      </c>
      <c r="C3145" s="8" t="n">
        <v>5</v>
      </c>
      <c r="D3145" s="9" t="n">
        <v>2600</v>
      </c>
      <c r="H3145" s="9">
        <f>SUM(D3145*C3145)</f>
        <v/>
      </c>
      <c r="I3145" s="10" t="inlineStr">
        <is>
          <t>บจก. วีที คัลเลอร์ โปร</t>
        </is>
      </c>
      <c r="J3145" s="161" t="n">
        <v>24698</v>
      </c>
      <c r="K3145" s="8" t="inlineStr">
        <is>
          <t>IV6708064</t>
        </is>
      </c>
      <c r="L3145" s="8" t="inlineStr">
        <is>
          <t>ราคาที่ระบุ ยังไม่รวม VAT7%</t>
        </is>
      </c>
    </row>
    <row r="3146">
      <c r="B3146" s="6" t="inlineStr">
        <is>
          <t>แม่สี ขาวเนื้อมาก  Hybrid S270 (สีขาว) -- แกลลอนละ 4ลิตร</t>
        </is>
      </c>
      <c r="C3146" s="8" t="n">
        <v>10</v>
      </c>
      <c r="D3146" s="9" t="n">
        <v>2600</v>
      </c>
      <c r="H3146" s="9">
        <f>SUM(D3146*C3146)</f>
        <v/>
      </c>
      <c r="I3146" s="10" t="inlineStr">
        <is>
          <t>บจก. วีที คัลเลอร์ โปร</t>
        </is>
      </c>
      <c r="J3146" s="161" t="n">
        <v>24707</v>
      </c>
      <c r="K3146" s="8" t="inlineStr">
        <is>
          <t>IV6708116</t>
        </is>
      </c>
      <c r="L3146" s="8" t="inlineStr">
        <is>
          <t>ราคาที่ระบุ ยังไม่รวม VAT7%</t>
        </is>
      </c>
    </row>
    <row r="3147">
      <c r="B3147" s="6" t="inlineStr">
        <is>
          <t>แม่สี ขาวเนื้อมาก  Hybrid S270 (สีขาว) -- แกลลอนละ 4ลิตร</t>
        </is>
      </c>
      <c r="C3147" s="8" t="n">
        <v>5</v>
      </c>
      <c r="D3147" s="9" t="n">
        <v>2600</v>
      </c>
      <c r="H3147" s="9">
        <f>SUM(D3147*C3147)</f>
        <v/>
      </c>
      <c r="I3147" s="10" t="inlineStr">
        <is>
          <t>บจก. วีที คัลเลอร์ โปร</t>
        </is>
      </c>
      <c r="J3147" s="161" t="n">
        <v>24731</v>
      </c>
      <c r="K3147" s="8" t="inlineStr">
        <is>
          <t>IV6709082</t>
        </is>
      </c>
      <c r="L3147" s="8" t="inlineStr">
        <is>
          <t>ราคาที่ระบุ ยังไม่รวม VAT7%</t>
        </is>
      </c>
    </row>
    <row r="3148">
      <c r="B3148" s="6" t="inlineStr">
        <is>
          <t>แม่สี ขาวเนื้อมาก  Hybrid S270 (สีขาว) -- แกลลอนละ 4ลิตร</t>
        </is>
      </c>
      <c r="C3148" s="8" t="n">
        <v>10</v>
      </c>
      <c r="D3148" s="9" t="n">
        <v>2600</v>
      </c>
      <c r="H3148" s="9">
        <f>SUM(D3148*C3148)</f>
        <v/>
      </c>
      <c r="I3148" s="10" t="inlineStr">
        <is>
          <t>บจก. วีที คัลเลอร์ โปร</t>
        </is>
      </c>
      <c r="J3148" s="161" t="n">
        <v>24739</v>
      </c>
      <c r="K3148" s="8" t="inlineStr">
        <is>
          <t>IV6709122</t>
        </is>
      </c>
      <c r="L3148" s="8" t="inlineStr">
        <is>
          <t>ราคาที่ระบุ ยังไม่รวม VAT7%</t>
        </is>
      </c>
    </row>
    <row r="3149">
      <c r="B3149" s="6" t="inlineStr">
        <is>
          <t>แม่สี ขาวเนื้อมาก  Hybrid S270 (สีขาว) -- แกลลอนละ 4ลิตร</t>
        </is>
      </c>
      <c r="C3149" s="8" t="n">
        <v>6</v>
      </c>
      <c r="D3149" s="9" t="n">
        <v>2600</v>
      </c>
      <c r="H3149" s="9">
        <f>SUM(D3149*C3149)</f>
        <v/>
      </c>
      <c r="I3149" s="10" t="inlineStr">
        <is>
          <t>บจก. วีที คัลเลอร์ โปร</t>
        </is>
      </c>
      <c r="J3149" s="161" t="n">
        <v>24759</v>
      </c>
      <c r="K3149" s="8" t="inlineStr">
        <is>
          <t>IV6710073</t>
        </is>
      </c>
      <c r="L3149" s="8" t="inlineStr">
        <is>
          <t>ราคาที่ระบุ ยังไม่รวม VAT7%</t>
        </is>
      </c>
    </row>
    <row r="3150">
      <c r="B3150" s="6" t="inlineStr">
        <is>
          <t>แม่สี ขาวเนื้อมาก  Hybrid S270 (สีขาว) -- แกลลอนละ 4ลิตร</t>
        </is>
      </c>
      <c r="C3150" s="8" t="n">
        <v>10</v>
      </c>
      <c r="D3150" s="9" t="n">
        <v>2600</v>
      </c>
      <c r="H3150" s="9">
        <f>SUM(D3150*C3150)</f>
        <v/>
      </c>
      <c r="I3150" s="10" t="inlineStr">
        <is>
          <t>บจก. วีที คัลเลอร์ โปร</t>
        </is>
      </c>
      <c r="J3150" s="161" t="n">
        <v>24766</v>
      </c>
      <c r="K3150" s="8" t="inlineStr">
        <is>
          <t>IV6710109</t>
        </is>
      </c>
      <c r="L3150" s="8" t="inlineStr">
        <is>
          <t>ราคาที่ระบุ ยังไม่รวม VAT7%</t>
        </is>
      </c>
    </row>
    <row r="3151">
      <c r="B3151" s="6" t="inlineStr">
        <is>
          <t>แม่สี ขาวเนื้อมาก  Hybrid S270 (สีขาว) -- แกลลอนละ 4ลิตร</t>
        </is>
      </c>
      <c r="C3151" s="8" t="n">
        <v>12</v>
      </c>
      <c r="D3151" s="9" t="n">
        <v>2600</v>
      </c>
      <c r="H3151" s="9">
        <f>SUM(D3151*C3151)</f>
        <v/>
      </c>
      <c r="I3151" s="10" t="inlineStr">
        <is>
          <t>บจก. วีที คัลเลอร์ โปร</t>
        </is>
      </c>
      <c r="J3151" s="161" t="n">
        <v>24795</v>
      </c>
      <c r="K3151" s="8" t="inlineStr">
        <is>
          <t>IV6711103</t>
        </is>
      </c>
      <c r="L3151" s="8" t="inlineStr">
        <is>
          <t>ราคาที่ระบุ ยังไม่รวม VAT7%</t>
        </is>
      </c>
    </row>
    <row r="3152">
      <c r="B3152" s="6" t="inlineStr">
        <is>
          <t>แม่สี ขาวเนื้อมาก  Hybrid S270 (สีขาว) -- แกลลอนละ 4ลิตร</t>
        </is>
      </c>
      <c r="C3152" s="8" t="n">
        <v>10</v>
      </c>
      <c r="D3152" s="9" t="n">
        <v>2600</v>
      </c>
      <c r="H3152" s="9">
        <f>SUM(D3152*C3152)</f>
        <v/>
      </c>
      <c r="I3152" s="10" t="inlineStr">
        <is>
          <t>บจก. วีที คัลเลอร์ โปร</t>
        </is>
      </c>
      <c r="J3152" s="161" t="n">
        <v>24824</v>
      </c>
      <c r="K3152" s="8" t="inlineStr">
        <is>
          <t>IV6712085</t>
        </is>
      </c>
      <c r="L3152" s="8" t="inlineStr">
        <is>
          <t>ราคาที่ระบุ ยังไม่รวม VAT7%</t>
        </is>
      </c>
    </row>
    <row r="3153">
      <c r="B3153" s="6" t="inlineStr">
        <is>
          <t>แม่สี ขาวเนื้อมาก  Hybrid S270 (สีขาว) -- แกลลอนละ 4ลิตร</t>
        </is>
      </c>
      <c r="C3153" s="8" t="n">
        <v>10</v>
      </c>
      <c r="D3153" s="9" t="n">
        <v>2782</v>
      </c>
      <c r="H3153" s="9">
        <f>SUM(D3153*C3153)</f>
        <v/>
      </c>
      <c r="I3153" s="10" t="inlineStr">
        <is>
          <t>บจก. วีที คัลเลอร์ โปร</t>
        </is>
      </c>
      <c r="J3153" s="161" t="n">
        <v>24858</v>
      </c>
      <c r="K3153" s="8" t="inlineStr">
        <is>
          <t>IV6801106</t>
        </is>
      </c>
      <c r="L3153" s="8" t="inlineStr">
        <is>
          <t>ราคารวม VAT แล้ว</t>
        </is>
      </c>
    </row>
    <row r="3154">
      <c r="B3154" s="6" t="inlineStr">
        <is>
          <t>แม่สี ขาวเนื้อมาก  Hybrid S270 (สีขาว) -- แกลลอนละ 4ลิตร</t>
        </is>
      </c>
      <c r="C3154" s="8" t="n">
        <v>5</v>
      </c>
      <c r="D3154" s="9" t="n">
        <v>2782</v>
      </c>
      <c r="H3154" s="9">
        <f>SUM(D3154*C3154)</f>
        <v/>
      </c>
      <c r="I3154" s="10" t="inlineStr">
        <is>
          <t>บจก. วีที คัลเลอร์ โปร</t>
        </is>
      </c>
      <c r="J3154" s="161" t="n">
        <v>24886</v>
      </c>
      <c r="K3154" s="8" t="inlineStr">
        <is>
          <t>IV6802112</t>
        </is>
      </c>
      <c r="L3154" s="8" t="inlineStr">
        <is>
          <t>ราคารวม VAT แล้ว</t>
        </is>
      </c>
    </row>
    <row r="3155">
      <c r="B3155" s="6" t="inlineStr">
        <is>
          <t>แม่สี ขาวเนื้อมาก  Hybrid S270 (สีขาว) -- แกลลอนละ 4ลิตร</t>
        </is>
      </c>
      <c r="C3155" s="8" t="n">
        <v>7</v>
      </c>
      <c r="D3155" s="9" t="n">
        <v>2782</v>
      </c>
      <c r="H3155" s="9">
        <f>SUM(D3155*C3155)</f>
        <v/>
      </c>
      <c r="I3155" s="10" t="inlineStr">
        <is>
          <t>บจก. วีที คัลเลอร์ โปร</t>
        </is>
      </c>
      <c r="J3155" s="161" t="n">
        <v>24892</v>
      </c>
      <c r="K3155" s="8" t="inlineStr">
        <is>
          <t>IV6802144</t>
        </is>
      </c>
      <c r="L3155" s="8" t="inlineStr">
        <is>
          <t>ราคารวม VAT แล้ว</t>
        </is>
      </c>
    </row>
    <row r="3156">
      <c r="B3156" s="6" t="inlineStr">
        <is>
          <t>แม่สี ขาวเนื้อมาก  Hybrid S270 (สีขาว) -- แกลลอนละ 4ลิตร</t>
        </is>
      </c>
      <c r="C3156" s="8" t="n">
        <v>12</v>
      </c>
      <c r="D3156" s="9" t="n">
        <v>2782</v>
      </c>
      <c r="H3156" s="9">
        <f>SUM(D3156*C3156)</f>
        <v/>
      </c>
      <c r="I3156" s="10" t="inlineStr">
        <is>
          <t>บจก. วีที คัลเลอร์ โปร</t>
        </is>
      </c>
      <c r="J3156" s="161" t="n">
        <v>24923</v>
      </c>
      <c r="K3156" s="8" t="inlineStr">
        <is>
          <t>IV6803171</t>
        </is>
      </c>
      <c r="L3156" s="8" t="inlineStr">
        <is>
          <t>ราคารวม VAT แล้ว</t>
        </is>
      </c>
    </row>
    <row r="3157">
      <c r="B3157" s="6" t="inlineStr">
        <is>
          <t>แม่สี ขาวเนื้อมาก  Hybrid S270 (สีขาว) -- แกลลอนละ 4ลิตร</t>
        </is>
      </c>
      <c r="C3157" s="8" t="n">
        <v>12</v>
      </c>
      <c r="D3157" s="9" t="n">
        <v>2600</v>
      </c>
      <c r="E3157" s="9">
        <f>SUM(C3157*D3157)</f>
        <v/>
      </c>
      <c r="H3157" s="9">
        <f>SUM(E3157*O3157/N3157)</f>
        <v/>
      </c>
      <c r="I3157" s="10" t="inlineStr">
        <is>
          <t>บจก. วีที คัลเลอร์ โปร</t>
        </is>
      </c>
      <c r="J3157" s="161" t="n">
        <v>24952</v>
      </c>
      <c r="K3157" s="8" t="inlineStr">
        <is>
          <t>IV6804121</t>
        </is>
      </c>
      <c r="L3157" s="8" t="inlineStr">
        <is>
          <t>ราคารวม VAT แล้ว</t>
        </is>
      </c>
      <c r="N3157" s="6" t="n">
        <v>100</v>
      </c>
      <c r="O3157" s="6" t="n">
        <v>107</v>
      </c>
    </row>
    <row r="3158">
      <c r="B3158" s="6" t="inlineStr">
        <is>
          <t>แม่สี ขาวเนื้อมาก  Hybrid S270 (สีขาว) -- แกลลอนละ 4ลิตร</t>
        </is>
      </c>
      <c r="C3158" s="8" t="n">
        <v>12</v>
      </c>
      <c r="D3158" s="9" t="n">
        <v>2600</v>
      </c>
      <c r="E3158" s="9">
        <f>SUM(C3158*D3158)</f>
        <v/>
      </c>
      <c r="H3158" s="9">
        <f>SUM(E3158*O3158/N3158)</f>
        <v/>
      </c>
      <c r="I3158" s="10" t="inlineStr">
        <is>
          <t>บจก. วีที คัลเลอร์ โปร</t>
        </is>
      </c>
      <c r="J3158" s="161" t="n">
        <v>24979</v>
      </c>
      <c r="K3158" s="8" t="inlineStr">
        <is>
          <t>IV6805147</t>
        </is>
      </c>
      <c r="L3158" s="8" t="inlineStr">
        <is>
          <t>ราคารวม VAT แล้ว</t>
        </is>
      </c>
      <c r="N3158" s="6" t="n">
        <v>100</v>
      </c>
      <c r="O3158" s="6" t="n">
        <v>107</v>
      </c>
    </row>
    <row r="3159">
      <c r="B3159" s="6" t="inlineStr">
        <is>
          <t>แม่สี ขาวเนื้อมาก  Hybrid S270 (สีขาว) -- แกลลอนละ 4ลิตร</t>
        </is>
      </c>
      <c r="C3159" s="8" t="n">
        <v>4</v>
      </c>
      <c r="D3159" s="9" t="n">
        <v>2600</v>
      </c>
      <c r="E3159" s="9">
        <f>SUM(D3159*C3159)</f>
        <v/>
      </c>
      <c r="F3159" s="8" t="n">
        <v>0.07000000000000001</v>
      </c>
      <c r="G3159" s="10" t="inlineStr">
        <is>
          <t>รวม VAT =</t>
        </is>
      </c>
      <c r="H3159" s="9">
        <f>SUM(E3159+N3159)</f>
        <v/>
      </c>
      <c r="I3159" s="10" t="inlineStr">
        <is>
          <t>บจก. วีที คัลเลอร์ โปร</t>
        </is>
      </c>
      <c r="J3159" s="161" t="n">
        <v>25063</v>
      </c>
      <c r="K3159" s="8" t="inlineStr">
        <is>
          <t>IV6808072</t>
        </is>
      </c>
      <c r="N3159" s="6">
        <f>SUM(E3159*F3159)</f>
        <v/>
      </c>
    </row>
    <row r="3160">
      <c r="B3160" s="6" t="inlineStr">
        <is>
          <t>แม่สี ขาวเนื้อมาก  Hybrid S270 (สีขาว) -- แกลลอนละ 4ลิตร</t>
        </is>
      </c>
      <c r="C3160" s="8" t="n">
        <v>12</v>
      </c>
      <c r="D3160" s="9" t="n">
        <v>2600</v>
      </c>
      <c r="E3160" s="9">
        <f>SUM(D3160*C3160)</f>
        <v/>
      </c>
      <c r="F3160" s="8" t="n">
        <v>0.07000000000000001</v>
      </c>
      <c r="G3160" s="10" t="inlineStr">
        <is>
          <t>รวม VAT =</t>
        </is>
      </c>
      <c r="H3160" s="9">
        <f>SUM(E3160+N3160)</f>
        <v/>
      </c>
      <c r="I3160" s="10" t="inlineStr">
        <is>
          <t>บจก. วีที คัลเลอร์ โปร</t>
        </is>
      </c>
      <c r="J3160" s="161" t="n">
        <v>25015</v>
      </c>
      <c r="K3160" s="8" t="inlineStr">
        <is>
          <t>IV6806175</t>
        </is>
      </c>
      <c r="N3160" s="6">
        <f>SUM(E3160*F3160)</f>
        <v/>
      </c>
    </row>
    <row r="3161">
      <c r="B3161" s="6" t="inlineStr">
        <is>
          <t>แม่สี ขาวเนื้อมาก  Hybrid S270 (สีขาว) -- แกลลอนละ 4ลิตร</t>
        </is>
      </c>
      <c r="C3161" s="8" t="n">
        <v>2</v>
      </c>
      <c r="D3161" s="9" t="n">
        <v>2600</v>
      </c>
      <c r="E3161" s="9">
        <f>SUM(D3161*C3161)</f>
        <v/>
      </c>
      <c r="F3161" s="8" t="n">
        <v>0.07000000000000001</v>
      </c>
      <c r="G3161" s="10" t="inlineStr">
        <is>
          <t>รวม VAT =</t>
        </is>
      </c>
      <c r="H3161" s="9">
        <f>SUM(E3161+N3161)</f>
        <v/>
      </c>
      <c r="I3161" s="10" t="inlineStr">
        <is>
          <t>บจก. วีที คัลเลอร์ โปร</t>
        </is>
      </c>
      <c r="J3161" s="161" t="n">
        <v>25042</v>
      </c>
      <c r="K3161" s="8" t="inlineStr">
        <is>
          <t>IV6807180</t>
        </is>
      </c>
      <c r="N3161" s="6">
        <f>SUM(E3161*F3161)</f>
        <v/>
      </c>
    </row>
    <row r="3162">
      <c r="B3162" s="6" t="inlineStr">
        <is>
          <t>แม่สี ขาวเนื้อมาก  Hybrid S270 (สีขาว) -- แกลลอนละ 4ลิตร</t>
        </is>
      </c>
      <c r="C3162" s="8" t="n">
        <v>4</v>
      </c>
      <c r="D3162" s="9" t="n">
        <v>2600</v>
      </c>
      <c r="E3162" s="9">
        <f>SUM(D3162*C3162)</f>
        <v/>
      </c>
      <c r="F3162" s="8" t="n">
        <v>0.07000000000000001</v>
      </c>
      <c r="G3162" s="10" t="inlineStr">
        <is>
          <t>รวม VAT =</t>
        </is>
      </c>
      <c r="H3162" s="9">
        <f>SUM(E3162+N3162)</f>
        <v/>
      </c>
      <c r="I3162" s="10" t="inlineStr">
        <is>
          <t>บจก. วีที คัลเลอร์ โปร</t>
        </is>
      </c>
      <c r="J3162" s="161" t="n">
        <v>25073</v>
      </c>
      <c r="K3162" s="8" t="inlineStr">
        <is>
          <t>IV6808151</t>
        </is>
      </c>
      <c r="N3162" s="6">
        <f>SUM(E3162*F3162)</f>
        <v/>
      </c>
    </row>
    <row r="3163">
      <c r="B3163" s="6" t="inlineStr">
        <is>
          <t>แม่สี ขาวเนื้อมาก  Hybrid S270 (สีขาว) -- แกลลอนละ 4ลิตร</t>
        </is>
      </c>
      <c r="C3163" s="8" t="n">
        <v>6</v>
      </c>
      <c r="D3163" s="9" t="n">
        <v>2600</v>
      </c>
      <c r="E3163" s="9">
        <f>SUM(D3163*C3163)</f>
        <v/>
      </c>
      <c r="F3163" s="8" t="n">
        <v>0.07000000000000001</v>
      </c>
      <c r="G3163" s="10" t="inlineStr">
        <is>
          <t>รวม VAT =</t>
        </is>
      </c>
      <c r="H3163" s="9">
        <f>SUM(E3163+N3163)</f>
        <v/>
      </c>
      <c r="I3163" s="10" t="inlineStr">
        <is>
          <t>บจก. วีที คัลเลอร์ โปร</t>
        </is>
      </c>
      <c r="J3163" s="161" t="n">
        <v>25083</v>
      </c>
      <c r="K3163" s="8" t="inlineStr">
        <is>
          <t>IV6809023</t>
        </is>
      </c>
      <c r="N3163" s="6">
        <f>SUM(E3163*F3163)</f>
        <v/>
      </c>
    </row>
    <row r="3164">
      <c r="B3164" s="6" t="inlineStr">
        <is>
          <t>แม่สี ขาวเนื้อมาก  Hybrid S270 (สีขาว) -- แกลลอนละ 4ลิตร</t>
        </is>
      </c>
      <c r="C3164" s="8" t="n">
        <v>4</v>
      </c>
      <c r="D3164" s="9" t="n">
        <v>2600</v>
      </c>
      <c r="E3164" s="9">
        <f>SUM(D3164*C3164)</f>
        <v/>
      </c>
      <c r="F3164" s="8" t="n">
        <v>0.07000000000000001</v>
      </c>
      <c r="G3164" s="10" t="inlineStr">
        <is>
          <t>รวม VAT =</t>
        </is>
      </c>
      <c r="H3164" s="9">
        <f>SUM(E3164+N3164)</f>
        <v/>
      </c>
      <c r="I3164" s="10" t="inlineStr">
        <is>
          <t>บจก. วีที คัลเลอร์ โปร</t>
        </is>
      </c>
      <c r="J3164" s="161" t="n">
        <v>25093</v>
      </c>
      <c r="K3164" s="8" t="inlineStr">
        <is>
          <t>IV6809088</t>
        </is>
      </c>
      <c r="N3164" s="6">
        <f>SUM(E3164*F3164)</f>
        <v/>
      </c>
    </row>
    <row r="3165">
      <c r="B3165" s="6" t="inlineStr">
        <is>
          <t>แม่สี ขาวเนื้อมาก  Hybrid S270 (สีขาว) -- แกลลอนละ 4ลิตร</t>
        </is>
      </c>
      <c r="C3165" s="8" t="n">
        <v>8</v>
      </c>
      <c r="D3165" s="9" t="n">
        <v>2600</v>
      </c>
      <c r="E3165" s="9">
        <f>SUM(D3165*C3165)</f>
        <v/>
      </c>
      <c r="F3165" s="8" t="n">
        <v>0.07000000000000001</v>
      </c>
      <c r="G3165" s="10" t="inlineStr">
        <is>
          <t>รวม VAT =</t>
        </is>
      </c>
      <c r="H3165" s="9">
        <f>SUM(E3165+N3165)</f>
        <v/>
      </c>
      <c r="I3165" s="10" t="inlineStr">
        <is>
          <t>บจก. วีที คัลเลอร์ โปร</t>
        </is>
      </c>
      <c r="J3165" s="161" t="n">
        <v>25112</v>
      </c>
      <c r="K3165" s="8" t="inlineStr">
        <is>
          <t>IV6810015</t>
        </is>
      </c>
      <c r="N3165" s="6">
        <f>SUM(E3165*F3165)</f>
        <v/>
      </c>
    </row>
    <row r="3166">
      <c r="A3166" s="70" t="n"/>
      <c r="B3166" s="6" t="inlineStr">
        <is>
          <t>แม่สี ขาวเนื้อมาก  Hybrid S270 (สีขาว) -- แกลลอนละ 4ลิตร</t>
        </is>
      </c>
      <c r="C3166" s="8" t="n">
        <v>4</v>
      </c>
      <c r="D3166" s="9" t="n">
        <v>2600</v>
      </c>
      <c r="E3166" s="9">
        <f>SUM(C3166*D3166)</f>
        <v/>
      </c>
      <c r="H3166" s="9">
        <f>SUM(E3166*107/100)</f>
        <v/>
      </c>
      <c r="I3166" s="10" t="inlineStr">
        <is>
          <t>บจก. วีที คัลเลอร์ โปร</t>
        </is>
      </c>
      <c r="J3166" s="161" t="n">
        <v>25127</v>
      </c>
      <c r="K3166" s="8" t="inlineStr">
        <is>
          <t>IV6810110</t>
        </is>
      </c>
      <c r="L3166" s="8" t="inlineStr">
        <is>
          <t>ราคาที่ลง ยังไม่รวมภาษี</t>
        </is>
      </c>
    </row>
    <row r="3167">
      <c r="B3167" s="6" t="inlineStr">
        <is>
          <t>แม่สี ขาวเนื้อมาก  Hybrid S270 (สีขาว) -- แกลลอนละ 4ลิตร</t>
        </is>
      </c>
      <c r="C3167" s="8" t="n">
        <v>8</v>
      </c>
      <c r="D3167" s="9" t="n">
        <v>2600</v>
      </c>
      <c r="E3167" s="9">
        <f>SUM(D3167*C3167)</f>
        <v/>
      </c>
      <c r="F3167" s="8" t="n">
        <v>0.07000000000000001</v>
      </c>
      <c r="G3167" s="10" t="inlineStr">
        <is>
          <t>รวม VAT =</t>
        </is>
      </c>
      <c r="H3167" s="9">
        <f>SUM(E3167+N3167)</f>
        <v/>
      </c>
      <c r="I3167" s="10" t="inlineStr">
        <is>
          <t>บจก. วีที คัลเลอร์ โปร</t>
        </is>
      </c>
      <c r="J3167" s="161" t="n">
        <v>25145</v>
      </c>
      <c r="K3167" s="8" t="inlineStr">
        <is>
          <t>IV6811023</t>
        </is>
      </c>
      <c r="L3167" s="8" t="inlineStr">
        <is>
          <t>ราคาที่ระบุ ยังไม่รวม VAT7%</t>
        </is>
      </c>
      <c r="N3167" s="6">
        <f>SUM(E3167*F3167)</f>
        <v/>
      </c>
    </row>
    <row r="3168">
      <c r="B3168" s="6" t="inlineStr">
        <is>
          <t>แม่สี ขาวเนื้อมาก  Hybrid S270 (สีขาว) -- แกลลอนละ 4ลิตร</t>
        </is>
      </c>
      <c r="C3168" s="8" t="n">
        <v>4</v>
      </c>
      <c r="D3168" s="9" t="n">
        <v>2600</v>
      </c>
      <c r="E3168" s="9">
        <f>SUM(D3168*C3168)</f>
        <v/>
      </c>
      <c r="F3168" s="8" t="n">
        <v>0.07000000000000001</v>
      </c>
      <c r="G3168" s="10" t="inlineStr">
        <is>
          <t>รวม VAT =</t>
        </is>
      </c>
      <c r="H3168" s="9">
        <f>SUM(E3168+N3168)</f>
        <v/>
      </c>
      <c r="I3168" s="10" t="inlineStr">
        <is>
          <t>บจก. วีที คัลเลอร์ โปร</t>
        </is>
      </c>
      <c r="J3168" s="161" t="n">
        <v>25168</v>
      </c>
      <c r="K3168" s="8" t="inlineStr">
        <is>
          <t>IV6811188</t>
        </is>
      </c>
      <c r="N3168" s="6">
        <f>SUM(E3168*F3168)</f>
        <v/>
      </c>
    </row>
    <row r="3170">
      <c r="B3170" s="6" t="inlineStr">
        <is>
          <t>แม่สี แดงเข้มอมทอง SC-283</t>
        </is>
      </c>
      <c r="C3170" s="8" t="inlineStr">
        <is>
          <t>1กล.</t>
        </is>
      </c>
      <c r="D3170" s="9" t="n">
        <v>750</v>
      </c>
      <c r="H3170" s="9" t="n">
        <v>750</v>
      </c>
      <c r="I3170" s="10" t="inlineStr">
        <is>
          <t>บจก. วีที คัลเลอร์ โปร</t>
        </is>
      </c>
      <c r="J3170" s="161" t="n">
        <v>24189</v>
      </c>
      <c r="K3170" s="8" t="inlineStr">
        <is>
          <t>IV178-66</t>
        </is>
      </c>
      <c r="L3170" s="8" t="inlineStr">
        <is>
          <t>ราคาที่ระบุ ยังไม่รวม VAT7%</t>
        </is>
      </c>
    </row>
    <row r="3171">
      <c r="B3171" s="6" t="inlineStr">
        <is>
          <t>แม่สี แดงเข้มอมทอง SC-283</t>
        </is>
      </c>
      <c r="C3171" s="8" t="inlineStr">
        <is>
          <t>1กล.</t>
        </is>
      </c>
      <c r="D3171" s="9" t="n">
        <v>750</v>
      </c>
      <c r="H3171" s="9" t="n">
        <v>750</v>
      </c>
      <c r="I3171" s="10" t="inlineStr">
        <is>
          <t>บจก. วีที คัลเลอร์ โปร</t>
        </is>
      </c>
      <c r="J3171" s="161" t="n">
        <v>24147</v>
      </c>
      <c r="K3171" s="8" t="inlineStr">
        <is>
          <t>IV088-66</t>
        </is>
      </c>
      <c r="L3171" s="8" t="inlineStr">
        <is>
          <t>ราคาที่ระบุ ยังไม่รวม VAT7%</t>
        </is>
      </c>
    </row>
    <row r="3172">
      <c r="B3172" s="6" t="inlineStr">
        <is>
          <t>แม่สี แดงเข้มอมทอง SC-283</t>
        </is>
      </c>
      <c r="C3172" s="8" t="inlineStr">
        <is>
          <t>1กล.</t>
        </is>
      </c>
      <c r="D3172" s="9" t="n">
        <v>750</v>
      </c>
      <c r="H3172" s="9" t="n">
        <v>750</v>
      </c>
      <c r="I3172" s="10" t="inlineStr">
        <is>
          <t>บจก. วีที คัลเลอร์ โปร</t>
        </is>
      </c>
      <c r="J3172" s="161" t="n">
        <v>24271</v>
      </c>
      <c r="K3172" s="8" t="inlineStr">
        <is>
          <t>IV329-66</t>
        </is>
      </c>
      <c r="L3172" s="8" t="inlineStr">
        <is>
          <t>ราคาที่ระบุ ยังไม่รวม VAT7%</t>
        </is>
      </c>
    </row>
    <row r="3173">
      <c r="B3173" s="6" t="inlineStr">
        <is>
          <t>แม่สี แดงเข้มอมทอง SC-283</t>
        </is>
      </c>
      <c r="C3173" s="8" t="inlineStr">
        <is>
          <t>1กล.</t>
        </is>
      </c>
      <c r="D3173" s="9" t="n">
        <v>750</v>
      </c>
      <c r="H3173" s="9" t="n">
        <v>750</v>
      </c>
      <c r="I3173" s="10" t="inlineStr">
        <is>
          <t>บจก. วีที คัลเลอร์ โปร</t>
        </is>
      </c>
      <c r="J3173" s="161" t="n">
        <v>24282</v>
      </c>
      <c r="K3173" s="8" t="inlineStr">
        <is>
          <t>IV353-66</t>
        </is>
      </c>
      <c r="L3173" s="8" t="inlineStr">
        <is>
          <t>ราคาที่ระบุ ยังไม่รวม VAT7%</t>
        </is>
      </c>
    </row>
    <row r="3174">
      <c r="B3174" s="6" t="inlineStr">
        <is>
          <t>แม่สี แดงเข้มอมทอง  Hybrid S283</t>
        </is>
      </c>
      <c r="C3174" s="8" t="n">
        <v>1</v>
      </c>
      <c r="D3174" s="9" t="n">
        <v>750</v>
      </c>
      <c r="H3174" s="9">
        <f>SUM(D3174*C3174)</f>
        <v/>
      </c>
      <c r="I3174" s="10" t="inlineStr">
        <is>
          <t>บจก. วีที คัลเลอร์ โปร</t>
        </is>
      </c>
      <c r="J3174" s="161" t="n">
        <v>24372</v>
      </c>
      <c r="K3174" s="8" t="inlineStr">
        <is>
          <t>IV541-66</t>
        </is>
      </c>
      <c r="L3174" s="8" t="inlineStr">
        <is>
          <t>ราคาที่ระบุ ยังไม่รวม VAT7%</t>
        </is>
      </c>
    </row>
    <row r="3175">
      <c r="B3175" s="6" t="inlineStr">
        <is>
          <t>แม่สี แดงเข้มอมทอง  Hybrid S283</t>
        </is>
      </c>
      <c r="C3175" s="8" t="n">
        <v>1</v>
      </c>
      <c r="D3175" s="9" t="n">
        <v>750</v>
      </c>
      <c r="H3175" s="9">
        <f>SUM(D3175*C3175)</f>
        <v/>
      </c>
      <c r="I3175" s="10" t="inlineStr">
        <is>
          <t>บจก. วีที คัลเลอร์ โปร</t>
        </is>
      </c>
      <c r="J3175" s="161" t="n">
        <v>24584</v>
      </c>
      <c r="K3175" s="8" t="inlineStr">
        <is>
          <t>IV6704071</t>
        </is>
      </c>
      <c r="L3175" s="8" t="inlineStr">
        <is>
          <t>ราคาที่ระบุ ยังไม่รวม VAT7%</t>
        </is>
      </c>
    </row>
    <row r="3176">
      <c r="B3176" s="6" t="inlineStr">
        <is>
          <t>แม่สี แดงเข้มอมทอง  Hybrid S283</t>
        </is>
      </c>
      <c r="C3176" s="8" t="n">
        <v>1</v>
      </c>
      <c r="D3176" s="9" t="n">
        <v>750</v>
      </c>
      <c r="H3176" s="9">
        <f>SUM(D3176*C3176)</f>
        <v/>
      </c>
      <c r="I3176" s="10" t="inlineStr">
        <is>
          <t>บจก. วีที คัลเลอร์ โปร</t>
        </is>
      </c>
      <c r="J3176" s="161" t="n">
        <v>24698</v>
      </c>
      <c r="K3176" s="8" t="inlineStr">
        <is>
          <t>IV6708064</t>
        </is>
      </c>
      <c r="L3176" s="8" t="inlineStr">
        <is>
          <t>ราคาที่ระบุ ยังไม่รวม VAT7%</t>
        </is>
      </c>
    </row>
    <row r="3177">
      <c r="B3177" s="6" t="inlineStr">
        <is>
          <t>แม่สี แดงเข้มอมทอง  Hybrid S283</t>
        </is>
      </c>
      <c r="C3177" s="8" t="n">
        <v>1</v>
      </c>
      <c r="D3177" s="9" t="n">
        <v>750</v>
      </c>
      <c r="H3177" s="9">
        <f>SUM(D3177*C3177)</f>
        <v/>
      </c>
      <c r="I3177" s="10" t="inlineStr">
        <is>
          <t>บจก. วีที คัลเลอร์ โปร</t>
        </is>
      </c>
      <c r="J3177" s="161" t="n">
        <v>24795</v>
      </c>
      <c r="K3177" s="8" t="inlineStr">
        <is>
          <t>IV6711103</t>
        </is>
      </c>
      <c r="L3177" s="8" t="inlineStr">
        <is>
          <t>ราคาที่ระบุ ยังไม่รวม VAT7%</t>
        </is>
      </c>
    </row>
    <row r="3178">
      <c r="B3178" s="6" t="inlineStr">
        <is>
          <t>แม่สี แดงเข้มอมทอง  Hybrid S283</t>
        </is>
      </c>
      <c r="C3178" s="8" t="n">
        <v>1</v>
      </c>
      <c r="D3178" s="9" t="n">
        <v>802.5</v>
      </c>
      <c r="H3178" s="9">
        <f>SUM(D3178*C3178)</f>
        <v/>
      </c>
      <c r="I3178" s="10" t="inlineStr">
        <is>
          <t>บจก. วีที คัลเลอร์ โปร</t>
        </is>
      </c>
      <c r="J3178" s="161" t="n">
        <v>24892</v>
      </c>
      <c r="K3178" s="8" t="inlineStr">
        <is>
          <t>IV6802144</t>
        </is>
      </c>
      <c r="L3178" s="8" t="inlineStr">
        <is>
          <t>ราคารวม VAT แล้ว</t>
        </is>
      </c>
    </row>
    <row r="3179">
      <c r="B3179" s="6" t="inlineStr">
        <is>
          <t>แม่สี แดงเข้มอมทอง  Hybrid S283</t>
        </is>
      </c>
      <c r="C3179" s="8" t="n">
        <v>2</v>
      </c>
      <c r="D3179" s="9" t="n">
        <v>802.5</v>
      </c>
      <c r="H3179" s="9">
        <f>SUM(D3179*C3179)</f>
        <v/>
      </c>
      <c r="I3179" s="10" t="inlineStr">
        <is>
          <t>บจก. วีที คัลเลอร์ โปร</t>
        </is>
      </c>
      <c r="J3179" s="161" t="n">
        <v>24923</v>
      </c>
      <c r="K3179" s="8" t="inlineStr">
        <is>
          <t>IV6803171</t>
        </is>
      </c>
      <c r="L3179" s="8" t="inlineStr">
        <is>
          <t>ราคารวม VAT แล้ว</t>
        </is>
      </c>
    </row>
    <row r="3180">
      <c r="B3180" s="6" t="inlineStr">
        <is>
          <t>แม่สี แดงเข้มอมทอง  Hybrid S283</t>
        </is>
      </c>
      <c r="C3180" s="8" t="n">
        <v>1</v>
      </c>
      <c r="D3180" s="9" t="n">
        <v>750</v>
      </c>
      <c r="E3180" s="9">
        <f>SUM(D3180*C3180)</f>
        <v/>
      </c>
      <c r="F3180" s="8" t="n">
        <v>0.07000000000000001</v>
      </c>
      <c r="G3180" s="10" t="inlineStr">
        <is>
          <t>รวม VAT =</t>
        </is>
      </c>
      <c r="H3180" s="9">
        <f>SUM(E3180+N3180)</f>
        <v/>
      </c>
      <c r="I3180" s="10" t="inlineStr">
        <is>
          <t>บจก. วีที คัลเลอร์ โปร</t>
        </is>
      </c>
      <c r="J3180" s="161" t="n">
        <v>25063</v>
      </c>
      <c r="K3180" s="8" t="inlineStr">
        <is>
          <t>IV6808072</t>
        </is>
      </c>
      <c r="L3180" s="8" t="inlineStr">
        <is>
          <t>ราคาที่ระบุ ยังไม่รวม VAT7%</t>
        </is>
      </c>
      <c r="N3180" s="6">
        <f>SUM(E3180*F3180)</f>
        <v/>
      </c>
    </row>
    <row r="3181">
      <c r="B3181" s="6" t="inlineStr">
        <is>
          <t>แม่สี แดงเข้มอมทอง  Hybrid S283</t>
        </is>
      </c>
      <c r="C3181" s="8" t="n">
        <v>2</v>
      </c>
      <c r="D3181" s="9" t="n">
        <v>750</v>
      </c>
      <c r="E3181" s="9">
        <f>SUM(D3181*C3181)</f>
        <v/>
      </c>
      <c r="F3181" s="8" t="n">
        <v>0.07000000000000001</v>
      </c>
      <c r="G3181" s="10" t="inlineStr">
        <is>
          <t>รวม VAT =</t>
        </is>
      </c>
      <c r="H3181" s="9">
        <f>SUM(E3181+N3181)</f>
        <v/>
      </c>
      <c r="I3181" s="10" t="inlineStr">
        <is>
          <t>บจก. วีที คัลเลอร์ โปร</t>
        </is>
      </c>
      <c r="J3181" s="161" t="n">
        <v>25145</v>
      </c>
      <c r="K3181" s="8" t="inlineStr">
        <is>
          <t>IV6811023</t>
        </is>
      </c>
      <c r="L3181" s="8" t="inlineStr">
        <is>
          <t>ราคาที่ระบุ ยังไม่รวม VAT7%</t>
        </is>
      </c>
      <c r="N3181" s="6">
        <f>SUM(E3181*F3181)</f>
        <v/>
      </c>
    </row>
    <row r="3182">
      <c r="B3182" s="6" t="inlineStr">
        <is>
          <t>แม่สี แดงเข้มอมทอง  Hybrid S283</t>
        </is>
      </c>
      <c r="C3182" s="8" t="n">
        <v>2</v>
      </c>
      <c r="D3182" s="9" t="n">
        <v>750</v>
      </c>
      <c r="E3182" s="9">
        <f>SUM(D3182*C3182)</f>
        <v/>
      </c>
      <c r="F3182" s="8" t="n">
        <v>0.07000000000000001</v>
      </c>
      <c r="G3182" s="10" t="inlineStr">
        <is>
          <t>รวม VAT =</t>
        </is>
      </c>
      <c r="H3182" s="9">
        <f>SUM(E3182+N3182)</f>
        <v/>
      </c>
      <c r="I3182" s="10" t="inlineStr">
        <is>
          <t>บจก. วีที คัลเลอร์ โปร</t>
        </is>
      </c>
      <c r="J3182" s="161" t="n">
        <v>25168</v>
      </c>
      <c r="K3182" s="8" t="inlineStr">
        <is>
          <t>IV6811188</t>
        </is>
      </c>
      <c r="N3182" s="6">
        <f>SUM(E3182*F3182)</f>
        <v/>
      </c>
    </row>
    <row r="3184">
      <c r="B3184" s="6" t="inlineStr">
        <is>
          <t>แม่สี บรอนซ์พิเศษ SC-291</t>
        </is>
      </c>
      <c r="C3184" s="8" t="inlineStr">
        <is>
          <t>1กป.</t>
        </is>
      </c>
      <c r="D3184" s="9" t="n">
        <v>750</v>
      </c>
      <c r="H3184" s="9" t="n">
        <v>750</v>
      </c>
      <c r="I3184" s="10" t="inlineStr">
        <is>
          <t>บจก. วีที คัลเลอร์ โปร</t>
        </is>
      </c>
      <c r="J3184" s="161" t="n">
        <v>24005</v>
      </c>
      <c r="K3184" s="8" t="inlineStr">
        <is>
          <t>IV184-65</t>
        </is>
      </c>
      <c r="L3184" s="8" t="inlineStr">
        <is>
          <t>ราคาที่ระบุ ยังไม่รวม VAT7%</t>
        </is>
      </c>
    </row>
    <row r="3185">
      <c r="B3185" s="6" t="inlineStr">
        <is>
          <t>แม่สี บรอนซ์พิเศษ SC-291</t>
        </is>
      </c>
      <c r="C3185" s="8" t="inlineStr">
        <is>
          <t>2กป.</t>
        </is>
      </c>
      <c r="D3185" s="9" t="n">
        <v>750</v>
      </c>
      <c r="H3185" s="9" t="n">
        <v>1500</v>
      </c>
      <c r="I3185" s="10" t="inlineStr">
        <is>
          <t>บจก. วีที คัลเลอร์ โปร</t>
        </is>
      </c>
      <c r="J3185" s="161" t="n">
        <v>24069</v>
      </c>
      <c r="K3185" s="8" t="inlineStr">
        <is>
          <t>IV276-65</t>
        </is>
      </c>
      <c r="L3185" s="8" t="inlineStr">
        <is>
          <t>ราคาที่ระบุ ยังไม่รวม VAT7%</t>
        </is>
      </c>
    </row>
    <row r="3186">
      <c r="B3186" s="6" t="inlineStr">
        <is>
          <t>แม่สี บรอนซ์พิเศษ SC-291</t>
        </is>
      </c>
      <c r="C3186" s="8" t="inlineStr">
        <is>
          <t>1กป.</t>
        </is>
      </c>
      <c r="D3186" s="9" t="n">
        <v>750</v>
      </c>
      <c r="H3186" s="9" t="n">
        <v>750</v>
      </c>
      <c r="I3186" s="10" t="inlineStr">
        <is>
          <t>บจก. วีที คัลเลอร์ โปร</t>
        </is>
      </c>
      <c r="J3186" s="161" t="n">
        <v>24089</v>
      </c>
      <c r="K3186" s="8" t="inlineStr">
        <is>
          <t>IV308-65</t>
        </is>
      </c>
      <c r="L3186" s="8" t="inlineStr">
        <is>
          <t>ราคาที่ระบุ ยังไม่รวม VAT7%</t>
        </is>
      </c>
    </row>
    <row r="3187">
      <c r="B3187" s="6" t="inlineStr">
        <is>
          <t>แม่สี บรอนซ์พิเศษ SC-291</t>
        </is>
      </c>
      <c r="C3187" s="8" t="inlineStr">
        <is>
          <t>1กป.</t>
        </is>
      </c>
      <c r="D3187" s="9" t="n">
        <v>750</v>
      </c>
      <c r="H3187" s="9" t="n">
        <v>750</v>
      </c>
      <c r="I3187" s="10" t="inlineStr">
        <is>
          <t>บจก. วีที คัลเลอร์ โปร</t>
        </is>
      </c>
      <c r="J3187" s="161" t="n">
        <v>24160</v>
      </c>
      <c r="K3187" s="8" t="inlineStr">
        <is>
          <t>IV113-66</t>
        </is>
      </c>
      <c r="L3187" s="8" t="inlineStr">
        <is>
          <t>ราคาที่ระบุ ยังไม่รวม VAT7%</t>
        </is>
      </c>
    </row>
    <row r="3188">
      <c r="B3188" s="6" t="inlineStr">
        <is>
          <t>แม่สี บรอนซ์พิเศษ SC-291</t>
        </is>
      </c>
      <c r="C3188" s="8" t="inlineStr">
        <is>
          <t>2กป.</t>
        </is>
      </c>
      <c r="D3188" s="9" t="n">
        <v>750</v>
      </c>
      <c r="H3188" s="9" t="n">
        <v>1500</v>
      </c>
      <c r="I3188" s="10" t="inlineStr">
        <is>
          <t>บจก. วีที คัลเลอร์ โปร</t>
        </is>
      </c>
      <c r="J3188" s="161" t="n">
        <v>24189</v>
      </c>
      <c r="K3188" s="8" t="inlineStr">
        <is>
          <t>IV178-66</t>
        </is>
      </c>
      <c r="L3188" s="8" t="inlineStr">
        <is>
          <t>ราคาที่ระบุ ยังไม่รวม VAT7%</t>
        </is>
      </c>
    </row>
    <row r="3189">
      <c r="B3189" s="6" t="inlineStr">
        <is>
          <t>แม่สี บรอนซ์พิเศษ SC-291</t>
        </is>
      </c>
      <c r="C3189" s="8" t="inlineStr">
        <is>
          <t>2กป.</t>
        </is>
      </c>
      <c r="D3189" s="9" t="n">
        <v>750</v>
      </c>
      <c r="H3189" s="9" t="n">
        <v>1500</v>
      </c>
      <c r="I3189" s="10" t="inlineStr">
        <is>
          <t>บจก. วีที คัลเลอร์ โปร</t>
        </is>
      </c>
      <c r="J3189" s="161" t="n">
        <v>24271</v>
      </c>
      <c r="K3189" s="8" t="inlineStr">
        <is>
          <t>IV329-66</t>
        </is>
      </c>
      <c r="L3189" s="8" t="inlineStr">
        <is>
          <t>ราคาที่ระบุ ยังไม่รวม VAT7%</t>
        </is>
      </c>
    </row>
    <row r="3190">
      <c r="B3190" s="6" t="inlineStr">
        <is>
          <t>แม่สี บรอนซ์พิเศษ SC-291</t>
        </is>
      </c>
      <c r="C3190" s="8" t="inlineStr">
        <is>
          <t>1กป.</t>
        </is>
      </c>
      <c r="D3190" s="9" t="n">
        <v>750</v>
      </c>
      <c r="H3190" s="9" t="n">
        <v>750</v>
      </c>
      <c r="I3190" s="10" t="inlineStr">
        <is>
          <t>บจก. วีที คัลเลอร์ โปร</t>
        </is>
      </c>
      <c r="J3190" s="161" t="n">
        <v>24282</v>
      </c>
      <c r="K3190" s="8" t="inlineStr">
        <is>
          <t>IV353-66</t>
        </is>
      </c>
      <c r="L3190" s="8" t="inlineStr">
        <is>
          <t>ราคาที่ระบุ ยังไม่รวม VAT7%</t>
        </is>
      </c>
    </row>
    <row r="3191">
      <c r="B3191" s="6" t="inlineStr">
        <is>
          <t>แม่สี บรอนซ์พิเศษ Hybrid S291</t>
        </is>
      </c>
      <c r="C3191" s="8" t="inlineStr">
        <is>
          <t>2กป.</t>
        </is>
      </c>
      <c r="D3191" s="9" t="n">
        <v>750</v>
      </c>
      <c r="H3191" s="9" t="n">
        <v>1500</v>
      </c>
      <c r="I3191" s="10" t="inlineStr">
        <is>
          <t>บจก. วีที คัลเลอร์ โปร</t>
        </is>
      </c>
      <c r="J3191" s="161" t="n">
        <v>24315</v>
      </c>
      <c r="K3191" s="8" t="inlineStr">
        <is>
          <t>IV424-66</t>
        </is>
      </c>
      <c r="L3191" s="8" t="inlineStr">
        <is>
          <t>ราคาที่ระบุ ยังไม่รวม VAT7%</t>
        </is>
      </c>
    </row>
    <row r="3192">
      <c r="B3192" s="6" t="inlineStr">
        <is>
          <t>แม่สี บรอนซ์พิเศษ Hybrid S291</t>
        </is>
      </c>
      <c r="C3192" s="8" t="n">
        <v>2</v>
      </c>
      <c r="D3192" s="9" t="n">
        <v>750</v>
      </c>
      <c r="H3192" s="9">
        <f>SUM(D3192*C3192)</f>
        <v/>
      </c>
      <c r="I3192" s="10" t="inlineStr">
        <is>
          <t>บจก. วีที คัลเลอร์ โปร</t>
        </is>
      </c>
      <c r="J3192" s="161" t="n">
        <v>24359</v>
      </c>
      <c r="K3192" s="8" t="inlineStr">
        <is>
          <t>IV517-66</t>
        </is>
      </c>
      <c r="L3192" s="8" t="inlineStr">
        <is>
          <t>ราคาที่ระบุ ยังไม่รวม VAT7%</t>
        </is>
      </c>
    </row>
    <row r="3193">
      <c r="B3193" s="6" t="inlineStr">
        <is>
          <t>แม่สี บรอนซ์พิเศษ Hybrid S291</t>
        </is>
      </c>
      <c r="C3193" s="8" t="n">
        <v>2</v>
      </c>
      <c r="D3193" s="9" t="n">
        <v>750</v>
      </c>
      <c r="H3193" s="9">
        <f>SUM(D3193*C3193)</f>
        <v/>
      </c>
      <c r="I3193" s="10" t="inlineStr">
        <is>
          <t>บจก. วีที คัลเลอร์ โปร</t>
        </is>
      </c>
      <c r="J3193" s="161" t="n">
        <v>24401</v>
      </c>
      <c r="K3193" s="8" t="inlineStr">
        <is>
          <t>IV684-66</t>
        </is>
      </c>
      <c r="L3193" s="8" t="inlineStr">
        <is>
          <t>ราคาที่ระบุ ยังไม่รวม VAT7%</t>
        </is>
      </c>
    </row>
    <row r="3194">
      <c r="B3194" s="6" t="inlineStr">
        <is>
          <t>แม่สี บรอนซ์พิเศษ Hybrid S291</t>
        </is>
      </c>
      <c r="C3194" s="8" t="n">
        <v>2</v>
      </c>
      <c r="D3194" s="9" t="n">
        <v>750</v>
      </c>
      <c r="H3194" s="9">
        <f>SUM(D3194*C3194)</f>
        <v/>
      </c>
      <c r="I3194" s="10" t="inlineStr">
        <is>
          <t>บจก. วีที คัลเลอร์ โปร</t>
        </is>
      </c>
      <c r="J3194" s="161" t="n">
        <v>24496</v>
      </c>
      <c r="K3194" s="8" t="inlineStr">
        <is>
          <t>IV6701079</t>
        </is>
      </c>
      <c r="L3194" s="8" t="inlineStr">
        <is>
          <t>ราคาที่ระบุ ยังไม่รวม VAT7%</t>
        </is>
      </c>
    </row>
    <row r="3195">
      <c r="B3195" s="6" t="inlineStr">
        <is>
          <t>แม่สี บรอนซ์พิเศษ Hybrid S291</t>
        </is>
      </c>
      <c r="C3195" s="8" t="n">
        <v>2</v>
      </c>
      <c r="D3195" s="9" t="n">
        <v>750</v>
      </c>
      <c r="H3195" s="9">
        <f>SUM(D3195*C3195)</f>
        <v/>
      </c>
      <c r="I3195" s="10" t="inlineStr">
        <is>
          <t>บจก. วีที คัลเลอร์ โปร</t>
        </is>
      </c>
      <c r="J3195" s="161" t="n">
        <v>24584</v>
      </c>
      <c r="K3195" s="8" t="inlineStr">
        <is>
          <t>IV6704071</t>
        </is>
      </c>
      <c r="L3195" s="8" t="inlineStr">
        <is>
          <t>ราคาที่ระบุ ยังไม่รวม VAT7%</t>
        </is>
      </c>
    </row>
    <row r="3196">
      <c r="B3196" s="6" t="inlineStr">
        <is>
          <t>แม่สี บรอนซ์พิเศษ Hybrid S291</t>
        </is>
      </c>
      <c r="C3196" s="8" t="n">
        <v>1</v>
      </c>
      <c r="D3196" s="9" t="n">
        <v>750</v>
      </c>
      <c r="H3196" s="9">
        <f>SUM(D3196*C3196)</f>
        <v/>
      </c>
      <c r="I3196" s="10" t="inlineStr">
        <is>
          <t>บจก. วีที คัลเลอร์ โปร</t>
        </is>
      </c>
      <c r="J3196" s="161" t="n">
        <v>24613</v>
      </c>
      <c r="K3196" s="8" t="inlineStr">
        <is>
          <t>IV6705104</t>
        </is>
      </c>
      <c r="L3196" s="8" t="inlineStr">
        <is>
          <t>ราคาที่ระบุ ยังไม่รวม VAT7%</t>
        </is>
      </c>
    </row>
    <row r="3197">
      <c r="B3197" s="6" t="inlineStr">
        <is>
          <t>แม่สี บรอนซ์พิเศษ Hybrid S291</t>
        </is>
      </c>
      <c r="C3197" s="8" t="n">
        <v>1</v>
      </c>
      <c r="D3197" s="9" t="n">
        <v>750</v>
      </c>
      <c r="H3197" s="9">
        <f>SUM(D3197*C3197)</f>
        <v/>
      </c>
      <c r="I3197" s="10" t="inlineStr">
        <is>
          <t>บจก. วีที คัลเลอร์ โปร</t>
        </is>
      </c>
      <c r="J3197" s="161" t="n">
        <v>24647</v>
      </c>
      <c r="K3197" s="8" t="inlineStr">
        <is>
          <t>IV6706130</t>
        </is>
      </c>
      <c r="L3197" s="8" t="inlineStr">
        <is>
          <t>ราคาที่ระบุ ยังไม่รวม VAT7%</t>
        </is>
      </c>
    </row>
    <row r="3198">
      <c r="B3198" s="6" t="inlineStr">
        <is>
          <t>แม่สี บรอนซ์พิเศษ Hybrid S291</t>
        </is>
      </c>
      <c r="C3198" s="8" t="n">
        <v>2</v>
      </c>
      <c r="D3198" s="9" t="n">
        <v>750</v>
      </c>
      <c r="H3198" s="9">
        <f>SUM(D3198*C3198)</f>
        <v/>
      </c>
      <c r="I3198" s="10" t="inlineStr">
        <is>
          <t>บจก. วีที คัลเลอร์ โปร</t>
        </is>
      </c>
      <c r="J3198" s="161" t="n">
        <v>24676</v>
      </c>
      <c r="K3198" s="8" t="inlineStr">
        <is>
          <t>IV6707130</t>
        </is>
      </c>
      <c r="L3198" s="8" t="inlineStr">
        <is>
          <t>ราคาที่ระบุ ยังไม่รวม VAT7%</t>
        </is>
      </c>
    </row>
    <row r="3199">
      <c r="B3199" s="6" t="inlineStr">
        <is>
          <t>แม่สี บรอนซ์พิเศษ Hybrid S291</t>
        </is>
      </c>
      <c r="C3199" s="8" t="n">
        <v>1</v>
      </c>
      <c r="D3199" s="9" t="n">
        <v>750</v>
      </c>
      <c r="H3199" s="9">
        <f>SUM(D3199*C3199)</f>
        <v/>
      </c>
      <c r="I3199" s="10" t="inlineStr">
        <is>
          <t>บจก. วีที คัลเลอร์ โปร</t>
        </is>
      </c>
      <c r="J3199" s="161" t="n">
        <v>24707</v>
      </c>
      <c r="K3199" s="8" t="inlineStr">
        <is>
          <t>IV6708116</t>
        </is>
      </c>
      <c r="L3199" s="8" t="inlineStr">
        <is>
          <t>ราคาที่ระบุ ยังไม่รวม VAT7%</t>
        </is>
      </c>
    </row>
    <row r="3200">
      <c r="B3200" s="6" t="inlineStr">
        <is>
          <t>แม่สี บรอนซ์พิเศษ Hybrid S291</t>
        </is>
      </c>
      <c r="C3200" s="8" t="n">
        <v>2</v>
      </c>
      <c r="D3200" s="9" t="n">
        <v>750</v>
      </c>
      <c r="H3200" s="9">
        <f>SUM(D3200*C3200)</f>
        <v/>
      </c>
      <c r="I3200" s="10" t="inlineStr">
        <is>
          <t>บจก. วีที คัลเลอร์ โปร</t>
        </is>
      </c>
      <c r="J3200" s="161" t="n">
        <v>24739</v>
      </c>
      <c r="K3200" s="8" t="inlineStr">
        <is>
          <t>IV6709122</t>
        </is>
      </c>
      <c r="L3200" s="8" t="inlineStr">
        <is>
          <t>ราคาที่ระบุ ยังไม่รวม VAT7%</t>
        </is>
      </c>
    </row>
    <row r="3201">
      <c r="B3201" s="6" t="inlineStr">
        <is>
          <t>แม่สี บรอนซ์พิเศษ Hybrid S291</t>
        </is>
      </c>
      <c r="C3201" s="8" t="n">
        <v>2</v>
      </c>
      <c r="D3201" s="9" t="n">
        <v>750</v>
      </c>
      <c r="H3201" s="9">
        <f>SUM(D3201*C3201)</f>
        <v/>
      </c>
      <c r="I3201" s="10" t="inlineStr">
        <is>
          <t>บจก. วีที คัลเลอร์ โปร</t>
        </is>
      </c>
      <c r="J3201" s="161" t="n">
        <v>24795</v>
      </c>
      <c r="K3201" s="8" t="inlineStr">
        <is>
          <t>IV6711103</t>
        </is>
      </c>
      <c r="L3201" s="8" t="inlineStr">
        <is>
          <t>ราคาที่ระบุ ยังไม่รวม VAT7%</t>
        </is>
      </c>
    </row>
    <row r="3202">
      <c r="B3202" s="6" t="inlineStr">
        <is>
          <t>แม่สี บรอนซ์พิเศษ Hybrid S291</t>
        </is>
      </c>
      <c r="C3202" s="8" t="n">
        <v>1</v>
      </c>
      <c r="D3202" s="9" t="n">
        <v>802.5</v>
      </c>
      <c r="H3202" s="9">
        <f>SUM(D3202*C3202)</f>
        <v/>
      </c>
      <c r="I3202" s="10" t="inlineStr">
        <is>
          <t>บจก. วีที คัลเลอร์ โปร</t>
        </is>
      </c>
      <c r="J3202" s="161" t="n">
        <v>24858</v>
      </c>
      <c r="K3202" s="8" t="inlineStr">
        <is>
          <t>IV6801106</t>
        </is>
      </c>
      <c r="L3202" s="8" t="inlineStr">
        <is>
          <t>ราคารวม VAT แล้ว</t>
        </is>
      </c>
    </row>
    <row r="3203">
      <c r="B3203" s="6" t="inlineStr">
        <is>
          <t>แม่สี บรอนซ์พิเศษ Hybrid S291</t>
        </is>
      </c>
      <c r="C3203" s="8" t="n">
        <v>2</v>
      </c>
      <c r="D3203" s="9" t="n">
        <v>802.5</v>
      </c>
      <c r="H3203" s="9">
        <f>SUM(D3203*C3203)</f>
        <v/>
      </c>
      <c r="I3203" s="10" t="inlineStr">
        <is>
          <t>บจก. วีที คัลเลอร์ โปร</t>
        </is>
      </c>
      <c r="J3203" s="161" t="n">
        <v>24892</v>
      </c>
      <c r="K3203" s="8" t="inlineStr">
        <is>
          <t>IV6802144</t>
        </is>
      </c>
      <c r="L3203" s="8" t="inlineStr">
        <is>
          <t>ราคารวม VAT แล้ว</t>
        </is>
      </c>
    </row>
    <row r="3204">
      <c r="B3204" s="6" t="inlineStr">
        <is>
          <t>แม่สี บรอนซ์พิเศษ Hybrid S291</t>
        </is>
      </c>
      <c r="C3204" s="8" t="n">
        <v>1</v>
      </c>
      <c r="D3204" s="9" t="n">
        <v>802.5</v>
      </c>
      <c r="H3204" s="9">
        <f>SUM(D3204*C3204)</f>
        <v/>
      </c>
      <c r="I3204" s="10" t="inlineStr">
        <is>
          <t>บจก. วีที คัลเลอร์ โปร</t>
        </is>
      </c>
      <c r="J3204" s="161" t="n">
        <v>24923</v>
      </c>
      <c r="K3204" s="8" t="inlineStr">
        <is>
          <t>IV6803171</t>
        </is>
      </c>
      <c r="L3204" s="8" t="inlineStr">
        <is>
          <t>ราคารวม VAT แล้ว</t>
        </is>
      </c>
    </row>
    <row r="3205">
      <c r="B3205" s="6" t="inlineStr">
        <is>
          <t>แม่สี บรอนซ์พิเศษ Hybrid S291</t>
        </is>
      </c>
      <c r="C3205" s="8" t="n">
        <v>2</v>
      </c>
      <c r="D3205" s="9" t="n">
        <v>750</v>
      </c>
      <c r="E3205" s="9">
        <f>SUM(D3205*C3205)</f>
        <v/>
      </c>
      <c r="F3205" s="8" t="n">
        <v>0.07000000000000001</v>
      </c>
      <c r="G3205" s="10" t="inlineStr">
        <is>
          <t>รวม VAT =</t>
        </is>
      </c>
      <c r="H3205" s="9">
        <f>SUM(E3205+N3205)</f>
        <v/>
      </c>
      <c r="I3205" s="10" t="inlineStr">
        <is>
          <t>บจก. วีที คัลเลอร์ โปร</t>
        </is>
      </c>
      <c r="J3205" s="161" t="n">
        <v>25015</v>
      </c>
      <c r="K3205" s="8" t="inlineStr">
        <is>
          <t>IV6806175</t>
        </is>
      </c>
      <c r="N3205" s="6">
        <f>SUM(E3205*F3205)</f>
        <v/>
      </c>
    </row>
    <row r="3206">
      <c r="B3206" s="6" t="inlineStr">
        <is>
          <t>แม่สี บรอนซ์พิเศษ Hybrid S291</t>
        </is>
      </c>
      <c r="C3206" s="8" t="n">
        <v>2</v>
      </c>
      <c r="D3206" s="9" t="n">
        <v>750</v>
      </c>
      <c r="E3206" s="9">
        <f>SUM(D3206*C3206)</f>
        <v/>
      </c>
      <c r="F3206" s="8" t="n">
        <v>0.07000000000000001</v>
      </c>
      <c r="G3206" s="10" t="inlineStr">
        <is>
          <t>รวม VAT =</t>
        </is>
      </c>
      <c r="H3206" s="9">
        <f>SUM(E3206+N3206)</f>
        <v/>
      </c>
      <c r="I3206" s="10" t="inlineStr">
        <is>
          <t>บจก. วีที คัลเลอร์ โปร</t>
        </is>
      </c>
      <c r="J3206" s="161" t="n">
        <v>25040</v>
      </c>
      <c r="K3206" s="8" t="inlineStr">
        <is>
          <t>IV6807158</t>
        </is>
      </c>
      <c r="N3206" s="6">
        <f>SUM(E3206*F3206)</f>
        <v/>
      </c>
    </row>
    <row r="3207">
      <c r="B3207" s="6" t="inlineStr">
        <is>
          <t>แม่สี บรอนซ์พิเศษ Hybrid S291</t>
        </is>
      </c>
      <c r="C3207" s="8" t="n">
        <v>6</v>
      </c>
      <c r="D3207" s="9" t="n">
        <v>750</v>
      </c>
      <c r="E3207" s="9">
        <f>SUM(D3207*C3207)</f>
        <v/>
      </c>
      <c r="F3207" s="8" t="n">
        <v>0.07000000000000001</v>
      </c>
      <c r="G3207" s="10" t="inlineStr">
        <is>
          <t>รวม VAT =</t>
        </is>
      </c>
      <c r="H3207" s="9">
        <f>SUM(E3207+N3207)</f>
        <v/>
      </c>
      <c r="I3207" s="10" t="inlineStr">
        <is>
          <t>บจก. วีที คัลเลอร์ โปร</t>
        </is>
      </c>
      <c r="J3207" s="161" t="n">
        <v>25043</v>
      </c>
      <c r="K3207" s="8" t="inlineStr">
        <is>
          <t>IV6807194</t>
        </is>
      </c>
      <c r="N3207" s="6">
        <f>SUM(E3207*F3207)</f>
        <v/>
      </c>
    </row>
    <row r="3208">
      <c r="B3208" s="6" t="inlineStr">
        <is>
          <t>แม่สี บรอนซ์พิเศษ Hybrid S291</t>
        </is>
      </c>
      <c r="C3208" s="8" t="n">
        <v>4</v>
      </c>
      <c r="D3208" s="9" t="n">
        <v>750</v>
      </c>
      <c r="E3208" s="9">
        <f>SUM(D3208*C3208)</f>
        <v/>
      </c>
      <c r="F3208" s="8" t="n">
        <v>0.07000000000000001</v>
      </c>
      <c r="G3208" s="10" t="inlineStr">
        <is>
          <t>รวม VAT =</t>
        </is>
      </c>
      <c r="H3208" s="9">
        <f>SUM(E3208+N3208)</f>
        <v/>
      </c>
      <c r="I3208" s="10" t="inlineStr">
        <is>
          <t>บจก. วีที คัลเลอร์ โปร</t>
        </is>
      </c>
      <c r="J3208" s="161" t="n">
        <v>25112</v>
      </c>
      <c r="K3208" s="8" t="inlineStr">
        <is>
          <t>IV6810015</t>
        </is>
      </c>
      <c r="N3208" s="6">
        <f>SUM(E3208*F3208)</f>
        <v/>
      </c>
    </row>
    <row r="3209">
      <c r="B3209" s="6" t="inlineStr">
        <is>
          <t>แม่สี บรอนซ์พิเศษ Hybrid S291</t>
        </is>
      </c>
      <c r="C3209" s="8" t="n">
        <v>4</v>
      </c>
      <c r="D3209" s="9" t="n">
        <v>750</v>
      </c>
      <c r="E3209" s="9">
        <f>SUM(D3209*C3209)</f>
        <v/>
      </c>
      <c r="F3209" s="8" t="n">
        <v>0.07000000000000001</v>
      </c>
      <c r="G3209" s="10" t="inlineStr">
        <is>
          <t>รวม VAT =</t>
        </is>
      </c>
      <c r="H3209" s="9">
        <f>SUM(E3209+N3209)</f>
        <v/>
      </c>
      <c r="I3209" s="10" t="inlineStr">
        <is>
          <t>บจก. วีที คัลเลอร์ โปร</t>
        </is>
      </c>
      <c r="J3209" s="161" t="n">
        <v>25145</v>
      </c>
      <c r="K3209" s="8" t="inlineStr">
        <is>
          <t>IV6811023</t>
        </is>
      </c>
      <c r="L3209" s="8" t="inlineStr">
        <is>
          <t>ราคาที่ระบุ ยังไม่รวม VAT7%</t>
        </is>
      </c>
      <c r="N3209" s="6">
        <f>SUM(E3209*F3209)</f>
        <v/>
      </c>
    </row>
    <row r="3210">
      <c r="B3210" s="6" t="inlineStr">
        <is>
          <t>แม่สี บรอนซ์พิเศษ Hybrid S291</t>
        </is>
      </c>
      <c r="C3210" s="8" t="n">
        <v>2</v>
      </c>
      <c r="D3210" s="9" t="n">
        <v>750</v>
      </c>
      <c r="E3210" s="9">
        <f>SUM(D3210*C3210)</f>
        <v/>
      </c>
      <c r="F3210" s="8" t="n">
        <v>0.07000000000000001</v>
      </c>
      <c r="G3210" s="10" t="inlineStr">
        <is>
          <t>รวม VAT =</t>
        </is>
      </c>
      <c r="H3210" s="9">
        <f>SUM(E3210+N3210)</f>
        <v/>
      </c>
      <c r="I3210" s="10" t="inlineStr">
        <is>
          <t>บจก. วีที คัลเลอร์ โปร</t>
        </is>
      </c>
      <c r="J3210" s="161" t="n">
        <v>25168</v>
      </c>
      <c r="K3210" s="8" t="inlineStr">
        <is>
          <t>IV6811188</t>
        </is>
      </c>
      <c r="N3210" s="6">
        <f>SUM(E3210*F3210)</f>
        <v/>
      </c>
    </row>
    <row r="3212">
      <c r="B3212" s="6" t="inlineStr">
        <is>
          <t>แม่สี บรอนซ์พิเศษ Hybrid S292</t>
        </is>
      </c>
      <c r="C3212" s="8" t="n">
        <v>2</v>
      </c>
      <c r="D3212" s="9" t="n">
        <v>750</v>
      </c>
      <c r="H3212" s="9">
        <f>SUM(D3212*C3212)</f>
        <v/>
      </c>
      <c r="I3212" s="10" t="inlineStr">
        <is>
          <t>บจก. วีที คัลเลอร์ โปร</t>
        </is>
      </c>
      <c r="J3212" s="161" t="n">
        <v>24401</v>
      </c>
      <c r="K3212" s="8" t="inlineStr">
        <is>
          <t>IV684-66</t>
        </is>
      </c>
      <c r="L3212" s="8" t="inlineStr">
        <is>
          <t>ราคาที่ระบุ ยังไม่รวม VAT7%</t>
        </is>
      </c>
    </row>
    <row r="3213">
      <c r="B3213" s="6" t="inlineStr">
        <is>
          <t>แม่สี บรอนซ์พิเศษ Hybrid S292</t>
        </is>
      </c>
      <c r="C3213" s="8" t="n">
        <v>3</v>
      </c>
      <c r="D3213" s="9" t="n">
        <v>750</v>
      </c>
      <c r="H3213" s="9">
        <f>SUM(D3213*C3213)</f>
        <v/>
      </c>
      <c r="I3213" s="10" t="inlineStr">
        <is>
          <t>บจก. วีที คัลเลอร์ โปร</t>
        </is>
      </c>
      <c r="J3213" s="161" t="n">
        <v>24515</v>
      </c>
      <c r="K3213" s="8" t="inlineStr">
        <is>
          <t>IV6702047</t>
        </is>
      </c>
      <c r="L3213" s="8" t="inlineStr">
        <is>
          <t>ราคาที่ระบุ ยังไม่รวม VAT7%</t>
        </is>
      </c>
    </row>
    <row r="3214">
      <c r="B3214" s="6" t="inlineStr">
        <is>
          <t>แม่สี บรอนซ์พิเศษ Hybrid S292</t>
        </is>
      </c>
      <c r="C3214" s="8" t="n">
        <v>1</v>
      </c>
      <c r="D3214" s="9" t="n">
        <v>750</v>
      </c>
      <c r="H3214" s="9">
        <f>SUM(D3214*C3214)</f>
        <v/>
      </c>
      <c r="I3214" s="10" t="inlineStr">
        <is>
          <t>บจก. วีที คัลเลอร์ โปร</t>
        </is>
      </c>
      <c r="J3214" s="161" t="n">
        <v>24613</v>
      </c>
      <c r="K3214" s="8" t="inlineStr">
        <is>
          <t>IV6705104</t>
        </is>
      </c>
      <c r="L3214" s="8" t="inlineStr">
        <is>
          <t>ราคาที่ระบุ ยังไม่รวม VAT7%</t>
        </is>
      </c>
    </row>
    <row r="3215">
      <c r="B3215" s="6" t="inlineStr">
        <is>
          <t>แม่สี บรอนซ์พิเศษ Hybrid S292</t>
        </is>
      </c>
      <c r="C3215" s="8" t="n">
        <v>1</v>
      </c>
      <c r="D3215" s="9" t="n">
        <v>750</v>
      </c>
      <c r="H3215" s="9">
        <f>SUM(D3215*C3215)</f>
        <v/>
      </c>
      <c r="I3215" s="10" t="inlineStr">
        <is>
          <t>บจก. วีที คัลเลอร์ โปร</t>
        </is>
      </c>
      <c r="J3215" s="161" t="n">
        <v>24647</v>
      </c>
      <c r="K3215" s="8" t="inlineStr">
        <is>
          <t>IV6706130</t>
        </is>
      </c>
      <c r="L3215" s="8" t="inlineStr">
        <is>
          <t>ราคาที่ระบุ ยังไม่รวม VAT7%</t>
        </is>
      </c>
    </row>
    <row r="3216">
      <c r="B3216" s="6" t="inlineStr">
        <is>
          <t>แม่สี บรอนซ์พิเศษ Hybrid S292</t>
        </is>
      </c>
      <c r="C3216" s="8" t="n">
        <v>2</v>
      </c>
      <c r="D3216" s="9" t="n">
        <v>750</v>
      </c>
      <c r="H3216" s="9">
        <f>SUM(D3216*C3216)</f>
        <v/>
      </c>
      <c r="I3216" s="10" t="inlineStr">
        <is>
          <t>บจก. วีที คัลเลอร์ โปร</t>
        </is>
      </c>
      <c r="J3216" s="161" t="n">
        <v>24698</v>
      </c>
      <c r="K3216" s="8" t="inlineStr">
        <is>
          <t>IV6708064</t>
        </is>
      </c>
      <c r="L3216" s="8" t="inlineStr">
        <is>
          <t>ราคาที่ระบุ ยังไม่รวม VAT7%</t>
        </is>
      </c>
    </row>
    <row r="3217">
      <c r="B3217" s="6" t="inlineStr">
        <is>
          <t>แม่สี บรอนซ์พิเศษ Hybrid S292</t>
        </is>
      </c>
      <c r="C3217" s="8" t="n">
        <v>1</v>
      </c>
      <c r="D3217" s="9" t="n">
        <v>750</v>
      </c>
      <c r="H3217" s="9">
        <f>SUM(D3217*C3217)</f>
        <v/>
      </c>
      <c r="I3217" s="10" t="inlineStr">
        <is>
          <t>บจก. วีที คัลเลอร์ โปร</t>
        </is>
      </c>
      <c r="J3217" s="161" t="n">
        <v>24739</v>
      </c>
      <c r="K3217" s="8" t="inlineStr">
        <is>
          <t>IV6709122</t>
        </is>
      </c>
      <c r="L3217" s="8" t="inlineStr">
        <is>
          <t>ราคาที่ระบุ ยังไม่รวม VAT7%</t>
        </is>
      </c>
    </row>
    <row r="3218">
      <c r="B3218" s="6" t="inlineStr">
        <is>
          <t>แม่สี บรอนซ์พิเศษ Hybrid S292</t>
        </is>
      </c>
      <c r="C3218" s="8" t="n">
        <v>1</v>
      </c>
      <c r="D3218" s="9" t="n">
        <v>750</v>
      </c>
      <c r="H3218" s="9">
        <f>SUM(D3218*C3218)</f>
        <v/>
      </c>
      <c r="I3218" s="10" t="inlineStr">
        <is>
          <t>บจก. วีที คัลเลอร์ โปร</t>
        </is>
      </c>
      <c r="J3218" s="161" t="n">
        <v>24795</v>
      </c>
      <c r="K3218" s="8" t="inlineStr">
        <is>
          <t>IV6711103</t>
        </is>
      </c>
      <c r="L3218" s="8" t="inlineStr">
        <is>
          <t>ราคาที่ระบุ ยังไม่รวม VAT7%</t>
        </is>
      </c>
    </row>
    <row r="3219">
      <c r="B3219" s="6" t="inlineStr">
        <is>
          <t>แม่สี บรอนซ์พิเศษ Hybrid S292</t>
        </is>
      </c>
      <c r="C3219" s="8" t="n">
        <v>1</v>
      </c>
      <c r="D3219" s="9" t="n">
        <v>802.5</v>
      </c>
      <c r="H3219" s="9">
        <f>SUM(D3219*C3219)</f>
        <v/>
      </c>
      <c r="I3219" s="10" t="inlineStr">
        <is>
          <t>บจก. วีที คัลเลอร์ โปร</t>
        </is>
      </c>
      <c r="J3219" s="161" t="n">
        <v>24858</v>
      </c>
      <c r="K3219" s="8" t="inlineStr">
        <is>
          <t>IV6801106</t>
        </is>
      </c>
      <c r="L3219" s="8" t="inlineStr">
        <is>
          <t>ราคารวม VAT แล้ว</t>
        </is>
      </c>
    </row>
    <row r="3220">
      <c r="B3220" s="6" t="inlineStr">
        <is>
          <t>แม่สี บรอนซ์พิเศษ Hybrid S292</t>
        </is>
      </c>
      <c r="C3220" s="8" t="n">
        <v>3</v>
      </c>
      <c r="D3220" s="9" t="n">
        <v>750</v>
      </c>
      <c r="E3220" s="9">
        <f>SUM(D3220*C3220)</f>
        <v/>
      </c>
      <c r="F3220" s="8" t="n">
        <v>0.07000000000000001</v>
      </c>
      <c r="G3220" s="10" t="inlineStr">
        <is>
          <t>รวม VAT =</t>
        </is>
      </c>
      <c r="H3220" s="9">
        <f>SUM(E3220+N3220)</f>
        <v/>
      </c>
      <c r="I3220" s="10" t="inlineStr">
        <is>
          <t>บจก. วีที คัลเลอร์ โปร</t>
        </is>
      </c>
      <c r="J3220" s="161" t="n">
        <v>25002</v>
      </c>
      <c r="K3220" s="8" t="inlineStr">
        <is>
          <t>IV6806091</t>
        </is>
      </c>
      <c r="N3220" s="6">
        <f>SUM(E3220*F3220)</f>
        <v/>
      </c>
    </row>
    <row r="3221">
      <c r="B3221" s="6" t="inlineStr">
        <is>
          <t>แม่สี บรอนซ์พิเศษ Hybrid S292</t>
        </is>
      </c>
      <c r="C3221" s="8" t="n">
        <v>2</v>
      </c>
      <c r="D3221" s="9" t="n">
        <v>750</v>
      </c>
      <c r="E3221" s="9">
        <f>SUM(D3221*C3221)</f>
        <v/>
      </c>
      <c r="F3221" s="8" t="n">
        <v>0.07000000000000001</v>
      </c>
      <c r="G3221" s="10" t="inlineStr">
        <is>
          <t>รวม VAT =</t>
        </is>
      </c>
      <c r="H3221" s="9">
        <f>SUM(E3221+N3221)</f>
        <v/>
      </c>
      <c r="I3221" s="10" t="inlineStr">
        <is>
          <t>บจก. วีที คัลเลอร์ โปร</t>
        </is>
      </c>
      <c r="J3221" s="161" t="n">
        <v>25180</v>
      </c>
      <c r="K3221" s="8" t="inlineStr">
        <is>
          <t>IV6812065</t>
        </is>
      </c>
      <c r="N3221" s="6">
        <f>SUM(E3221*F3221)</f>
        <v/>
      </c>
    </row>
    <row r="3223">
      <c r="B3223" s="6" t="inlineStr">
        <is>
          <t>แม่สี Matrix  M-282</t>
        </is>
      </c>
      <c r="C3223" s="8" t="inlineStr">
        <is>
          <t>1กป.</t>
        </is>
      </c>
      <c r="D3223" s="9" t="n">
        <v>850</v>
      </c>
      <c r="F3223" s="8" t="n">
        <v>10</v>
      </c>
      <c r="H3223" s="9" t="n">
        <v>850</v>
      </c>
      <c r="I3223" s="10" t="inlineStr">
        <is>
          <t>ทรัพย์สินไทย</t>
        </is>
      </c>
      <c r="J3223" s="161" t="n">
        <v>23124</v>
      </c>
      <c r="L3223" s="8" t="inlineStr">
        <is>
          <t>ราคาที่ระบุเป็นก่อนหักส่วนลด</t>
        </is>
      </c>
    </row>
    <row r="3224">
      <c r="B3224" s="6" t="inlineStr">
        <is>
          <t>แม่สี Matrix  M-282</t>
        </is>
      </c>
      <c r="C3224" s="8" t="inlineStr">
        <is>
          <t>1กป.</t>
        </is>
      </c>
      <c r="D3224" s="9" t="n">
        <v>850</v>
      </c>
      <c r="F3224" s="8" t="n">
        <v>10</v>
      </c>
      <c r="H3224" s="9" t="n">
        <v>850</v>
      </c>
      <c r="I3224" s="10" t="inlineStr">
        <is>
          <t>ทรัพย์สินไทย</t>
        </is>
      </c>
      <c r="J3224" s="161" t="n">
        <v>23795</v>
      </c>
      <c r="K3224" s="8" t="inlineStr">
        <is>
          <t>IV6502259</t>
        </is>
      </c>
      <c r="L3224" s="8" t="inlineStr">
        <is>
          <t>ราคาที่ระบุเป็นก่อนหักส่วนลด</t>
        </is>
      </c>
    </row>
    <row r="3226">
      <c r="B3226" s="6" t="inlineStr">
        <is>
          <t>แม่สี Matrix  M-283</t>
        </is>
      </c>
      <c r="C3226" s="8" t="inlineStr">
        <is>
          <t>1กป.</t>
        </is>
      </c>
      <c r="D3226" s="9" t="n">
        <v>850</v>
      </c>
      <c r="F3226" s="8" t="n">
        <v>10</v>
      </c>
      <c r="H3226" s="9" t="n">
        <v>850</v>
      </c>
      <c r="I3226" s="10" t="inlineStr">
        <is>
          <t>ทรัพย์สินไทย</t>
        </is>
      </c>
      <c r="J3226" s="161" t="n">
        <v>22790</v>
      </c>
      <c r="L3226" s="8" t="inlineStr">
        <is>
          <t>ราคาที่ระบุเป็นก่อนหักส่วนลด</t>
        </is>
      </c>
    </row>
    <row r="3227">
      <c r="B3227" s="6" t="inlineStr">
        <is>
          <t>แม่สี Matrix  M-283</t>
        </is>
      </c>
      <c r="C3227" s="8" t="inlineStr">
        <is>
          <t>1กป.</t>
        </is>
      </c>
      <c r="D3227" s="9" t="n">
        <v>850</v>
      </c>
      <c r="F3227" s="8" t="n">
        <v>10</v>
      </c>
      <c r="H3227" s="9" t="n">
        <v>850</v>
      </c>
      <c r="I3227" s="10" t="inlineStr">
        <is>
          <t>ทรัพย์สินไทย</t>
        </is>
      </c>
      <c r="J3227" s="161" t="n">
        <v>22913</v>
      </c>
      <c r="L3227" s="8" t="inlineStr">
        <is>
          <t>ราคาที่ระบุเป็นก่อนหักส่วนลด</t>
        </is>
      </c>
    </row>
    <row r="3228">
      <c r="B3228" s="6" t="inlineStr">
        <is>
          <t>แม่สี Matrix  M-283</t>
        </is>
      </c>
      <c r="C3228" s="8" t="inlineStr">
        <is>
          <t>1กป.</t>
        </is>
      </c>
      <c r="D3228" s="9" t="n">
        <v>850</v>
      </c>
      <c r="F3228" s="8" t="n">
        <v>10</v>
      </c>
      <c r="H3228" s="9" t="n">
        <v>850</v>
      </c>
      <c r="I3228" s="10" t="inlineStr">
        <is>
          <t>ทรัพย์สินไทย</t>
        </is>
      </c>
      <c r="J3228" s="161" t="n">
        <v>22920</v>
      </c>
      <c r="L3228" s="8" t="inlineStr">
        <is>
          <t>ราคาที่ระบุเป็นก่อนหักส่วนลด</t>
        </is>
      </c>
    </row>
    <row r="3229">
      <c r="B3229" s="6" t="inlineStr">
        <is>
          <t>แม่สี Matrix  M-283</t>
        </is>
      </c>
      <c r="C3229" s="8" t="inlineStr">
        <is>
          <t>1กป.</t>
        </is>
      </c>
      <c r="D3229" s="9" t="n">
        <v>850</v>
      </c>
      <c r="F3229" s="8" t="n">
        <v>10</v>
      </c>
      <c r="H3229" s="9" t="n">
        <v>850</v>
      </c>
      <c r="I3229" s="10" t="inlineStr">
        <is>
          <t>ทรัพย์สินไทย</t>
        </is>
      </c>
      <c r="J3229" s="161" t="n">
        <v>23124</v>
      </c>
      <c r="L3229" s="8" t="inlineStr">
        <is>
          <t>ราคาที่ระบุเป็นก่อนหักส่วนลด</t>
        </is>
      </c>
    </row>
    <row r="3230">
      <c r="B3230" s="6" t="inlineStr">
        <is>
          <t>แม่สี Matrix  M-283</t>
        </is>
      </c>
      <c r="C3230" s="8" t="inlineStr">
        <is>
          <t>2กป.</t>
        </is>
      </c>
      <c r="D3230" s="9" t="n">
        <v>850</v>
      </c>
      <c r="F3230" s="8" t="n">
        <v>10</v>
      </c>
      <c r="H3230" s="9" t="n">
        <v>1700</v>
      </c>
      <c r="I3230" s="10" t="inlineStr">
        <is>
          <t>ทรัพย์สินไทย</t>
        </is>
      </c>
      <c r="J3230" s="161" t="n">
        <v>23247</v>
      </c>
      <c r="L3230" s="8" t="inlineStr">
        <is>
          <t>ราคาที่ระบุเป็นก่อนหักส่วนลด</t>
        </is>
      </c>
    </row>
    <row r="3231">
      <c r="B3231" s="6" t="inlineStr">
        <is>
          <t>แม่สี Matrix  M-283</t>
        </is>
      </c>
      <c r="C3231" s="8" t="inlineStr">
        <is>
          <t>1กป.</t>
        </is>
      </c>
      <c r="D3231" s="9" t="n">
        <v>850</v>
      </c>
      <c r="F3231" s="8" t="n">
        <v>10</v>
      </c>
      <c r="H3231" s="9" t="n">
        <v>850</v>
      </c>
      <c r="I3231" s="10" t="inlineStr">
        <is>
          <t>ทรัพย์สินไทย</t>
        </is>
      </c>
      <c r="J3231" s="161" t="n">
        <v>22884</v>
      </c>
      <c r="L3231" s="8" t="inlineStr">
        <is>
          <t>ราคาที่ระบุเป็นก่อนหักส่วนลด</t>
        </is>
      </c>
    </row>
    <row r="3232">
      <c r="B3232" s="6" t="inlineStr">
        <is>
          <t>แม่สี Matrix  M-283</t>
        </is>
      </c>
      <c r="C3232" s="8" t="inlineStr">
        <is>
          <t>2กป.</t>
        </is>
      </c>
      <c r="D3232" s="9" t="n">
        <v>850</v>
      </c>
      <c r="F3232" s="8" t="n">
        <v>10</v>
      </c>
      <c r="H3232" s="9" t="n">
        <v>1700</v>
      </c>
      <c r="I3232" s="10" t="inlineStr">
        <is>
          <t>ทรัพย์สินไทย</t>
        </is>
      </c>
      <c r="J3232" s="161" t="n">
        <v>23366</v>
      </c>
      <c r="L3232" s="8" t="inlineStr">
        <is>
          <t>ราคาที่ระบุเป็นก่อนหักส่วนลด</t>
        </is>
      </c>
    </row>
    <row r="3233">
      <c r="B3233" s="6" t="inlineStr">
        <is>
          <t>แม่สี Matrix  M-283</t>
        </is>
      </c>
      <c r="C3233" s="8" t="inlineStr">
        <is>
          <t>2กป.</t>
        </is>
      </c>
      <c r="D3233" s="9" t="n">
        <v>850</v>
      </c>
      <c r="F3233" s="8" t="n">
        <v>10</v>
      </c>
      <c r="H3233" s="9" t="n">
        <v>1700</v>
      </c>
      <c r="I3233" s="10" t="inlineStr">
        <is>
          <t>ทรัพย์สินไทย</t>
        </is>
      </c>
      <c r="J3233" s="161" t="n">
        <v>23763</v>
      </c>
      <c r="K3233" s="8" t="inlineStr">
        <is>
          <t>IV6501225</t>
        </is>
      </c>
      <c r="L3233" s="8" t="inlineStr">
        <is>
          <t>ราคาที่ระบุเป็นก่อนหักส่วนลด</t>
        </is>
      </c>
    </row>
    <row r="3234">
      <c r="B3234" s="6" t="inlineStr">
        <is>
          <t>แม่สี Matrix  M-283</t>
        </is>
      </c>
      <c r="C3234" s="8" t="inlineStr">
        <is>
          <t>1กป.</t>
        </is>
      </c>
      <c r="D3234" s="9" t="n">
        <v>850</v>
      </c>
      <c r="F3234" s="8" t="n">
        <v>10</v>
      </c>
      <c r="H3234" s="9" t="n">
        <v>850</v>
      </c>
      <c r="I3234" s="10" t="inlineStr">
        <is>
          <t>ทรัพย์สินไทย</t>
        </is>
      </c>
      <c r="J3234" s="161" t="n">
        <v>23795</v>
      </c>
      <c r="K3234" s="8" t="inlineStr">
        <is>
          <t>IV6502259</t>
        </is>
      </c>
      <c r="L3234" s="8" t="inlineStr">
        <is>
          <t>ราคาที่ระบุเป็นก่อนหักส่วนลด</t>
        </is>
      </c>
    </row>
    <row r="3236">
      <c r="B3236" s="6" t="inlineStr">
        <is>
          <t>แม่สี Matrix  M-285</t>
        </is>
      </c>
      <c r="C3236" s="8" t="inlineStr">
        <is>
          <t>1กป.</t>
        </is>
      </c>
      <c r="D3236" s="9" t="n">
        <v>850</v>
      </c>
      <c r="F3236" s="8" t="n">
        <v>10</v>
      </c>
      <c r="H3236" s="9" t="n">
        <v>850</v>
      </c>
      <c r="I3236" s="10" t="inlineStr">
        <is>
          <t>ทรัพย์สินไทย</t>
        </is>
      </c>
      <c r="J3236" s="161" t="n">
        <v>22429</v>
      </c>
      <c r="L3236" s="8" t="inlineStr">
        <is>
          <t>ราคาที่ระบุเป็นก่อนหักส่วนลด</t>
        </is>
      </c>
    </row>
    <row r="3237">
      <c r="B3237" s="6" t="inlineStr">
        <is>
          <t>แม่สี Matrix  M-285</t>
        </is>
      </c>
      <c r="C3237" s="8" t="inlineStr">
        <is>
          <t>2กป.</t>
        </is>
      </c>
      <c r="D3237" s="9" t="n">
        <v>850</v>
      </c>
      <c r="F3237" s="8" t="n">
        <v>10</v>
      </c>
      <c r="H3237" s="9" t="n">
        <v>1700</v>
      </c>
      <c r="I3237" s="10" t="inlineStr">
        <is>
          <t>ทรัพย์สินไทย</t>
        </is>
      </c>
      <c r="J3237" s="161" t="n">
        <v>22804</v>
      </c>
      <c r="L3237" s="8" t="inlineStr">
        <is>
          <t>ราคาที่ระบุเป็นก่อนหักส่วนลด</t>
        </is>
      </c>
    </row>
    <row r="3238">
      <c r="B3238" s="6" t="inlineStr">
        <is>
          <t>แม่สี Matrix  M-285</t>
        </is>
      </c>
      <c r="C3238" s="8" t="inlineStr">
        <is>
          <t>1กป.</t>
        </is>
      </c>
      <c r="D3238" s="9" t="n">
        <v>850</v>
      </c>
      <c r="F3238" s="8" t="n">
        <v>10</v>
      </c>
      <c r="H3238" s="9" t="n">
        <v>850</v>
      </c>
      <c r="I3238" s="10" t="inlineStr">
        <is>
          <t>ทรัพย์สินไทย</t>
        </is>
      </c>
      <c r="J3238" s="161" t="n">
        <v>22913</v>
      </c>
      <c r="L3238" s="8" t="inlineStr">
        <is>
          <t>ราคาที่ระบุเป็นก่อนหักส่วนลด</t>
        </is>
      </c>
    </row>
    <row r="3239">
      <c r="B3239" s="6" t="inlineStr">
        <is>
          <t>แม่สี Matrix  M-285</t>
        </is>
      </c>
      <c r="C3239" s="8" t="inlineStr">
        <is>
          <t>2กป.</t>
        </is>
      </c>
      <c r="D3239" s="9" t="n">
        <v>850</v>
      </c>
      <c r="F3239" s="8" t="n">
        <v>10</v>
      </c>
      <c r="H3239" s="9" t="n">
        <v>1700</v>
      </c>
      <c r="I3239" s="10" t="inlineStr">
        <is>
          <t>ทรัพย์สินไทย</t>
        </is>
      </c>
      <c r="J3239" s="161" t="n">
        <v>23038</v>
      </c>
      <c r="L3239" s="8" t="inlineStr">
        <is>
          <t>ราคาที่ระบุเป็นก่อนหักส่วนลด</t>
        </is>
      </c>
    </row>
    <row r="3240">
      <c r="B3240" s="6" t="inlineStr">
        <is>
          <t>แม่สี Matrix  M-285</t>
        </is>
      </c>
      <c r="C3240" s="8" t="inlineStr">
        <is>
          <t>1กป.</t>
        </is>
      </c>
      <c r="D3240" s="9" t="n">
        <v>850</v>
      </c>
      <c r="F3240" s="8" t="n">
        <v>10</v>
      </c>
      <c r="H3240" s="9" t="n">
        <v>850</v>
      </c>
      <c r="I3240" s="10" t="inlineStr">
        <is>
          <t>ทรัพย์สินไทย</t>
        </is>
      </c>
      <c r="J3240" s="161" t="n">
        <v>23430</v>
      </c>
      <c r="L3240" s="8" t="inlineStr">
        <is>
          <t>ราคาที่ระบุเป็นก่อนหักส่วนลด</t>
        </is>
      </c>
    </row>
    <row r="3241">
      <c r="B3241" s="6" t="inlineStr">
        <is>
          <t>แม่สี Matrix  M-285</t>
        </is>
      </c>
      <c r="C3241" s="8" t="inlineStr">
        <is>
          <t>1กป.</t>
        </is>
      </c>
      <c r="D3241" s="9" t="n">
        <v>850</v>
      </c>
      <c r="F3241" s="8" t="n">
        <v>10</v>
      </c>
      <c r="H3241" s="9" t="n">
        <v>850</v>
      </c>
      <c r="I3241" s="10" t="inlineStr">
        <is>
          <t>ทรัพย์สินไทย</t>
        </is>
      </c>
      <c r="J3241" s="161" t="n">
        <v>23613</v>
      </c>
      <c r="L3241" s="8" t="inlineStr">
        <is>
          <t>ราคาที่ระบุเป็นก่อนหักส่วนลด</t>
        </is>
      </c>
    </row>
    <row r="3242">
      <c r="B3242" s="6" t="inlineStr">
        <is>
          <t>แม่สี Matrix  M-285</t>
        </is>
      </c>
      <c r="C3242" s="8" t="inlineStr">
        <is>
          <t>1กป.</t>
        </is>
      </c>
      <c r="D3242" s="9" t="n">
        <v>850</v>
      </c>
      <c r="F3242" s="8" t="n">
        <v>10</v>
      </c>
      <c r="H3242" s="9" t="n">
        <v>850</v>
      </c>
      <c r="I3242" s="10" t="inlineStr">
        <is>
          <t>ทรัพย์สินไทย</t>
        </is>
      </c>
      <c r="J3242" s="161" t="n">
        <v>23824</v>
      </c>
      <c r="K3242" s="8" t="inlineStr">
        <is>
          <t>IV6503301</t>
        </is>
      </c>
      <c r="L3242" s="8" t="inlineStr">
        <is>
          <t>ราคาที่ระบุเป็นก่อนหักส่วนลด</t>
        </is>
      </c>
    </row>
    <row r="3244">
      <c r="B3244" s="6" t="inlineStr">
        <is>
          <t>แม่สี Matrix  M-291</t>
        </is>
      </c>
      <c r="C3244" s="8" t="inlineStr">
        <is>
          <t>2กป.</t>
        </is>
      </c>
      <c r="D3244" s="9" t="n">
        <v>850</v>
      </c>
      <c r="F3244" s="8" t="n">
        <v>10</v>
      </c>
      <c r="H3244" s="9" t="n">
        <v>1700</v>
      </c>
      <c r="I3244" s="10" t="inlineStr">
        <is>
          <t>ทรัพย์สินไทย</t>
        </is>
      </c>
      <c r="J3244" s="161" t="n">
        <v>23081</v>
      </c>
      <c r="L3244" s="8" t="inlineStr">
        <is>
          <t>ราคาที่ระบุเป็นก่อนหักส่วนลด</t>
        </is>
      </c>
    </row>
    <row r="3245">
      <c r="B3245" s="6" t="inlineStr">
        <is>
          <t>แม่สี Matrix  M-291</t>
        </is>
      </c>
      <c r="C3245" s="8" t="inlineStr">
        <is>
          <t>2กป.</t>
        </is>
      </c>
      <c r="D3245" s="9" t="n">
        <v>850</v>
      </c>
      <c r="F3245" s="8" t="n">
        <v>10</v>
      </c>
      <c r="H3245" s="9" t="n">
        <v>1700</v>
      </c>
      <c r="I3245" s="10" t="inlineStr">
        <is>
          <t>ทรัพย์สินไทย</t>
        </is>
      </c>
      <c r="J3245" s="161" t="n">
        <v>23094</v>
      </c>
      <c r="L3245" s="8" t="inlineStr">
        <is>
          <t>ราคาที่ระบุเป็นก่อนหักส่วนลด</t>
        </is>
      </c>
    </row>
    <row r="3246">
      <c r="B3246" s="6" t="inlineStr">
        <is>
          <t>แม่สี Matrix  M-291</t>
        </is>
      </c>
      <c r="C3246" s="8" t="inlineStr">
        <is>
          <t>2กป.</t>
        </is>
      </c>
      <c r="D3246" s="9" t="n">
        <v>850</v>
      </c>
      <c r="F3246" s="8" t="n">
        <v>10</v>
      </c>
      <c r="H3246" s="9" t="n">
        <v>1700</v>
      </c>
      <c r="I3246" s="10" t="inlineStr">
        <is>
          <t>ทรัพย์สินไทย</t>
        </is>
      </c>
      <c r="J3246" s="161" t="n">
        <v>23247</v>
      </c>
      <c r="L3246" s="8" t="inlineStr">
        <is>
          <t>ราคาที่ระบุเป็นก่อนหักส่วนลด</t>
        </is>
      </c>
    </row>
    <row r="3247">
      <c r="B3247" s="6" t="inlineStr">
        <is>
          <t>แม่สี Matrix  M-291</t>
        </is>
      </c>
      <c r="C3247" s="8" t="inlineStr">
        <is>
          <t>2กป.</t>
        </is>
      </c>
      <c r="D3247" s="9" t="n">
        <v>850</v>
      </c>
      <c r="F3247" s="8" t="n">
        <v>10</v>
      </c>
      <c r="H3247" s="9" t="n">
        <v>1700</v>
      </c>
      <c r="I3247" s="10" t="inlineStr">
        <is>
          <t>ทรัพย์สินไทย</t>
        </is>
      </c>
      <c r="J3247" s="161" t="n">
        <v>23340</v>
      </c>
      <c r="L3247" s="8" t="inlineStr">
        <is>
          <t>ราคาที่ระบุเป็นก่อนหักส่วนลด</t>
        </is>
      </c>
    </row>
    <row r="3248">
      <c r="B3248" s="6" t="inlineStr">
        <is>
          <t>แม่สี Matrix  M-291</t>
        </is>
      </c>
      <c r="C3248" s="8" t="inlineStr">
        <is>
          <t>2กป.</t>
        </is>
      </c>
      <c r="D3248" s="9" t="n">
        <v>850</v>
      </c>
      <c r="F3248" s="8" t="n">
        <v>10</v>
      </c>
      <c r="H3248" s="9" t="n">
        <v>1700</v>
      </c>
      <c r="I3248" s="10" t="inlineStr">
        <is>
          <t>ทรัพย์สินไทย</t>
        </is>
      </c>
      <c r="J3248" s="161" t="n">
        <v>23366</v>
      </c>
      <c r="L3248" s="8" t="inlineStr">
        <is>
          <t>ราคาที่ระบุเป็นก่อนหักส่วนลด</t>
        </is>
      </c>
    </row>
    <row r="3249">
      <c r="B3249" s="6" t="inlineStr">
        <is>
          <t>แม่สี Matrix  M-291</t>
        </is>
      </c>
      <c r="C3249" s="8" t="inlineStr">
        <is>
          <t>2กป.</t>
        </is>
      </c>
      <c r="D3249" s="9" t="n">
        <v>850</v>
      </c>
      <c r="F3249" s="8" t="n">
        <v>10</v>
      </c>
      <c r="H3249" s="9" t="n">
        <v>1700</v>
      </c>
      <c r="I3249" s="10" t="inlineStr">
        <is>
          <t>ทรัพย์สินไทย</t>
        </is>
      </c>
      <c r="J3249" s="161" t="n">
        <v>23398</v>
      </c>
      <c r="L3249" s="8" t="inlineStr">
        <is>
          <t>ราคาที่ระบุเป็นก่อนหักส่วนลด</t>
        </is>
      </c>
    </row>
    <row r="3250">
      <c r="B3250" s="6" t="inlineStr">
        <is>
          <t>แม่สี Matrix  M-291</t>
        </is>
      </c>
      <c r="C3250" s="8" t="inlineStr">
        <is>
          <t>3กป.</t>
        </is>
      </c>
      <c r="D3250" s="9" t="n">
        <v>850</v>
      </c>
      <c r="F3250" s="8" t="n">
        <v>10</v>
      </c>
      <c r="H3250" s="9" t="n">
        <v>2550</v>
      </c>
      <c r="I3250" s="10" t="inlineStr">
        <is>
          <t>ทรัพย์สินไทย</t>
        </is>
      </c>
      <c r="J3250" s="161" t="n">
        <v>23570</v>
      </c>
      <c r="L3250" s="8" t="inlineStr">
        <is>
          <t>ราคาที่ระบุเป็นก่อนหักส่วนลด</t>
        </is>
      </c>
    </row>
    <row r="3251">
      <c r="B3251" s="6" t="inlineStr">
        <is>
          <t>แม่สี Matrix  M-291</t>
        </is>
      </c>
      <c r="C3251" s="8" t="inlineStr">
        <is>
          <t>2กป.</t>
        </is>
      </c>
      <c r="D3251" s="9" t="n">
        <v>850</v>
      </c>
      <c r="F3251" s="8" t="n">
        <v>10</v>
      </c>
      <c r="H3251" s="9" t="n">
        <v>1700</v>
      </c>
      <c r="I3251" s="10" t="inlineStr">
        <is>
          <t>ทรัพย์สินไทย</t>
        </is>
      </c>
      <c r="J3251" s="161" t="n">
        <v>23642</v>
      </c>
      <c r="K3251" s="8" t="inlineStr">
        <is>
          <t>IV6409285</t>
        </is>
      </c>
      <c r="L3251" s="8" t="inlineStr">
        <is>
          <t>ราคาที่ระบุเป็นก่อนหักส่วนลด</t>
        </is>
      </c>
    </row>
    <row r="3252">
      <c r="B3252" s="6" t="inlineStr">
        <is>
          <t>แม่สี Matrix  M-291</t>
        </is>
      </c>
      <c r="C3252" s="8" t="inlineStr">
        <is>
          <t>3กป.</t>
        </is>
      </c>
      <c r="D3252" s="9" t="n">
        <v>850</v>
      </c>
      <c r="F3252" s="8" t="n">
        <v>10</v>
      </c>
      <c r="H3252" s="9" t="n">
        <v>2550</v>
      </c>
      <c r="I3252" s="10" t="inlineStr">
        <is>
          <t>ทรัพย์สินไทย</t>
        </is>
      </c>
      <c r="J3252" s="161" t="n">
        <v>23704</v>
      </c>
      <c r="K3252" s="8" t="inlineStr">
        <is>
          <t>IV6411320</t>
        </is>
      </c>
      <c r="L3252" s="8" t="inlineStr">
        <is>
          <t>ราคาที่ระบุเป็นก่อนหักส่วนลด</t>
        </is>
      </c>
    </row>
    <row r="3253">
      <c r="B3253" s="6" t="inlineStr">
        <is>
          <t>แม่สี Matrix  M-291</t>
        </is>
      </c>
      <c r="C3253" s="8" t="inlineStr">
        <is>
          <t>2กป.</t>
        </is>
      </c>
      <c r="D3253" s="9" t="n">
        <v>850</v>
      </c>
      <c r="F3253" s="8" t="n">
        <v>10</v>
      </c>
      <c r="H3253" s="9" t="n">
        <v>1700</v>
      </c>
      <c r="I3253" s="10" t="inlineStr">
        <is>
          <t>ทรัพย์สินไทย</t>
        </is>
      </c>
      <c r="J3253" s="161" t="n">
        <v>23763</v>
      </c>
      <c r="K3253" s="8" t="inlineStr">
        <is>
          <t>IV6501225</t>
        </is>
      </c>
      <c r="L3253" s="8" t="inlineStr">
        <is>
          <t>ราคาที่ระบุเป็นก่อนหักส่วนลด</t>
        </is>
      </c>
    </row>
    <row r="3254">
      <c r="B3254" s="6" t="inlineStr">
        <is>
          <t>แม่สี Matrix  M-291</t>
        </is>
      </c>
      <c r="C3254" s="8" t="inlineStr">
        <is>
          <t>2กป.</t>
        </is>
      </c>
      <c r="D3254" s="9" t="n">
        <v>850</v>
      </c>
      <c r="F3254" s="8" t="n">
        <v>10</v>
      </c>
      <c r="H3254" s="9" t="n">
        <v>1700</v>
      </c>
      <c r="I3254" s="10" t="inlineStr">
        <is>
          <t>ทรัพย์สินไทย</t>
        </is>
      </c>
      <c r="J3254" s="161" t="n">
        <v>23819</v>
      </c>
      <c r="K3254" s="8" t="inlineStr">
        <is>
          <t>IV6503253</t>
        </is>
      </c>
      <c r="L3254" s="8" t="inlineStr">
        <is>
          <t>ราคาที่ระบุเป็นก่อนหักส่วนลด</t>
        </is>
      </c>
    </row>
    <row r="3255">
      <c r="B3255" s="6" t="inlineStr">
        <is>
          <t>แม่สี Matrix  M-291</t>
        </is>
      </c>
      <c r="C3255" s="8" t="inlineStr">
        <is>
          <t>2กป.</t>
        </is>
      </c>
      <c r="D3255" s="9" t="n">
        <v>850</v>
      </c>
      <c r="F3255" s="8" t="n">
        <v>10</v>
      </c>
      <c r="H3255" s="9" t="n">
        <v>1700</v>
      </c>
      <c r="I3255" s="10" t="inlineStr">
        <is>
          <t>ทรัพย์สินไทย</t>
        </is>
      </c>
      <c r="J3255" s="161" t="n">
        <v>23824</v>
      </c>
      <c r="K3255" s="8" t="inlineStr">
        <is>
          <t>IV6503301</t>
        </is>
      </c>
      <c r="L3255" s="8" t="inlineStr">
        <is>
          <t>ราคาที่ระบุเป็นก่อนหักส่วนลด</t>
        </is>
      </c>
    </row>
    <row r="3256">
      <c r="B3256" s="6" t="inlineStr">
        <is>
          <t>แม่สี Matrix  M-291</t>
        </is>
      </c>
      <c r="C3256" s="8" t="inlineStr">
        <is>
          <t>2กป.</t>
        </is>
      </c>
      <c r="D3256" s="9" t="n">
        <v>850</v>
      </c>
      <c r="F3256" s="8" t="n">
        <v>10</v>
      </c>
      <c r="H3256" s="9" t="n">
        <v>1700</v>
      </c>
      <c r="I3256" s="10" t="inlineStr">
        <is>
          <t>ทรัพย์สินไทย</t>
        </is>
      </c>
      <c r="J3256" s="161" t="n">
        <v>23829</v>
      </c>
      <c r="K3256" s="8" t="inlineStr">
        <is>
          <t>IV6503340</t>
        </is>
      </c>
      <c r="L3256" s="8" t="inlineStr">
        <is>
          <t>ราคาที่ระบุเป็นก่อนหักส่วนลด</t>
        </is>
      </c>
    </row>
    <row r="3257">
      <c r="B3257" s="6" t="inlineStr">
        <is>
          <t>แม่สี Matrix  M-291</t>
        </is>
      </c>
      <c r="C3257" s="8" t="inlineStr">
        <is>
          <t>2กป.</t>
        </is>
      </c>
      <c r="D3257" s="9" t="n">
        <v>850</v>
      </c>
      <c r="F3257" s="8" t="n">
        <v>10</v>
      </c>
      <c r="H3257" s="9" t="n">
        <v>1700</v>
      </c>
      <c r="I3257" s="10" t="inlineStr">
        <is>
          <t>ทรัพย์สินไทย</t>
        </is>
      </c>
      <c r="J3257" s="161" t="n">
        <v>23887</v>
      </c>
      <c r="K3257" s="8" t="inlineStr">
        <is>
          <t>IV6505290</t>
        </is>
      </c>
      <c r="L3257" s="8" t="inlineStr">
        <is>
          <t>ราคาที่ระบุเป็นก่อนหักส่วนลด</t>
        </is>
      </c>
    </row>
    <row r="3258">
      <c r="B3258" s="6" t="inlineStr">
        <is>
          <t>แม่สีบรอนซ์พิเศษ SC291</t>
        </is>
      </c>
      <c r="C3258" s="8" t="inlineStr">
        <is>
          <t>1กป.</t>
        </is>
      </c>
      <c r="D3258" s="9" t="n">
        <v>750</v>
      </c>
      <c r="H3258" s="9" t="n">
        <v>750</v>
      </c>
      <c r="I3258" s="10" t="inlineStr">
        <is>
          <t>บจก. วีที คัลเลอร์ โปร</t>
        </is>
      </c>
      <c r="J3258" s="161" t="n">
        <v>23992</v>
      </c>
      <c r="K3258" s="8" t="inlineStr">
        <is>
          <t>IV167-65</t>
        </is>
      </c>
      <c r="L3258" s="8" t="inlineStr">
        <is>
          <t>ราคายังไม่รวม VAT</t>
        </is>
      </c>
    </row>
    <row r="3260">
      <c r="B3260" s="6" t="inlineStr">
        <is>
          <t>แม่สี Matrix  M-292</t>
        </is>
      </c>
      <c r="C3260" s="8" t="inlineStr">
        <is>
          <t>2กป.</t>
        </is>
      </c>
      <c r="D3260" s="9" t="n">
        <v>850</v>
      </c>
      <c r="F3260" s="8" t="n">
        <v>10</v>
      </c>
      <c r="H3260" s="9" t="n">
        <v>1700</v>
      </c>
      <c r="I3260" s="10" t="inlineStr">
        <is>
          <t>ทรัพย์สินไทย</t>
        </is>
      </c>
      <c r="J3260" s="161" t="n">
        <v>22429</v>
      </c>
      <c r="L3260" s="8" t="inlineStr">
        <is>
          <t>ราคาที่ระบุเป็นก่อนหักส่วนลด</t>
        </is>
      </c>
    </row>
    <row r="3261">
      <c r="B3261" s="6" t="inlineStr">
        <is>
          <t>แม่สี Matrix  M-292</t>
        </is>
      </c>
      <c r="C3261" s="8" t="inlineStr">
        <is>
          <t>1กป.</t>
        </is>
      </c>
      <c r="D3261" s="9" t="n">
        <v>850</v>
      </c>
      <c r="F3261" s="8" t="n">
        <v>10</v>
      </c>
      <c r="H3261" s="9" t="n">
        <v>850</v>
      </c>
      <c r="I3261" s="10" t="inlineStr">
        <is>
          <t>ทรัพย์สินไทย</t>
        </is>
      </c>
      <c r="J3261" s="161" t="n">
        <v>22916</v>
      </c>
      <c r="L3261" s="8" t="inlineStr">
        <is>
          <t>ราคาที่ระบุเป็นก่อนหักส่วนลด</t>
        </is>
      </c>
    </row>
    <row r="3262">
      <c r="B3262" s="6" t="inlineStr">
        <is>
          <t>แม่สี Matrix  M-292</t>
        </is>
      </c>
      <c r="C3262" s="8" t="inlineStr">
        <is>
          <t>1กป.</t>
        </is>
      </c>
      <c r="D3262" s="9" t="n">
        <v>850</v>
      </c>
      <c r="F3262" s="8" t="n">
        <v>10</v>
      </c>
      <c r="H3262" s="9" t="n">
        <v>850</v>
      </c>
      <c r="I3262" s="10" t="inlineStr">
        <is>
          <t>ทรัพย์สินไทย</t>
        </is>
      </c>
      <c r="J3262" s="161" t="n">
        <v>22884</v>
      </c>
      <c r="L3262" s="8" t="inlineStr">
        <is>
          <t>ราคาที่ระบุเป็นก่อนหักส่วนลด</t>
        </is>
      </c>
    </row>
    <row r="3263">
      <c r="B3263" s="6" t="inlineStr">
        <is>
          <t>แม่สี Matrix  M-292</t>
        </is>
      </c>
      <c r="C3263" s="8" t="inlineStr">
        <is>
          <t>2กป.</t>
        </is>
      </c>
      <c r="D3263" s="9" t="n">
        <v>850</v>
      </c>
      <c r="F3263" s="8" t="n">
        <v>10</v>
      </c>
      <c r="H3263" s="9" t="n">
        <v>1700</v>
      </c>
      <c r="I3263" s="10" t="inlineStr">
        <is>
          <t>ทรัพย์สินไทย</t>
        </is>
      </c>
      <c r="J3263" s="161" t="n">
        <v>23124</v>
      </c>
      <c r="L3263" s="8" t="inlineStr">
        <is>
          <t>ราคาที่ระบุเป็นก่อนหักส่วนลด</t>
        </is>
      </c>
    </row>
    <row r="3264">
      <c r="B3264" s="6" t="inlineStr">
        <is>
          <t>แม่สี Matrix  M-292</t>
        </is>
      </c>
      <c r="C3264" s="8" t="inlineStr">
        <is>
          <t>2กป.</t>
        </is>
      </c>
      <c r="D3264" s="9" t="n">
        <v>850</v>
      </c>
      <c r="F3264" s="8" t="n">
        <v>10</v>
      </c>
      <c r="H3264" s="9" t="n">
        <v>1700</v>
      </c>
      <c r="I3264" s="10" t="inlineStr">
        <is>
          <t>ทรัพย์สินไทย</t>
        </is>
      </c>
      <c r="J3264" s="161" t="n">
        <v>23221</v>
      </c>
      <c r="L3264" s="8" t="inlineStr">
        <is>
          <t>ราคาที่ระบุเป็นก่อนหักส่วนลด</t>
        </is>
      </c>
    </row>
    <row r="3265">
      <c r="B3265" s="6" t="inlineStr">
        <is>
          <t>แม่สี Matrix  M-292</t>
        </is>
      </c>
      <c r="C3265" s="8" t="inlineStr">
        <is>
          <t>1กป.</t>
        </is>
      </c>
      <c r="D3265" s="9" t="n">
        <v>850</v>
      </c>
      <c r="F3265" s="8" t="n">
        <v>10</v>
      </c>
      <c r="H3265" s="9" t="n">
        <v>850</v>
      </c>
      <c r="I3265" s="10" t="inlineStr">
        <is>
          <t>ทรัพย์สินไทย</t>
        </is>
      </c>
      <c r="J3265" s="161" t="n">
        <v>23355</v>
      </c>
      <c r="L3265" s="8" t="inlineStr">
        <is>
          <t>ราคาที่ระบุเป็นก่อนหักส่วนลด</t>
        </is>
      </c>
    </row>
    <row r="3266">
      <c r="B3266" s="6" t="inlineStr">
        <is>
          <t>แม่สี Matrix  M-292</t>
        </is>
      </c>
      <c r="C3266" s="8" t="inlineStr">
        <is>
          <t>1กป.</t>
        </is>
      </c>
      <c r="D3266" s="9" t="n">
        <v>850</v>
      </c>
      <c r="F3266" s="8" t="n">
        <v>10</v>
      </c>
      <c r="H3266" s="9" t="n">
        <v>850</v>
      </c>
      <c r="I3266" s="10" t="inlineStr">
        <is>
          <t>ทรัพย์สินไทย</t>
        </is>
      </c>
      <c r="J3266" s="161" t="n">
        <v>23398</v>
      </c>
      <c r="L3266" s="8" t="inlineStr">
        <is>
          <t>ราคาที่ระบุเป็นก่อนหักส่วนลด</t>
        </is>
      </c>
    </row>
    <row r="3267">
      <c r="B3267" s="6" t="inlineStr">
        <is>
          <t>แม่สี Matrix  M-292</t>
        </is>
      </c>
      <c r="C3267" s="8" t="inlineStr">
        <is>
          <t>2กป.</t>
        </is>
      </c>
      <c r="D3267" s="9" t="n">
        <v>850</v>
      </c>
      <c r="F3267" s="8" t="n">
        <v>10</v>
      </c>
      <c r="H3267" s="9" t="n">
        <v>1700</v>
      </c>
      <c r="I3267" s="10" t="inlineStr">
        <is>
          <t>ทรัพย์สินไทย</t>
        </is>
      </c>
      <c r="J3267" s="161" t="n">
        <v>23546</v>
      </c>
      <c r="L3267" s="8" t="inlineStr">
        <is>
          <t>ราคาที่ระบุเป็นก่อนหักส่วนลด</t>
        </is>
      </c>
    </row>
    <row r="3268">
      <c r="B3268" s="6" t="inlineStr">
        <is>
          <t>แม่สี Matrix  M-292</t>
        </is>
      </c>
      <c r="C3268" s="8" t="inlineStr">
        <is>
          <t>2กป.</t>
        </is>
      </c>
      <c r="D3268" s="9" t="n">
        <v>850</v>
      </c>
      <c r="F3268" s="8" t="n">
        <v>10</v>
      </c>
      <c r="H3268" s="9" t="n">
        <v>1700</v>
      </c>
      <c r="I3268" s="10" t="inlineStr">
        <is>
          <t>ทรัพย์สินไทย</t>
        </is>
      </c>
      <c r="J3268" s="161" t="n">
        <v>23642</v>
      </c>
      <c r="K3268" s="8" t="inlineStr">
        <is>
          <t>IV6409285</t>
        </is>
      </c>
      <c r="L3268" s="8" t="inlineStr">
        <is>
          <t>ราคาที่ระบุเป็นก่อนหักส่วนลด</t>
        </is>
      </c>
    </row>
    <row r="3269">
      <c r="B3269" s="6" t="inlineStr">
        <is>
          <t>แม่สี Matrix  M-292</t>
        </is>
      </c>
      <c r="C3269" s="8" t="inlineStr">
        <is>
          <t>2กป.</t>
        </is>
      </c>
      <c r="D3269" s="9" t="n">
        <v>850</v>
      </c>
      <c r="F3269" s="8" t="n">
        <v>10</v>
      </c>
      <c r="H3269" s="9" t="n">
        <v>1700</v>
      </c>
      <c r="I3269" s="10" t="inlineStr">
        <is>
          <t>ทรัพย์สินไทย</t>
        </is>
      </c>
      <c r="J3269" s="161" t="n">
        <v>23733</v>
      </c>
      <c r="K3269" s="8" t="inlineStr">
        <is>
          <t>IV6412302</t>
        </is>
      </c>
      <c r="L3269" s="8" t="inlineStr">
        <is>
          <t>ราคาที่ระบุเป็นก่อนหักส่วนลด</t>
        </is>
      </c>
    </row>
    <row r="3270">
      <c r="B3270" s="6" t="inlineStr">
        <is>
          <t>แม่สี Matrix  M-292</t>
        </is>
      </c>
      <c r="C3270" s="8" t="inlineStr">
        <is>
          <t>2กป.</t>
        </is>
      </c>
      <c r="D3270" s="9" t="n">
        <v>850</v>
      </c>
      <c r="F3270" s="8" t="n">
        <v>10</v>
      </c>
      <c r="H3270" s="9" t="n">
        <v>1700</v>
      </c>
      <c r="I3270" s="10" t="inlineStr">
        <is>
          <t>ทรัพย์สินไทย</t>
        </is>
      </c>
      <c r="J3270" s="161" t="n">
        <v>23887</v>
      </c>
      <c r="K3270" s="8" t="inlineStr">
        <is>
          <t>IV6505291</t>
        </is>
      </c>
      <c r="L3270" s="8" t="inlineStr">
        <is>
          <t>ราคาที่ระบุเป็นก่อนหักส่วนลด</t>
        </is>
      </c>
    </row>
    <row r="3271">
      <c r="B3271" s="6" t="inlineStr">
        <is>
          <t>แม่สี บรอนซ์พิเศษ SC-292</t>
        </is>
      </c>
      <c r="C3271" s="8" t="inlineStr">
        <is>
          <t>1กป.</t>
        </is>
      </c>
      <c r="D3271" s="9" t="n">
        <v>750</v>
      </c>
      <c r="H3271" s="9" t="n">
        <v>750</v>
      </c>
      <c r="I3271" s="10" t="inlineStr">
        <is>
          <t>วีที คัลเลอร์ โปร</t>
        </is>
      </c>
      <c r="J3271" s="161" t="n">
        <v>24098</v>
      </c>
      <c r="K3271" s="8" t="inlineStr">
        <is>
          <t>IV328-05</t>
        </is>
      </c>
      <c r="L3271" s="8" t="inlineStr">
        <is>
          <t>ราคาที่ระบุเป็นก่อนหักส่วนลด</t>
        </is>
      </c>
    </row>
    <row r="3272">
      <c r="B3272" s="6" t="inlineStr">
        <is>
          <t>แม่สี บรอนซ์พิเศษ SC-292</t>
        </is>
      </c>
      <c r="C3272" s="8" t="inlineStr">
        <is>
          <t>1กป.</t>
        </is>
      </c>
      <c r="D3272" s="9" t="n">
        <v>750</v>
      </c>
      <c r="H3272" s="9" t="n">
        <v>750</v>
      </c>
      <c r="I3272" s="10" t="inlineStr">
        <is>
          <t>วีที คัลเลอร์ โปร</t>
        </is>
      </c>
      <c r="J3272" s="161" t="n">
        <v>24160</v>
      </c>
      <c r="K3272" s="8" t="inlineStr">
        <is>
          <t>IV113-66</t>
        </is>
      </c>
      <c r="L3272" s="8" t="inlineStr">
        <is>
          <t>ราคาที่ระบุเป็นก่อนหักส่วนลด</t>
        </is>
      </c>
    </row>
    <row r="3274">
      <c r="B3274" s="6" t="inlineStr">
        <is>
          <t>แม่สี Matrix  M-295</t>
        </is>
      </c>
      <c r="C3274" s="8" t="inlineStr">
        <is>
          <t>1กป.</t>
        </is>
      </c>
      <c r="D3274" s="9" t="n">
        <v>2800</v>
      </c>
      <c r="F3274" s="8" t="n">
        <v>10</v>
      </c>
      <c r="H3274" s="9" t="n">
        <v>2800</v>
      </c>
      <c r="I3274" s="10" t="inlineStr">
        <is>
          <t>ทรัพย์สินไทย</t>
        </is>
      </c>
      <c r="J3274" s="161" t="n">
        <v>23277</v>
      </c>
      <c r="L3274" s="8" t="inlineStr">
        <is>
          <t>ราคาที่ระบุเป็นก่อนหักส่วนลด</t>
        </is>
      </c>
    </row>
    <row r="3275">
      <c r="B3275" s="6" t="inlineStr">
        <is>
          <t>แม่สี Matrix  M-295</t>
        </is>
      </c>
      <c r="C3275" s="8" t="inlineStr">
        <is>
          <t>2กป.</t>
        </is>
      </c>
      <c r="D3275" s="9" t="n">
        <v>2800</v>
      </c>
      <c r="F3275" s="8" t="n">
        <v>10</v>
      </c>
      <c r="H3275" s="9" t="n">
        <v>5600</v>
      </c>
      <c r="I3275" s="10" t="inlineStr">
        <is>
          <t>ทรัพย์สินไทย</t>
        </is>
      </c>
      <c r="J3275" s="161" t="n">
        <v>23340</v>
      </c>
      <c r="L3275" s="8" t="inlineStr">
        <is>
          <t>ราคาที่ระบุเป็นก่อนหักส่วนลด</t>
        </is>
      </c>
    </row>
    <row r="3276">
      <c r="B3276" s="6" t="inlineStr">
        <is>
          <t>แม่สี Matrix  M-295</t>
        </is>
      </c>
      <c r="C3276" s="8" t="inlineStr">
        <is>
          <t>1กป.</t>
        </is>
      </c>
      <c r="D3276" s="9" t="n">
        <v>2800</v>
      </c>
      <c r="F3276" s="8" t="n">
        <v>10</v>
      </c>
      <c r="H3276" s="9" t="n">
        <v>2800</v>
      </c>
      <c r="I3276" s="10" t="inlineStr">
        <is>
          <t>ทรัพย์สินไทย</t>
        </is>
      </c>
      <c r="J3276" s="161" t="n">
        <v>23493</v>
      </c>
      <c r="L3276" s="8" t="inlineStr">
        <is>
          <t>ราคาที่ระบุเป็นก่อนหักส่วนลด</t>
        </is>
      </c>
    </row>
    <row r="3277">
      <c r="B3277" s="6" t="inlineStr">
        <is>
          <t>แม่สี Matrix  M-295</t>
        </is>
      </c>
      <c r="C3277" s="8" t="inlineStr">
        <is>
          <t>1กป.</t>
        </is>
      </c>
      <c r="D3277" s="9" t="n">
        <v>2800</v>
      </c>
      <c r="F3277" s="8" t="n">
        <v>10</v>
      </c>
      <c r="H3277" s="9" t="n">
        <v>2800</v>
      </c>
      <c r="I3277" s="10" t="inlineStr">
        <is>
          <t>ทรัพย์สินไทย</t>
        </is>
      </c>
      <c r="J3277" s="161" t="n">
        <v>23887</v>
      </c>
      <c r="K3277" s="8" t="inlineStr">
        <is>
          <t>IV6505291</t>
        </is>
      </c>
      <c r="L3277" s="8" t="inlineStr">
        <is>
          <t>ราคาที่ระบุเป็นก่อนหักส่วนลด</t>
        </is>
      </c>
    </row>
    <row r="3279">
      <c r="B3279" s="6" t="inlineStr">
        <is>
          <t>แม่สี ซันไลท์ Hybrid S295</t>
        </is>
      </c>
      <c r="C3279" s="8" t="n">
        <v>1</v>
      </c>
      <c r="D3279" s="9" t="n">
        <v>2600</v>
      </c>
      <c r="H3279" s="9">
        <f>SUM(D3279*C3279)</f>
        <v/>
      </c>
      <c r="I3279" s="10" t="inlineStr">
        <is>
          <t>บจก. วีที คัลเลอร์ โปร</t>
        </is>
      </c>
      <c r="J3279" s="161" t="n">
        <v>24359</v>
      </c>
      <c r="K3279" s="8" t="inlineStr">
        <is>
          <t>IV517-66</t>
        </is>
      </c>
      <c r="L3279" s="8" t="inlineStr">
        <is>
          <t>ราคาที่ระบุ ยังไม่รวม VAT7%</t>
        </is>
      </c>
    </row>
    <row r="3280">
      <c r="B3280" s="6" t="inlineStr">
        <is>
          <t>แม่สี ซันไลท์ Hybrid S295</t>
        </is>
      </c>
      <c r="C3280" s="8" t="n">
        <v>2</v>
      </c>
      <c r="D3280" s="9" t="n">
        <v>2600</v>
      </c>
      <c r="H3280" s="9">
        <f>SUM(D3280*C3280)</f>
        <v/>
      </c>
      <c r="I3280" s="10" t="inlineStr">
        <is>
          <t>บจก. วีที คัลเลอร์ โปร</t>
        </is>
      </c>
      <c r="J3280" s="161" t="n">
        <v>24401</v>
      </c>
      <c r="K3280" s="8" t="inlineStr">
        <is>
          <t>IV684-66</t>
        </is>
      </c>
      <c r="L3280" s="8" t="inlineStr">
        <is>
          <t>ราคาที่ระบุ ยังไม่รวม VAT7%</t>
        </is>
      </c>
    </row>
    <row r="3281">
      <c r="B3281" s="6" t="inlineStr">
        <is>
          <t>แม่สี ซันไลท์ Hybrid S295</t>
        </is>
      </c>
      <c r="C3281" s="8" t="n">
        <v>1</v>
      </c>
      <c r="D3281" s="9" t="n">
        <v>2600</v>
      </c>
      <c r="E3281" s="9">
        <f>SUM(D3281*C3281)</f>
        <v/>
      </c>
      <c r="F3281" s="8" t="n">
        <v>0.07000000000000001</v>
      </c>
      <c r="G3281" s="10" t="inlineStr">
        <is>
          <t>รวม VAT =</t>
        </is>
      </c>
      <c r="H3281" s="9">
        <f>SUM(E3281+N3281)</f>
        <v/>
      </c>
      <c r="I3281" s="10" t="inlineStr">
        <is>
          <t>บจก. วีที คัลเลอร์ โปร</t>
        </is>
      </c>
      <c r="J3281" s="161" t="n">
        <v>25093</v>
      </c>
      <c r="K3281" s="8" t="inlineStr">
        <is>
          <t>IV6809088</t>
        </is>
      </c>
      <c r="N3281" s="6">
        <f>SUM(E3281*F3281)</f>
        <v/>
      </c>
    </row>
    <row r="3282">
      <c r="B3282" s="6" t="inlineStr">
        <is>
          <t>แม่สี ซันไลท์ Hybrid S295</t>
        </is>
      </c>
      <c r="C3282" s="8" t="n">
        <v>1</v>
      </c>
      <c r="D3282" s="9" t="n">
        <v>2600</v>
      </c>
      <c r="E3282" s="9">
        <f>SUM(D3282*C3282)</f>
        <v/>
      </c>
      <c r="F3282" s="8" t="n">
        <v>0.07000000000000001</v>
      </c>
      <c r="G3282" s="10" t="inlineStr">
        <is>
          <t>รวม VAT =</t>
        </is>
      </c>
      <c r="H3282" s="9">
        <f>SUM(E3282+N3282)</f>
        <v/>
      </c>
      <c r="I3282" s="10" t="inlineStr">
        <is>
          <t>บจก. วีที คัลเลอร์ โปร</t>
        </is>
      </c>
      <c r="J3282" s="161" t="n">
        <v>25194</v>
      </c>
      <c r="K3282" s="8" t="inlineStr">
        <is>
          <t>IV6812142</t>
        </is>
      </c>
      <c r="N3282" s="6">
        <f>SUM(E3282*F3282)</f>
        <v/>
      </c>
    </row>
    <row r="3284">
      <c r="B3284" s="6" t="inlineStr">
        <is>
          <t>แม่สี ดำสนิทมาก Hybrid S297</t>
        </is>
      </c>
      <c r="C3284" s="8" t="n">
        <v>2</v>
      </c>
      <c r="D3284" s="9" t="n">
        <v>800</v>
      </c>
      <c r="E3284" s="9">
        <f>SUM(D3284*C3284)</f>
        <v/>
      </c>
      <c r="F3284" s="8" t="n">
        <v>0.07000000000000001</v>
      </c>
      <c r="G3284" s="10" t="inlineStr">
        <is>
          <t>รวม VAT =</t>
        </is>
      </c>
      <c r="H3284" s="9">
        <f>SUM(E3284+N3284)</f>
        <v/>
      </c>
      <c r="I3284" s="10" t="inlineStr">
        <is>
          <t>บจก. วีที คัลเลอร์ โปร</t>
        </is>
      </c>
      <c r="J3284" s="161" t="n">
        <v>25063</v>
      </c>
      <c r="K3284" s="8" t="inlineStr">
        <is>
          <t>IV6808072</t>
        </is>
      </c>
      <c r="N3284" s="6">
        <f>SUM(E3284*F3284)</f>
        <v/>
      </c>
    </row>
    <row r="3285">
      <c r="B3285" s="6" t="inlineStr">
        <is>
          <t>แม่สี ดำสนิทมาก Hybrid S297</t>
        </is>
      </c>
      <c r="C3285" s="8" t="n">
        <v>4</v>
      </c>
      <c r="D3285" s="9" t="n">
        <v>800</v>
      </c>
      <c r="E3285" s="9">
        <f>SUM(D3285*C3285)</f>
        <v/>
      </c>
      <c r="F3285" s="8" t="n">
        <v>0.07000000000000001</v>
      </c>
      <c r="G3285" s="10" t="inlineStr">
        <is>
          <t>รวม VAT =</t>
        </is>
      </c>
      <c r="H3285" s="9">
        <f>SUM(E3285+N3285)</f>
        <v/>
      </c>
      <c r="I3285" s="10" t="inlineStr">
        <is>
          <t>บจก. วีที คัลเลอร์ โปร</t>
        </is>
      </c>
      <c r="J3285" s="161" t="n">
        <v>25073</v>
      </c>
      <c r="K3285" s="8" t="inlineStr">
        <is>
          <t>IV6808151</t>
        </is>
      </c>
      <c r="N3285" s="6">
        <f>SUM(E3285*F3285)</f>
        <v/>
      </c>
    </row>
    <row r="3286">
      <c r="B3286" s="6" t="inlineStr">
        <is>
          <t>แม่สี ดำสนิทมาก Hybrid S297</t>
        </is>
      </c>
      <c r="C3286" s="8" t="n">
        <v>4</v>
      </c>
      <c r="D3286" s="9" t="n">
        <v>800</v>
      </c>
      <c r="E3286" s="9">
        <f>SUM(D3286*C3286)</f>
        <v/>
      </c>
      <c r="F3286" s="8" t="n">
        <v>0.07000000000000001</v>
      </c>
      <c r="G3286" s="10" t="inlineStr">
        <is>
          <t>รวม VAT =</t>
        </is>
      </c>
      <c r="H3286" s="9">
        <f>SUM(E3286+N3286)</f>
        <v/>
      </c>
      <c r="I3286" s="10" t="inlineStr">
        <is>
          <t>บจก. วีที คัลเลอร์ โปร</t>
        </is>
      </c>
      <c r="J3286" s="161" t="n">
        <v>25145</v>
      </c>
      <c r="K3286" s="8" t="inlineStr">
        <is>
          <t>IV6811023</t>
        </is>
      </c>
      <c r="L3286" s="8" t="inlineStr">
        <is>
          <t>ราคาที่ระบุ ยังไม่รวม VAT7%</t>
        </is>
      </c>
      <c r="N3286" s="6">
        <f>SUM(E3286*F3286)</f>
        <v/>
      </c>
    </row>
    <row r="3287">
      <c r="B3287" s="6" t="inlineStr">
        <is>
          <t>แม่สี ดำสนิทมาก Hybrid S297</t>
        </is>
      </c>
      <c r="C3287" s="8" t="n">
        <v>2</v>
      </c>
      <c r="D3287" s="9" t="n">
        <v>800</v>
      </c>
      <c r="E3287" s="9">
        <f>SUM(D3287*C3287)</f>
        <v/>
      </c>
      <c r="F3287" s="8" t="n">
        <v>0.07000000000000001</v>
      </c>
      <c r="G3287" s="10" t="inlineStr">
        <is>
          <t>รวม VAT =</t>
        </is>
      </c>
      <c r="H3287" s="9">
        <f>SUM(E3287+N3287)</f>
        <v/>
      </c>
      <c r="I3287" s="10" t="inlineStr">
        <is>
          <t>บจก. วีที คัลเลอร์ โปร</t>
        </is>
      </c>
      <c r="J3287" s="161" t="n">
        <v>25168</v>
      </c>
      <c r="K3287" s="8" t="inlineStr">
        <is>
          <t>IV6811188</t>
        </is>
      </c>
      <c r="N3287" s="6">
        <f>SUM(E3287*F3287)</f>
        <v/>
      </c>
    </row>
    <row r="3289">
      <c r="B3289" s="6" t="inlineStr">
        <is>
          <t>แม่สี Matrix  2K-05</t>
        </is>
      </c>
      <c r="C3289" s="8" t="inlineStr">
        <is>
          <t>2กป.</t>
        </is>
      </c>
      <c r="D3289" s="9" t="n">
        <v>850</v>
      </c>
      <c r="F3289" s="8" t="n">
        <v>10</v>
      </c>
      <c r="H3289" s="9" t="n">
        <v>1700</v>
      </c>
      <c r="I3289" s="10" t="inlineStr">
        <is>
          <t>ทรัพย์สินไทย</t>
        </is>
      </c>
      <c r="J3289" s="161" t="n">
        <v>23340</v>
      </c>
      <c r="L3289" s="8" t="inlineStr">
        <is>
          <t>ราคาที่ระบุเป็นก่อนหักส่วนลด</t>
        </is>
      </c>
    </row>
    <row r="3290">
      <c r="B3290" s="6" t="inlineStr">
        <is>
          <t>แม่สี Matrix  2K-05</t>
        </is>
      </c>
      <c r="C3290" s="8" t="inlineStr">
        <is>
          <t>1กป.</t>
        </is>
      </c>
      <c r="D3290" s="9" t="n">
        <v>850</v>
      </c>
      <c r="F3290" s="8" t="n">
        <v>10</v>
      </c>
      <c r="H3290" s="9" t="n">
        <v>850</v>
      </c>
      <c r="I3290" s="10" t="inlineStr">
        <is>
          <t>ทรัพย์สินไทย</t>
        </is>
      </c>
      <c r="J3290" s="161" t="n">
        <v>23887</v>
      </c>
      <c r="K3290" s="8" t="inlineStr">
        <is>
          <t>IV6505290</t>
        </is>
      </c>
      <c r="L3290" s="8" t="inlineStr">
        <is>
          <t>ราคาที่ระบุเป็นก่อนหักส่วนลด</t>
        </is>
      </c>
    </row>
    <row r="3292">
      <c r="B3292" s="6" t="inlineStr">
        <is>
          <t>Tint Matrix RU MC-9004</t>
        </is>
      </c>
      <c r="C3292" s="8" t="inlineStr">
        <is>
          <t>3กล.</t>
        </is>
      </c>
      <c r="D3292" s="9" t="n">
        <v>2950</v>
      </c>
      <c r="F3292" s="8" t="n">
        <v>10</v>
      </c>
      <c r="H3292" s="9" t="n">
        <v>8850</v>
      </c>
      <c r="I3292" s="10" t="inlineStr">
        <is>
          <t>ทรัพย์สินไทย</t>
        </is>
      </c>
      <c r="J3292" s="161" t="n">
        <v>23163</v>
      </c>
      <c r="L3292" s="8" t="inlineStr">
        <is>
          <t>ราคาที่ระบุเป็นก่อนหักส่วนลด</t>
        </is>
      </c>
    </row>
    <row r="3293">
      <c r="B3293" s="6" t="inlineStr">
        <is>
          <t>Tint Matrix RU MC-9004</t>
        </is>
      </c>
      <c r="C3293" s="8" t="inlineStr">
        <is>
          <t>2กล.</t>
        </is>
      </c>
      <c r="D3293" s="9" t="n">
        <v>2950</v>
      </c>
      <c r="F3293" s="8" t="n">
        <v>10</v>
      </c>
      <c r="H3293" s="9" t="n">
        <v>5900</v>
      </c>
      <c r="I3293" s="10" t="inlineStr">
        <is>
          <t>ทรัพย์สินไทย</t>
        </is>
      </c>
      <c r="J3293" s="161" t="n">
        <v>22821</v>
      </c>
      <c r="L3293" s="8" t="inlineStr">
        <is>
          <t>ราคาที่ระบุเป็นก่อนหักส่วนลด</t>
        </is>
      </c>
    </row>
    <row r="3294">
      <c r="B3294" s="6" t="inlineStr">
        <is>
          <t>Tint Matrix RU MC-9004</t>
        </is>
      </c>
      <c r="C3294" s="8" t="inlineStr">
        <is>
          <t>3กล.</t>
        </is>
      </c>
      <c r="D3294" s="9" t="n">
        <v>2950</v>
      </c>
      <c r="F3294" s="8" t="n">
        <v>10</v>
      </c>
      <c r="H3294" s="9" t="n">
        <v>8850</v>
      </c>
      <c r="I3294" s="10" t="inlineStr">
        <is>
          <t>ทรัพย์สินไทย</t>
        </is>
      </c>
      <c r="J3294" s="161" t="n">
        <v>22851</v>
      </c>
      <c r="L3294" s="8" t="inlineStr">
        <is>
          <t>ราคาที่ระบุเป็นก่อนหักส่วนลด</t>
        </is>
      </c>
    </row>
    <row r="3295">
      <c r="B3295" s="6" t="inlineStr">
        <is>
          <t>Tint Matrix RU MC-9004</t>
        </is>
      </c>
      <c r="C3295" s="8" t="inlineStr">
        <is>
          <t>2กล.</t>
        </is>
      </c>
      <c r="D3295" s="9" t="n">
        <v>2950</v>
      </c>
      <c r="F3295" s="8" t="n">
        <v>10</v>
      </c>
      <c r="H3295" s="9" t="n">
        <v>5900</v>
      </c>
      <c r="I3295" s="10" t="inlineStr">
        <is>
          <t>ทรัพย์สินไทย</t>
        </is>
      </c>
      <c r="J3295" s="161" t="n">
        <v>23277</v>
      </c>
      <c r="L3295" s="8" t="inlineStr">
        <is>
          <t>ราคาที่ระบุเป็นก่อนหักส่วนลด</t>
        </is>
      </c>
    </row>
    <row r="3296">
      <c r="B3296" s="6" t="inlineStr">
        <is>
          <t>Tint Matrix RU MC-9004</t>
        </is>
      </c>
      <c r="C3296" s="8" t="inlineStr">
        <is>
          <t>2กล.</t>
        </is>
      </c>
      <c r="D3296" s="9" t="n">
        <v>2950</v>
      </c>
      <c r="F3296" s="8" t="n">
        <v>10</v>
      </c>
      <c r="H3296" s="9" t="n">
        <v>5900</v>
      </c>
      <c r="I3296" s="10" t="inlineStr">
        <is>
          <t>ทรัพย์สินไทย</t>
        </is>
      </c>
      <c r="J3296" s="161" t="n">
        <v>22916</v>
      </c>
      <c r="L3296" s="8" t="inlineStr">
        <is>
          <t>ราคาที่ระบุเป็นก่อนหักส่วนลด</t>
        </is>
      </c>
    </row>
    <row r="3297">
      <c r="B3297" s="6" t="inlineStr">
        <is>
          <t>Tint Matrix RU MC-9004</t>
        </is>
      </c>
      <c r="C3297" s="8" t="inlineStr">
        <is>
          <t>2กล.</t>
        </is>
      </c>
      <c r="D3297" s="9" t="n">
        <v>2950</v>
      </c>
      <c r="F3297" s="8" t="n">
        <v>10</v>
      </c>
      <c r="H3297" s="9" t="n">
        <v>5900</v>
      </c>
      <c r="I3297" s="10" t="inlineStr">
        <is>
          <t>ทรัพย์สินไทย</t>
        </is>
      </c>
      <c r="J3297" s="161" t="n">
        <v>23305</v>
      </c>
      <c r="L3297" s="8" t="inlineStr">
        <is>
          <t>ราคาที่ระบุเป็นก่อนหักส่วนลด</t>
        </is>
      </c>
    </row>
    <row r="3298">
      <c r="B3298" s="6" t="inlineStr">
        <is>
          <t>Tint Matrix RU MC-9004</t>
        </is>
      </c>
      <c r="C3298" s="8" t="inlineStr">
        <is>
          <t>2กล.</t>
        </is>
      </c>
      <c r="D3298" s="9" t="n">
        <v>2950</v>
      </c>
      <c r="F3298" s="8" t="n">
        <v>10</v>
      </c>
      <c r="H3298" s="9" t="n">
        <v>5900</v>
      </c>
      <c r="I3298" s="10" t="inlineStr">
        <is>
          <t>ทรัพย์สินไทย</t>
        </is>
      </c>
      <c r="J3298" s="161" t="n">
        <v>23366</v>
      </c>
      <c r="L3298" s="8" t="inlineStr">
        <is>
          <t>ราคาที่ระบุเป็นก่อนหักส่วนลด</t>
        </is>
      </c>
    </row>
    <row r="3299">
      <c r="B3299" s="6" t="inlineStr">
        <is>
          <t>Tint Matrix RU MC-9004</t>
        </is>
      </c>
      <c r="C3299" s="8" t="inlineStr">
        <is>
          <t>2กล.</t>
        </is>
      </c>
      <c r="D3299" s="9" t="n">
        <v>2950</v>
      </c>
      <c r="F3299" s="8" t="n">
        <v>10</v>
      </c>
      <c r="H3299" s="9" t="n">
        <v>5900</v>
      </c>
      <c r="I3299" s="10" t="inlineStr">
        <is>
          <t>ทรัพย์สินไทย</t>
        </is>
      </c>
      <c r="J3299" s="161" t="n">
        <v>23398</v>
      </c>
      <c r="L3299" s="8" t="inlineStr">
        <is>
          <t>ราคาที่ระบุเป็นก่อนหักส่วนลด</t>
        </is>
      </c>
    </row>
    <row r="3300">
      <c r="B3300" s="6" t="inlineStr">
        <is>
          <t>Tint Matrix RU MC-9004</t>
        </is>
      </c>
      <c r="C3300" s="8" t="inlineStr">
        <is>
          <t>2กล.</t>
        </is>
      </c>
      <c r="D3300" s="9" t="n">
        <v>2950</v>
      </c>
      <c r="F3300" s="8" t="n">
        <v>10</v>
      </c>
      <c r="H3300" s="9" t="n">
        <v>5900</v>
      </c>
      <c r="I3300" s="10" t="inlineStr">
        <is>
          <t>ทรัพย์สินไทย</t>
        </is>
      </c>
      <c r="J3300" s="161" t="n">
        <v>23460</v>
      </c>
      <c r="L3300" s="8" t="inlineStr">
        <is>
          <t>ราคาที่ระบุเป็นก่อนหักส่วนลด</t>
        </is>
      </c>
    </row>
    <row r="3301">
      <c r="B3301" s="6" t="inlineStr">
        <is>
          <t>Tint Matrix RU MC-9004</t>
        </is>
      </c>
      <c r="C3301" s="8" t="inlineStr">
        <is>
          <t>2กล.</t>
        </is>
      </c>
      <c r="D3301" s="9" t="n">
        <v>2950</v>
      </c>
      <c r="F3301" s="8" t="n">
        <v>10</v>
      </c>
      <c r="H3301" s="9" t="n">
        <v>5900</v>
      </c>
      <c r="I3301" s="10" t="inlineStr">
        <is>
          <t>ทรัพย์สินไทย</t>
        </is>
      </c>
      <c r="J3301" s="161" t="n">
        <v>23584</v>
      </c>
      <c r="L3301" s="8" t="inlineStr">
        <is>
          <t>ราคาที่ระบุเป็นก่อนหักส่วนลด</t>
        </is>
      </c>
    </row>
    <row r="3302">
      <c r="B3302" s="6" t="inlineStr">
        <is>
          <t>Tint Matrix RU MC-9004</t>
        </is>
      </c>
      <c r="C3302" s="8" t="inlineStr">
        <is>
          <t>3กล.</t>
        </is>
      </c>
      <c r="D3302" s="9" t="n">
        <v>2950</v>
      </c>
      <c r="F3302" s="8" t="n">
        <v>10</v>
      </c>
      <c r="H3302" s="9" t="n">
        <v>8850</v>
      </c>
      <c r="I3302" s="10" t="inlineStr">
        <is>
          <t>ทรัพย์สินไทย</t>
        </is>
      </c>
      <c r="J3302" s="161" t="n">
        <v>23642</v>
      </c>
      <c r="K3302" s="8" t="inlineStr">
        <is>
          <t>IV6409285</t>
        </is>
      </c>
      <c r="L3302" s="8" t="inlineStr">
        <is>
          <t>ราคาที่ระบุเป็นก่อนหักส่วนลด</t>
        </is>
      </c>
    </row>
    <row r="3303">
      <c r="B3303" s="6" t="inlineStr">
        <is>
          <t>Tint Matrix RU MC-9004</t>
        </is>
      </c>
      <c r="C3303" s="8" t="inlineStr">
        <is>
          <t>2กล.</t>
        </is>
      </c>
      <c r="D3303" s="9" t="n">
        <v>2950</v>
      </c>
      <c r="F3303" s="8" t="n">
        <v>10</v>
      </c>
      <c r="H3303" s="9" t="n">
        <v>5900</v>
      </c>
      <c r="I3303" s="10" t="inlineStr">
        <is>
          <t>ทรัพย์สินไทย</t>
        </is>
      </c>
      <c r="J3303" s="161" t="n">
        <v>23704</v>
      </c>
      <c r="K3303" s="8" t="inlineStr">
        <is>
          <t>IV6411320</t>
        </is>
      </c>
      <c r="L3303" s="8" t="inlineStr">
        <is>
          <t>ราคาที่ระบุเป็นก่อนหักส่วนลด</t>
        </is>
      </c>
    </row>
    <row r="3304">
      <c r="B3304" s="6" t="inlineStr">
        <is>
          <t>Tint Matrix RU MC-9004</t>
        </is>
      </c>
      <c r="C3304" s="8" t="inlineStr">
        <is>
          <t>2กล.</t>
        </is>
      </c>
      <c r="D3304" s="9" t="n">
        <v>2950</v>
      </c>
      <c r="F3304" s="8" t="n">
        <v>10</v>
      </c>
      <c r="H3304" s="9" t="n">
        <v>5900</v>
      </c>
      <c r="I3304" s="10" t="inlineStr">
        <is>
          <t>ทรัพย์สินไทย</t>
        </is>
      </c>
      <c r="J3304" s="161" t="n">
        <v>23763</v>
      </c>
      <c r="K3304" s="8" t="inlineStr">
        <is>
          <t>IV6501225</t>
        </is>
      </c>
      <c r="L3304" s="8" t="inlineStr">
        <is>
          <t>ราคาที่ระบุเป็นก่อนหักส่วนลด</t>
        </is>
      </c>
    </row>
    <row r="3305">
      <c r="B3305" s="6" t="inlineStr">
        <is>
          <t>Tint Matrix RU MC-9004</t>
        </is>
      </c>
      <c r="C3305" s="8" t="inlineStr">
        <is>
          <t>2กล.</t>
        </is>
      </c>
      <c r="D3305" s="9" t="n">
        <v>2950</v>
      </c>
      <c r="F3305" s="8" t="n">
        <v>10</v>
      </c>
      <c r="H3305" s="9" t="n">
        <v>5900</v>
      </c>
      <c r="I3305" s="10" t="inlineStr">
        <is>
          <t>ทรัพย์สินไทย</t>
        </is>
      </c>
      <c r="J3305" s="161" t="n">
        <v>23920</v>
      </c>
      <c r="K3305" s="8" t="inlineStr">
        <is>
          <t>IV6506337</t>
        </is>
      </c>
      <c r="L3305" s="8" t="inlineStr">
        <is>
          <t>ราคาที่ระบุเป็นก่อนหักส่วนลด</t>
        </is>
      </c>
    </row>
    <row r="3306">
      <c r="B3306" s="6" t="inlineStr">
        <is>
          <t>แม่สี ดำเข้มสนิทมาก SC-9004</t>
        </is>
      </c>
      <c r="C3306" s="8" t="inlineStr">
        <is>
          <t>2กล.</t>
        </is>
      </c>
      <c r="D3306" s="9" t="n">
        <v>2750</v>
      </c>
      <c r="H3306" s="9" t="n">
        <v>5500</v>
      </c>
      <c r="I3306" s="10" t="inlineStr">
        <is>
          <t>บจก. วีที คัลเลอร์ โปร</t>
        </is>
      </c>
      <c r="J3306" s="161" t="n">
        <v>23959</v>
      </c>
      <c r="K3306" s="8" t="inlineStr">
        <is>
          <t>IV124-65</t>
        </is>
      </c>
      <c r="L3306" s="8" t="inlineStr">
        <is>
          <t>ราคาที่ระบุ ยังไม่รวมVAT7%</t>
        </is>
      </c>
    </row>
    <row r="3307">
      <c r="B3307" s="6" t="inlineStr">
        <is>
          <t>แม่สี ดำเข้มสนิทมาก SC-9004</t>
        </is>
      </c>
      <c r="C3307" s="8" t="inlineStr">
        <is>
          <t>2กล.</t>
        </is>
      </c>
      <c r="D3307" s="9" t="n">
        <v>2600</v>
      </c>
      <c r="H3307" s="9" t="n">
        <v>5200</v>
      </c>
      <c r="I3307" s="10" t="inlineStr">
        <is>
          <t>บจก. วีที คัลเลอร์ โปร</t>
        </is>
      </c>
      <c r="J3307" s="161" t="n">
        <v>24040</v>
      </c>
      <c r="K3307" s="8" t="inlineStr">
        <is>
          <t>IV228-65</t>
        </is>
      </c>
      <c r="L3307" s="8" t="inlineStr">
        <is>
          <t>ราคาที่ระบุ ยังไม่รวมVAT7%</t>
        </is>
      </c>
    </row>
    <row r="3308">
      <c r="B3308" s="6" t="inlineStr">
        <is>
          <t>แม่สี ดำเข้มสนิทมาก SC-9004</t>
        </is>
      </c>
      <c r="C3308" s="8" t="inlineStr">
        <is>
          <t>1กล.</t>
        </is>
      </c>
      <c r="D3308" s="9" t="n">
        <v>2600</v>
      </c>
      <c r="H3308" s="9" t="n">
        <v>2600</v>
      </c>
      <c r="I3308" s="10" t="inlineStr">
        <is>
          <t>บจก. วีที คัลเลอร์ โปร</t>
        </is>
      </c>
      <c r="J3308" s="161" t="n">
        <v>24057</v>
      </c>
      <c r="K3308" s="8" t="inlineStr">
        <is>
          <t>IV259-65</t>
        </is>
      </c>
      <c r="L3308" s="8" t="inlineStr">
        <is>
          <t>ราคาที่ระบุ ยังไม่รวมVAT7%</t>
        </is>
      </c>
    </row>
    <row r="3309">
      <c r="B3309" s="6" t="inlineStr">
        <is>
          <t>แม่สี ดำเข้มสนิทมาก SC-9004</t>
        </is>
      </c>
      <c r="C3309" s="8" t="inlineStr">
        <is>
          <t>2กล.</t>
        </is>
      </c>
      <c r="D3309" s="9" t="n">
        <v>2600</v>
      </c>
      <c r="H3309" s="9" t="n">
        <v>5200</v>
      </c>
      <c r="I3309" s="10" t="inlineStr">
        <is>
          <t>บจก. วีที คัลเลอร์ โปร</t>
        </is>
      </c>
      <c r="J3309" s="161" t="n">
        <v>24069</v>
      </c>
      <c r="K3309" s="8" t="inlineStr">
        <is>
          <t>IV276-65</t>
        </is>
      </c>
      <c r="L3309" s="8" t="inlineStr">
        <is>
          <t>ราคาที่ระบุ ยังไม่รวมVAT7%</t>
        </is>
      </c>
    </row>
    <row r="3310">
      <c r="B3310" s="6" t="inlineStr">
        <is>
          <t>แม่สี ดำเข้มสนิทมาก SC-9004</t>
        </is>
      </c>
      <c r="C3310" s="8" t="inlineStr">
        <is>
          <t>2กล.</t>
        </is>
      </c>
      <c r="D3310" s="9" t="n">
        <v>2600</v>
      </c>
      <c r="H3310" s="9" t="n">
        <v>5200</v>
      </c>
      <c r="I3310" s="10" t="inlineStr">
        <is>
          <t>บจก. วีที คัลเลอร์ โปร</t>
        </is>
      </c>
      <c r="J3310" s="161" t="n">
        <v>24095</v>
      </c>
      <c r="K3310" s="8" t="inlineStr">
        <is>
          <t>IV318-65</t>
        </is>
      </c>
      <c r="L3310" s="8" t="inlineStr">
        <is>
          <t>ราคาที่ระบุ ยังไม่รวมVAT7%</t>
        </is>
      </c>
    </row>
    <row r="3311">
      <c r="B3311" s="6" t="inlineStr">
        <is>
          <t>แม่สี ดำเข้มสนิทมาก SC-9004</t>
        </is>
      </c>
      <c r="C3311" s="8" t="inlineStr">
        <is>
          <t>2กล.</t>
        </is>
      </c>
      <c r="D3311" s="9" t="n">
        <v>2600</v>
      </c>
      <c r="H3311" s="9" t="n">
        <v>5200</v>
      </c>
      <c r="I3311" s="10" t="inlineStr">
        <is>
          <t>บจก. วีที คัลเลอร์ โปร</t>
        </is>
      </c>
      <c r="J3311" s="161" t="n">
        <v>24160</v>
      </c>
      <c r="K3311" s="8" t="inlineStr">
        <is>
          <t>IV113-66</t>
        </is>
      </c>
      <c r="L3311" s="8" t="inlineStr">
        <is>
          <t>ราคาที่ระบุ ยังไม่รวมVAT7%</t>
        </is>
      </c>
    </row>
    <row r="3312">
      <c r="B3312" s="6" t="inlineStr">
        <is>
          <t>แม่สี ดำเข้มสนิทมาก SC-9004</t>
        </is>
      </c>
      <c r="C3312" s="8" t="inlineStr">
        <is>
          <t>1กล.</t>
        </is>
      </c>
      <c r="D3312" s="9" t="n">
        <v>2600</v>
      </c>
      <c r="H3312" s="9" t="n">
        <v>2600</v>
      </c>
      <c r="I3312" s="10" t="inlineStr">
        <is>
          <t>บจก. วีที คัลเลอร์ โปร</t>
        </is>
      </c>
      <c r="J3312" s="161" t="n">
        <v>24168</v>
      </c>
      <c r="K3312" s="8" t="inlineStr">
        <is>
          <t>IV130-66</t>
        </is>
      </c>
      <c r="L3312" s="8" t="inlineStr">
        <is>
          <t>ราคาที่ระบุ ยังไม่รวมVAT7%</t>
        </is>
      </c>
    </row>
    <row r="3313">
      <c r="B3313" s="6" t="inlineStr">
        <is>
          <t>แม่สี ดำเข้มสนิทมาก SC-9004</t>
        </is>
      </c>
      <c r="C3313" s="8" t="inlineStr">
        <is>
          <t>1กล.</t>
        </is>
      </c>
      <c r="D3313" s="9" t="n">
        <v>2600</v>
      </c>
      <c r="H3313" s="9" t="n">
        <v>2600</v>
      </c>
      <c r="I3313" s="10" t="inlineStr">
        <is>
          <t>บจก. วีที คัลเลอร์ โปร</t>
        </is>
      </c>
      <c r="J3313" s="161" t="n">
        <v>24186</v>
      </c>
      <c r="K3313" s="8" t="inlineStr">
        <is>
          <t>IV168-66</t>
        </is>
      </c>
      <c r="L3313" s="8" t="inlineStr">
        <is>
          <t>ราคาที่ระบุ ยังไม่รวมVAT7%</t>
        </is>
      </c>
    </row>
    <row r="3314">
      <c r="B3314" s="6" t="inlineStr">
        <is>
          <t>แม่สี ดำเข้มสนิทมาก SC-9004</t>
        </is>
      </c>
      <c r="C3314" s="8" t="inlineStr">
        <is>
          <t>2กล.</t>
        </is>
      </c>
      <c r="D3314" s="9" t="n">
        <v>2600</v>
      </c>
      <c r="H3314" s="9" t="n">
        <v>5200</v>
      </c>
      <c r="I3314" s="10" t="inlineStr">
        <is>
          <t>บจก. วีที คัลเลอร์ โปร</t>
        </is>
      </c>
      <c r="J3314" s="161" t="n">
        <v>24189</v>
      </c>
      <c r="K3314" s="8" t="inlineStr">
        <is>
          <t>IV178-66</t>
        </is>
      </c>
      <c r="L3314" s="8" t="inlineStr">
        <is>
          <t>ราคาที่ระบุ ยังไม่รวมVAT7%</t>
        </is>
      </c>
    </row>
    <row r="3315">
      <c r="B3315" s="6" t="inlineStr">
        <is>
          <t>แม่สี ดำเข้มสนิทมาก SC-9004</t>
        </is>
      </c>
      <c r="C3315" s="8" t="inlineStr">
        <is>
          <t>2กล.</t>
        </is>
      </c>
      <c r="D3315" s="9" t="n">
        <v>2600</v>
      </c>
      <c r="H3315" s="9" t="n">
        <v>5200</v>
      </c>
      <c r="I3315" s="10" t="inlineStr">
        <is>
          <t>บจก. วีที คัลเลอร์ โปร</t>
        </is>
      </c>
      <c r="J3315" s="161" t="n">
        <v>24282</v>
      </c>
      <c r="K3315" s="8" t="inlineStr">
        <is>
          <t>IV353-66</t>
        </is>
      </c>
      <c r="L3315" s="8" t="inlineStr">
        <is>
          <t>ราคาที่ระบุ ยังไม่รวมVAT7%</t>
        </is>
      </c>
    </row>
    <row r="3316">
      <c r="B3316" s="6" t="inlineStr">
        <is>
          <t>แม่สี ดำเข้มสนิทมาก Hybrid S9004</t>
        </is>
      </c>
      <c r="C3316" s="8" t="inlineStr">
        <is>
          <t>1กล.</t>
        </is>
      </c>
      <c r="D3316" s="9" t="n">
        <v>2600</v>
      </c>
      <c r="H3316" s="9" t="n">
        <v>2600</v>
      </c>
      <c r="I3316" s="10" t="inlineStr">
        <is>
          <t>บจก. วีที คัลเลอร์ โปร</t>
        </is>
      </c>
      <c r="J3316" s="161" t="n">
        <v>24309</v>
      </c>
      <c r="K3316" s="8" t="inlineStr">
        <is>
          <t>IV410-66</t>
        </is>
      </c>
      <c r="L3316" s="8" t="inlineStr">
        <is>
          <t>ราคาที่ระบุ ยังไม่รวมVAT7%</t>
        </is>
      </c>
    </row>
    <row r="3317">
      <c r="B3317" s="6" t="inlineStr">
        <is>
          <t>แม่สี ดำเข้มสนิทมาก Hybrid S9004</t>
        </is>
      </c>
      <c r="C3317" s="8" t="inlineStr">
        <is>
          <t>2กล.</t>
        </is>
      </c>
      <c r="D3317" s="9" t="n">
        <v>2600</v>
      </c>
      <c r="H3317" s="9" t="n">
        <v>5200</v>
      </c>
      <c r="I3317" s="10" t="inlineStr">
        <is>
          <t>บจก. วีที คัลเลอร์ โปร</t>
        </is>
      </c>
      <c r="J3317" s="161" t="n">
        <v>24315</v>
      </c>
      <c r="K3317" s="8" t="inlineStr">
        <is>
          <t>IV424-66</t>
        </is>
      </c>
      <c r="L3317" s="8" t="inlineStr">
        <is>
          <t>ราคาที่ระบุ ยังไม่รวมVAT7%</t>
        </is>
      </c>
    </row>
    <row r="3318">
      <c r="B3318" s="6" t="inlineStr">
        <is>
          <t>แม่สี ดำเข้มสนิทมาก Hybrid S9004</t>
        </is>
      </c>
      <c r="C3318" s="8" t="n">
        <v>2</v>
      </c>
      <c r="D3318" s="9" t="n">
        <v>2600</v>
      </c>
      <c r="H3318" s="9">
        <f>SUM(D3318*C3318)</f>
        <v/>
      </c>
      <c r="I3318" s="10" t="inlineStr">
        <is>
          <t>บจก. วีที คัลเลอร์ โปร</t>
        </is>
      </c>
      <c r="J3318" s="161" t="n">
        <v>24372</v>
      </c>
      <c r="K3318" s="8" t="inlineStr">
        <is>
          <t>IV541-66</t>
        </is>
      </c>
      <c r="L3318" s="8" t="inlineStr">
        <is>
          <t>ราคาที่ระบุ ยังไม่รวมVAT7%</t>
        </is>
      </c>
    </row>
    <row r="3319">
      <c r="B3319" s="6" t="inlineStr">
        <is>
          <t>แม่สี ดำเข้มสนิทมาก Hybrid S9004</t>
        </is>
      </c>
      <c r="C3319" s="8" t="n">
        <v>3</v>
      </c>
      <c r="D3319" s="9" t="n">
        <v>2600</v>
      </c>
      <c r="H3319" s="9">
        <f>SUM(D3319*C3319)</f>
        <v/>
      </c>
      <c r="I3319" s="10" t="inlineStr">
        <is>
          <t>บจก. วีที คัลเลอร์ โปร</t>
        </is>
      </c>
      <c r="J3319" s="161" t="n">
        <v>24401</v>
      </c>
      <c r="K3319" s="8" t="inlineStr">
        <is>
          <t>IV684-66</t>
        </is>
      </c>
      <c r="L3319" s="8" t="inlineStr">
        <is>
          <t>ราคาที่ระบุ ยังไม่รวมVAT7%</t>
        </is>
      </c>
    </row>
    <row r="3320">
      <c r="B3320" s="6" t="inlineStr">
        <is>
          <t>แม่สี ดำเข้มสนิทมาก Hybrid S9004</t>
        </is>
      </c>
      <c r="C3320" s="8" t="n">
        <v>2</v>
      </c>
      <c r="D3320" s="9" t="n">
        <v>2600</v>
      </c>
      <c r="H3320" s="9">
        <f>SUM(D3320*C3320)</f>
        <v/>
      </c>
      <c r="I3320" s="10" t="inlineStr">
        <is>
          <t>บจก. วีที คัลเลอร์ โปร</t>
        </is>
      </c>
      <c r="J3320" s="161" t="n">
        <v>24404</v>
      </c>
      <c r="K3320" s="8" t="inlineStr">
        <is>
          <t>IV619-66</t>
        </is>
      </c>
      <c r="L3320" s="8" t="inlineStr">
        <is>
          <t>ราคาที่ระบุ ยังไม่รวมVAT7%</t>
        </is>
      </c>
    </row>
    <row r="3321">
      <c r="B3321" s="6" t="inlineStr">
        <is>
          <t>แม่สี ดำเข้มสนิทมาก Hybrid S9004</t>
        </is>
      </c>
      <c r="C3321" s="8" t="n">
        <v>3</v>
      </c>
      <c r="D3321" s="9" t="n">
        <v>2600</v>
      </c>
      <c r="H3321" s="9">
        <f>SUM(D3321*C3321)</f>
        <v/>
      </c>
      <c r="I3321" s="10" t="inlineStr">
        <is>
          <t>บจก. วีที คัลเลอร์ โปร</t>
        </is>
      </c>
      <c r="J3321" s="161" t="n">
        <v>24462</v>
      </c>
      <c r="K3321" s="8" t="inlineStr">
        <is>
          <t>IV765-66</t>
        </is>
      </c>
      <c r="L3321" s="8" t="inlineStr">
        <is>
          <t>ราคาที่ระบุ ยังไม่รวมVAT7%</t>
        </is>
      </c>
    </row>
    <row r="3322">
      <c r="B3322" s="6" t="inlineStr">
        <is>
          <t>แม่สี ดำเข้มสนิทมาก Hybrid S9004</t>
        </is>
      </c>
      <c r="C3322" s="8" t="n">
        <v>2</v>
      </c>
      <c r="D3322" s="9" t="n">
        <v>2600</v>
      </c>
      <c r="H3322" s="9">
        <f>SUM(D3322*C3322)</f>
        <v/>
      </c>
      <c r="I3322" s="10" t="inlineStr">
        <is>
          <t>บจก. วีที คัลเลอร์ โปร</t>
        </is>
      </c>
      <c r="J3322" s="161" t="n">
        <v>24496</v>
      </c>
      <c r="K3322" s="8" t="inlineStr">
        <is>
          <t>IV6701079</t>
        </is>
      </c>
      <c r="L3322" s="8" t="inlineStr">
        <is>
          <t>ราคาที่ระบุ ยังไม่รวมVAT7%</t>
        </is>
      </c>
    </row>
    <row r="3323">
      <c r="B3323" s="6" t="inlineStr">
        <is>
          <t>แม่สี ดำเข้มสนิทมาก Hybrid S9004</t>
        </is>
      </c>
      <c r="C3323" s="8" t="n">
        <v>2</v>
      </c>
      <c r="D3323" s="9" t="n">
        <v>2600</v>
      </c>
      <c r="H3323" s="9">
        <f>SUM(D3323*C3323)</f>
        <v/>
      </c>
      <c r="I3323" s="10" t="inlineStr">
        <is>
          <t>บจก. วีที คัลเลอร์ โปร</t>
        </is>
      </c>
      <c r="J3323" s="161" t="n">
        <v>24515</v>
      </c>
      <c r="K3323" s="8" t="inlineStr">
        <is>
          <t>IV6702047</t>
        </is>
      </c>
      <c r="L3323" s="8" t="inlineStr">
        <is>
          <t>ราคาที่ระบุ ยังไม่รวมVAT7%</t>
        </is>
      </c>
    </row>
    <row r="3324">
      <c r="B3324" s="6" t="inlineStr">
        <is>
          <t>แม่สี ดำเข้มสนิทมาก Hybrid S9004</t>
        </is>
      </c>
      <c r="C3324" s="8" t="n">
        <v>2</v>
      </c>
      <c r="D3324" s="9" t="n">
        <v>2600</v>
      </c>
      <c r="H3324" s="9">
        <f>SUM(D3324*C3324)</f>
        <v/>
      </c>
      <c r="I3324" s="10" t="inlineStr">
        <is>
          <t>บจก. วีที คัลเลอร์ โปร</t>
        </is>
      </c>
      <c r="J3324" s="161" t="n">
        <v>24529</v>
      </c>
      <c r="K3324" s="8" t="inlineStr">
        <is>
          <t>IV6702103</t>
        </is>
      </c>
      <c r="L3324" s="8" t="inlineStr">
        <is>
          <t>ราคาที่ระบุ ยังไม่รวมVAT7%</t>
        </is>
      </c>
    </row>
    <row r="3325">
      <c r="B3325" s="6" t="inlineStr">
        <is>
          <t>แม่สี ดำเข้มสนิทมาก Hybrid S9004</t>
        </is>
      </c>
      <c r="C3325" s="8" t="n">
        <v>3</v>
      </c>
      <c r="D3325" s="9" t="n">
        <v>2600</v>
      </c>
      <c r="H3325" s="9">
        <f>SUM(D3325*C3325)</f>
        <v/>
      </c>
      <c r="I3325" s="10" t="inlineStr">
        <is>
          <t>บจก. วีที คัลเลอร์ โปร</t>
        </is>
      </c>
      <c r="J3325" s="161" t="n">
        <v>24584</v>
      </c>
      <c r="K3325" s="8" t="inlineStr">
        <is>
          <t>IV6704071</t>
        </is>
      </c>
      <c r="L3325" s="8" t="inlineStr">
        <is>
          <t>ราคาที่ระบุ ยังไม่รวมVAT7%</t>
        </is>
      </c>
    </row>
    <row r="3326">
      <c r="B3326" s="6" t="inlineStr">
        <is>
          <t>แม่สี ดำเข้มสนิทมาก Hybrid S9004</t>
        </is>
      </c>
      <c r="C3326" s="8" t="n">
        <v>2</v>
      </c>
      <c r="D3326" s="9" t="n">
        <v>2600</v>
      </c>
      <c r="H3326" s="9">
        <f>SUM(D3326*C3326)</f>
        <v/>
      </c>
      <c r="I3326" s="10" t="inlineStr">
        <is>
          <t>บจก. วีที คัลเลอร์ โปร</t>
        </is>
      </c>
      <c r="J3326" s="161" t="n">
        <v>24613</v>
      </c>
      <c r="K3326" s="8" t="inlineStr">
        <is>
          <t>IV6705104</t>
        </is>
      </c>
      <c r="L3326" s="8" t="inlineStr">
        <is>
          <t>ราคาที่ระบุ ยังไม่รวมVAT7%</t>
        </is>
      </c>
    </row>
    <row r="3327">
      <c r="B3327" s="6" t="inlineStr">
        <is>
          <t>แม่สี ดำเข้มสนิทมาก Hybrid S9004</t>
        </is>
      </c>
      <c r="C3327" s="8" t="n">
        <v>2</v>
      </c>
      <c r="D3327" s="9" t="n">
        <v>2600</v>
      </c>
      <c r="H3327" s="9">
        <f>SUM(D3327*C3327)</f>
        <v/>
      </c>
      <c r="I3327" s="10" t="inlineStr">
        <is>
          <t>บจก. วีที คัลเลอร์ โปร</t>
        </is>
      </c>
      <c r="J3327" s="161" t="n">
        <v>24550</v>
      </c>
      <c r="K3327" s="8" t="inlineStr">
        <is>
          <t>IV6703088</t>
        </is>
      </c>
      <c r="L3327" s="8" t="inlineStr">
        <is>
          <t>ราคาที่ระบุ ยังไม่รวมVAT7%</t>
        </is>
      </c>
    </row>
    <row r="3328">
      <c r="B3328" s="6" t="inlineStr">
        <is>
          <t>แม่สี ดำเข้มสนิทมาก Hybrid S9004</t>
        </is>
      </c>
      <c r="C3328" s="8" t="n">
        <v>3</v>
      </c>
      <c r="D3328" s="9" t="n">
        <v>2600</v>
      </c>
      <c r="H3328" s="9">
        <f>SUM(D3328*C3328)</f>
        <v/>
      </c>
      <c r="I3328" s="10" t="inlineStr">
        <is>
          <t>บจก. วีที คัลเลอร์ โปร</t>
        </is>
      </c>
      <c r="J3328" s="161" t="n">
        <v>24644</v>
      </c>
      <c r="K3328" s="8" t="inlineStr">
        <is>
          <t>IV6706124</t>
        </is>
      </c>
      <c r="L3328" s="8" t="inlineStr">
        <is>
          <t>ราคาที่ระบุ ยังไม่รวมVAT7%</t>
        </is>
      </c>
    </row>
    <row r="3329">
      <c r="B3329" s="6" t="inlineStr">
        <is>
          <t>แม่สี ดำเข้มสนิทมาก Hybrid S9004</t>
        </is>
      </c>
      <c r="C3329" s="8" t="n">
        <v>3</v>
      </c>
      <c r="D3329" s="9" t="n">
        <v>2600</v>
      </c>
      <c r="H3329" s="9">
        <f>SUM(D3329*C3329)</f>
        <v/>
      </c>
      <c r="I3329" s="10" t="inlineStr">
        <is>
          <t>บจก. วีที คัลเลอร์ โปร</t>
        </is>
      </c>
      <c r="J3329" s="161" t="n">
        <v>24676</v>
      </c>
      <c r="K3329" s="8" t="inlineStr">
        <is>
          <t>IV6707130</t>
        </is>
      </c>
      <c r="L3329" s="8" t="inlineStr">
        <is>
          <t>ราคาที่ระบุ ยังไม่รวมVAT7%</t>
        </is>
      </c>
    </row>
    <row r="3330">
      <c r="B3330" s="6" t="inlineStr">
        <is>
          <t>แม่สี ดำเข้มสนิทมาก Hybrid S9004</t>
        </is>
      </c>
      <c r="C3330" s="8" t="n">
        <v>3</v>
      </c>
      <c r="D3330" s="9" t="n">
        <v>2600</v>
      </c>
      <c r="H3330" s="9">
        <f>SUM(D3330*C3330)</f>
        <v/>
      </c>
      <c r="I3330" s="10" t="inlineStr">
        <is>
          <t>บจก. วีที คัลเลอร์ โปร</t>
        </is>
      </c>
      <c r="J3330" s="161" t="n">
        <v>24707</v>
      </c>
      <c r="K3330" s="8" t="inlineStr">
        <is>
          <t>IV6708116</t>
        </is>
      </c>
      <c r="L3330" s="8" t="inlineStr">
        <is>
          <t>ราคาที่ระบุ ยังไม่รวมVAT7%</t>
        </is>
      </c>
    </row>
    <row r="3331">
      <c r="B3331" s="6" t="inlineStr">
        <is>
          <t>แม่สี ดำเข้มสนิทมาก Hybrid S9004</t>
        </is>
      </c>
      <c r="C3331" s="8" t="n">
        <v>3</v>
      </c>
      <c r="D3331" s="9" t="n">
        <v>2600</v>
      </c>
      <c r="H3331" s="9">
        <f>SUM(D3331*C3331)</f>
        <v/>
      </c>
      <c r="I3331" s="10" t="inlineStr">
        <is>
          <t>บจก. วีที คัลเลอร์ โปร</t>
        </is>
      </c>
      <c r="J3331" s="161" t="n">
        <v>24739</v>
      </c>
      <c r="K3331" s="8" t="inlineStr">
        <is>
          <t>IV6709122</t>
        </is>
      </c>
      <c r="L3331" s="8" t="inlineStr">
        <is>
          <t>ราคาที่ระบุ ยังไม่รวมVAT7%</t>
        </is>
      </c>
    </row>
    <row r="3332">
      <c r="B3332" s="6" t="inlineStr">
        <is>
          <t>แม่สี ดำเข้มสนิทมาก Hybrid S9004</t>
        </is>
      </c>
      <c r="C3332" s="8" t="n">
        <v>1</v>
      </c>
      <c r="D3332" s="9" t="n">
        <v>2600</v>
      </c>
      <c r="H3332" s="9">
        <f>SUM(D3332*C3332)</f>
        <v/>
      </c>
      <c r="I3332" s="10" t="inlineStr">
        <is>
          <t>บจก. วีที คัลเลอร์ โปร</t>
        </is>
      </c>
      <c r="J3332" s="161" t="n">
        <v>24759</v>
      </c>
      <c r="K3332" s="8" t="inlineStr">
        <is>
          <t>IV6710073</t>
        </is>
      </c>
      <c r="L3332" s="8" t="inlineStr">
        <is>
          <t>ราคาที่ระบุ ยังไม่รวมVAT7%</t>
        </is>
      </c>
    </row>
    <row r="3333">
      <c r="B3333" s="6" t="inlineStr">
        <is>
          <t>แม่สี ดำเข้มสนิทมาก Hybrid S9004</t>
        </is>
      </c>
      <c r="C3333" s="8" t="n">
        <v>3</v>
      </c>
      <c r="D3333" s="9" t="n">
        <v>2600</v>
      </c>
      <c r="H3333" s="9">
        <f>SUM(D3333*C3333)</f>
        <v/>
      </c>
      <c r="I3333" s="10" t="inlineStr">
        <is>
          <t>บจก. วีที คัลเลอร์ โปร</t>
        </is>
      </c>
      <c r="J3333" s="161" t="n">
        <v>24766</v>
      </c>
      <c r="K3333" s="8" t="inlineStr">
        <is>
          <t>IV6710109</t>
        </is>
      </c>
      <c r="L3333" s="8" t="inlineStr">
        <is>
          <t>ราคาที่ระบุ ยังไม่รวมVAT7%</t>
        </is>
      </c>
    </row>
    <row r="3334">
      <c r="B3334" s="6" t="inlineStr">
        <is>
          <t>แม่สี ดำเข้มสนิทมาก Hybrid S9004</t>
        </is>
      </c>
      <c r="C3334" s="8" t="n">
        <v>3</v>
      </c>
      <c r="D3334" s="9" t="n">
        <v>2600</v>
      </c>
      <c r="H3334" s="9">
        <f>SUM(D3334*C3334)</f>
        <v/>
      </c>
      <c r="I3334" s="10" t="inlineStr">
        <is>
          <t>บจก. วีที คัลเลอร์ โปร</t>
        </is>
      </c>
      <c r="J3334" s="161" t="n">
        <v>24795</v>
      </c>
      <c r="K3334" s="8" t="inlineStr">
        <is>
          <t>IV6711103</t>
        </is>
      </c>
      <c r="L3334" s="8" t="inlineStr">
        <is>
          <t>ราคาที่ระบุ ยังไม่รวมVAT7%</t>
        </is>
      </c>
    </row>
    <row r="3335">
      <c r="B3335" s="6" t="inlineStr">
        <is>
          <t>แม่สี ดำเข้มสนิทมาก Hybrid S9004</t>
        </is>
      </c>
      <c r="C3335" s="8" t="n">
        <v>2</v>
      </c>
      <c r="D3335" s="9" t="n">
        <v>2782</v>
      </c>
      <c r="H3335" s="9">
        <f>SUM(D3335*C3335)</f>
        <v/>
      </c>
      <c r="I3335" s="10" t="inlineStr">
        <is>
          <t>บจก. วีที คัลเลอร์ โปร</t>
        </is>
      </c>
      <c r="J3335" s="161" t="n">
        <v>24858</v>
      </c>
      <c r="K3335" s="8" t="inlineStr">
        <is>
          <t>IV6801106</t>
        </is>
      </c>
      <c r="L3335" s="8" t="inlineStr">
        <is>
          <t>ราคารวม VAT แล้ว</t>
        </is>
      </c>
    </row>
    <row r="3336">
      <c r="B3336" s="6" t="inlineStr">
        <is>
          <t>แม่สี ดำเข้มสนิทมาก Hybrid S9004</t>
        </is>
      </c>
      <c r="C3336" s="8" t="n">
        <v>4</v>
      </c>
      <c r="D3336" s="9" t="n">
        <v>2782</v>
      </c>
      <c r="H3336" s="9">
        <f>SUM(D3336*C3336)</f>
        <v/>
      </c>
      <c r="I3336" s="10" t="inlineStr">
        <is>
          <t>บจก. วีที คัลเลอร์ โปร</t>
        </is>
      </c>
      <c r="J3336" s="161" t="n">
        <v>24886</v>
      </c>
      <c r="K3336" s="8" t="inlineStr">
        <is>
          <t>IV6802112</t>
        </is>
      </c>
      <c r="L3336" s="8" t="inlineStr">
        <is>
          <t>ราคารวม VAT แล้ว</t>
        </is>
      </c>
    </row>
    <row r="3337">
      <c r="B3337" s="6" t="inlineStr">
        <is>
          <t>แม่สี ดำเข้มสนิทมาก Hybrid S9004</t>
        </is>
      </c>
      <c r="C3337" s="8" t="n">
        <v>6</v>
      </c>
      <c r="D3337" s="9" t="n">
        <v>2782</v>
      </c>
      <c r="H3337" s="9">
        <f>SUM(D3337*C3337)</f>
        <v/>
      </c>
      <c r="I3337" s="10" t="inlineStr">
        <is>
          <t>บจก. วีที คัลเลอร์ โปร</t>
        </is>
      </c>
      <c r="J3337" s="161" t="n">
        <v>24923</v>
      </c>
      <c r="K3337" s="8" t="inlineStr">
        <is>
          <t>IV6803171</t>
        </is>
      </c>
      <c r="L3337" s="8" t="inlineStr">
        <is>
          <t>ราคารวม VAT แล้ว</t>
        </is>
      </c>
    </row>
    <row r="3338">
      <c r="B3338" s="6" t="inlineStr">
        <is>
          <t>แม่สี ดำเข้มสนิทมาก Hybrid S9004</t>
        </is>
      </c>
      <c r="C3338" s="8" t="n">
        <v>4</v>
      </c>
      <c r="D3338" s="9" t="n">
        <v>2600</v>
      </c>
      <c r="E3338" s="9">
        <f>SUM(D3338*C3338)</f>
        <v/>
      </c>
      <c r="F3338" s="8" t="n">
        <v>0.07000000000000001</v>
      </c>
      <c r="G3338" s="10" t="inlineStr">
        <is>
          <t>รวม VAT =</t>
        </is>
      </c>
      <c r="H3338" s="9">
        <f>SUM(E3338+N3338)</f>
        <v/>
      </c>
      <c r="I3338" s="10" t="inlineStr">
        <is>
          <t>บจก. วีที คัลเลอร์ โปร</t>
        </is>
      </c>
      <c r="J3338" s="161" t="n">
        <v>25015</v>
      </c>
      <c r="K3338" s="8" t="inlineStr">
        <is>
          <t>IV6806175</t>
        </is>
      </c>
      <c r="N3338" s="6">
        <f>SUM(E3338*F3338)</f>
        <v/>
      </c>
    </row>
    <row r="3339">
      <c r="B3339" s="6" t="inlineStr">
        <is>
          <t>แม่สี ดำเข้มสนิทมาก Hybrid S9004</t>
        </is>
      </c>
      <c r="C3339" s="8" t="n">
        <v>2</v>
      </c>
      <c r="D3339" s="9" t="n">
        <v>2600</v>
      </c>
      <c r="E3339" s="9">
        <f>SUM(D3339*C3339)</f>
        <v/>
      </c>
      <c r="F3339" s="8" t="n">
        <v>0.07000000000000001</v>
      </c>
      <c r="G3339" s="10" t="inlineStr">
        <is>
          <t>รวม VAT =</t>
        </is>
      </c>
      <c r="H3339" s="9">
        <f>SUM(E3339+N3339)</f>
        <v/>
      </c>
      <c r="I3339" s="10" t="inlineStr">
        <is>
          <t>บจก. วีที คัลเลอร์ โปร</t>
        </is>
      </c>
      <c r="J3339" s="161" t="n">
        <v>25073</v>
      </c>
      <c r="K3339" s="8" t="inlineStr">
        <is>
          <t>IV6808151</t>
        </is>
      </c>
      <c r="N3339" s="6">
        <f>SUM(E3339*F3339)</f>
        <v/>
      </c>
    </row>
    <row r="3341">
      <c r="B3341" s="6" t="inlineStr">
        <is>
          <t>Hybrid 2k 05 ตัวทำด้าน</t>
        </is>
      </c>
      <c r="C3341" s="8" t="n">
        <v>1</v>
      </c>
      <c r="D3341" s="9" t="n">
        <v>750</v>
      </c>
      <c r="H3341" s="9">
        <f>SUM(D3341*C3341)</f>
        <v/>
      </c>
      <c r="I3341" s="10" t="inlineStr">
        <is>
          <t>บจก. วีที คัลเลอร์ โปร</t>
        </is>
      </c>
      <c r="J3341" s="161" t="n">
        <v>24707</v>
      </c>
      <c r="K3341" s="8" t="inlineStr">
        <is>
          <t>IV6708116</t>
        </is>
      </c>
      <c r="L3341" s="8" t="inlineStr">
        <is>
          <t>ราคาที่ระบุ ยังไม่รวมVAT7%</t>
        </is>
      </c>
    </row>
    <row r="3343">
      <c r="B3343" s="6" t="inlineStr">
        <is>
          <t>Tint Binder Matrix master AB-150</t>
        </is>
      </c>
      <c r="C3343" s="8" t="inlineStr">
        <is>
          <t>1กล.</t>
        </is>
      </c>
      <c r="D3343" s="9" t="n">
        <v>1100</v>
      </c>
      <c r="F3343" s="8" t="n">
        <v>20</v>
      </c>
      <c r="H3343" s="9" t="n">
        <v>1100</v>
      </c>
      <c r="I3343" s="10" t="inlineStr">
        <is>
          <t>ทรัพย์สินไทย</t>
        </is>
      </c>
      <c r="J3343" s="161" t="n">
        <v>23247</v>
      </c>
      <c r="L3343" s="8" t="inlineStr">
        <is>
          <t>ราคาที่ระบุเป็นก่อนหักส่วนลด</t>
        </is>
      </c>
    </row>
    <row r="3344">
      <c r="B3344" s="6" t="inlineStr">
        <is>
          <t>Tint Binder Matrix master AB-150</t>
        </is>
      </c>
      <c r="C3344" s="8" t="inlineStr">
        <is>
          <t>1กล.</t>
        </is>
      </c>
      <c r="D3344" s="9" t="inlineStr">
        <is>
          <t>แถมฟรี</t>
        </is>
      </c>
      <c r="F3344" s="8" t="n">
        <v>20</v>
      </c>
      <c r="H3344" s="9" t="inlineStr">
        <is>
          <t>แถมฟรี</t>
        </is>
      </c>
      <c r="I3344" s="10" t="inlineStr">
        <is>
          <t>ทรัพย์สินไทย</t>
        </is>
      </c>
      <c r="J3344" s="161" t="n">
        <v>23819</v>
      </c>
      <c r="K3344" s="8" t="inlineStr">
        <is>
          <t>IV6503255</t>
        </is>
      </c>
      <c r="L3344" s="8" t="inlineStr">
        <is>
          <t>ราคาที่ระบุเป็นก่อนหักส่วนลด</t>
        </is>
      </c>
    </row>
    <row r="3346">
      <c r="B3346" s="6" t="inlineStr">
        <is>
          <t>Brilliant RED 41 Matrix (ตัวพ่นแดงทับ แดงมุกแก้ว 46V)</t>
        </is>
      </c>
      <c r="C3346" s="8" t="inlineStr">
        <is>
          <t>2กป.</t>
        </is>
      </c>
      <c r="D3346" s="9" t="n">
        <v>2500</v>
      </c>
      <c r="F3346" s="8" t="n">
        <v>10</v>
      </c>
      <c r="H3346" s="9" t="n">
        <v>5000</v>
      </c>
      <c r="I3346" s="10" t="inlineStr">
        <is>
          <t>ทรัพย์สินไทย</t>
        </is>
      </c>
      <c r="J3346" s="161" t="n">
        <v>22824</v>
      </c>
      <c r="L3346" s="8" t="inlineStr">
        <is>
          <t>ราคาที่ระบุเป็นก่อนหักส่วนลด</t>
        </is>
      </c>
    </row>
    <row r="3347">
      <c r="B3347" s="6" t="inlineStr">
        <is>
          <t>Brilliant RED 41 Matrix (ตัวพ่นแดงทับ แดงมุกแก้ว 46V)</t>
        </is>
      </c>
      <c r="C3347" s="8" t="inlineStr">
        <is>
          <t>2กป.</t>
        </is>
      </c>
      <c r="D3347" s="9" t="n">
        <v>2500</v>
      </c>
      <c r="F3347" s="8" t="n">
        <v>10</v>
      </c>
      <c r="H3347" s="9" t="n">
        <v>5000</v>
      </c>
      <c r="I3347" s="10" t="inlineStr">
        <is>
          <t>ทรัพย์สินไทย</t>
        </is>
      </c>
      <c r="J3347" s="161" t="n">
        <v>23304</v>
      </c>
      <c r="L3347" s="8" t="inlineStr">
        <is>
          <t>ราคาที่ระบุเป็นก่อนหักส่วนลด</t>
        </is>
      </c>
    </row>
    <row r="3348">
      <c r="B3348" s="6" t="inlineStr">
        <is>
          <t>Brilliant RED 41 Matrix (ตัวพ่นแดงทับ แดงมุกแก้ว 46V)</t>
        </is>
      </c>
      <c r="C3348" s="8" t="inlineStr">
        <is>
          <t>2กป.</t>
        </is>
      </c>
      <c r="D3348" s="9" t="n">
        <v>2500</v>
      </c>
      <c r="F3348" s="8" t="n">
        <v>10</v>
      </c>
      <c r="H3348" s="9" t="n">
        <v>5000</v>
      </c>
      <c r="I3348" s="10" t="inlineStr">
        <is>
          <t>ทรัพย์สินไทย</t>
        </is>
      </c>
      <c r="J3348" s="161" t="n">
        <v>23355</v>
      </c>
      <c r="L3348" s="8" t="inlineStr">
        <is>
          <t>ราคาที่ระบุเป็นก่อนหักส่วนลด</t>
        </is>
      </c>
    </row>
    <row r="3349">
      <c r="B3349" s="6" t="inlineStr">
        <is>
          <t>แม่สี แดง HYBRID BR41</t>
        </is>
      </c>
      <c r="C3349" s="8" t="n">
        <v>1</v>
      </c>
      <c r="D3349" s="9" t="n">
        <v>1500</v>
      </c>
      <c r="E3349" s="9">
        <f>SUM(D3349*C3349)</f>
        <v/>
      </c>
      <c r="F3349" s="8" t="n">
        <v>0.07000000000000001</v>
      </c>
      <c r="G3349" s="10" t="inlineStr">
        <is>
          <t>รวม VAT =</t>
        </is>
      </c>
      <c r="H3349" s="9">
        <f>SUM(E3349+N3349)</f>
        <v/>
      </c>
      <c r="I3349" s="10" t="inlineStr">
        <is>
          <t>บจก. วีที คัลเลอร์ โปร</t>
        </is>
      </c>
      <c r="J3349" s="161" t="n">
        <v>25063</v>
      </c>
      <c r="K3349" s="8" t="inlineStr">
        <is>
          <t>IV6808072</t>
        </is>
      </c>
      <c r="L3349" s="8" t="inlineStr">
        <is>
          <t>ราคาที่ระบุ ยังไม่รวม VAT7%</t>
        </is>
      </c>
      <c r="N3349" s="6">
        <f>SUM(E3349*F3349)</f>
        <v/>
      </c>
    </row>
    <row r="3350">
      <c r="B3350" s="6" t="inlineStr">
        <is>
          <t>แม่สี แดง HYBRID BR41</t>
        </is>
      </c>
      <c r="C3350" s="8" t="n">
        <v>2</v>
      </c>
      <c r="D3350" s="9" t="n">
        <v>1500</v>
      </c>
      <c r="E3350" s="9">
        <f>SUM(D3350*C3350)</f>
        <v/>
      </c>
      <c r="F3350" s="8" t="n">
        <v>0.07000000000000001</v>
      </c>
      <c r="G3350" s="10" t="inlineStr">
        <is>
          <t>รวม VAT =</t>
        </is>
      </c>
      <c r="H3350" s="9">
        <f>SUM(E3350+N3350)</f>
        <v/>
      </c>
      <c r="I3350" s="10" t="inlineStr">
        <is>
          <t>บจก. วีที คัลเลอร์ โปร</t>
        </is>
      </c>
      <c r="J3350" s="161" t="n">
        <v>25042</v>
      </c>
      <c r="K3350" s="8" t="inlineStr">
        <is>
          <t>IV6807180</t>
        </is>
      </c>
      <c r="L3350" s="8" t="inlineStr">
        <is>
          <t>ราคาที่ระบุ ยังไม่รวม VAT7%</t>
        </is>
      </c>
      <c r="N3350" s="6">
        <f>SUM(E3350*F3350)</f>
        <v/>
      </c>
    </row>
    <row r="3351">
      <c r="A3351" s="70" t="n"/>
      <c r="B3351" s="6" t="inlineStr">
        <is>
          <t>แม่สี แดง HYBRID BR41</t>
        </is>
      </c>
      <c r="C3351" s="8" t="n">
        <v>2</v>
      </c>
      <c r="D3351" s="9" t="n">
        <v>1500</v>
      </c>
      <c r="E3351" s="9">
        <f>SUM(C3351*D3351)</f>
        <v/>
      </c>
      <c r="H3351" s="9">
        <f>SUM(E3351*107/100)</f>
        <v/>
      </c>
      <c r="I3351" s="10" t="inlineStr">
        <is>
          <t>บจก. วีที คัลเลอร์ โปร</t>
        </is>
      </c>
      <c r="J3351" s="161" t="n">
        <v>25127</v>
      </c>
      <c r="K3351" s="8" t="inlineStr">
        <is>
          <t>IV6810110</t>
        </is>
      </c>
      <c r="L3351" s="8" t="inlineStr">
        <is>
          <t>ราคาที่ลง ยังไม่รวมภาษี</t>
        </is>
      </c>
    </row>
    <row r="3353">
      <c r="B3353" s="6" t="inlineStr">
        <is>
          <t>แม่สี น้ำตาลโปร่ง HYBRID BR85</t>
        </is>
      </c>
      <c r="C3353" s="8" t="n">
        <v>2</v>
      </c>
      <c r="D3353" s="9" t="n">
        <v>1500</v>
      </c>
      <c r="E3353" s="9">
        <f>SUM(D3353*C3353)</f>
        <v/>
      </c>
      <c r="F3353" s="8" t="n">
        <v>0.07000000000000001</v>
      </c>
      <c r="G3353" s="10" t="inlineStr">
        <is>
          <t>รวม VAT =</t>
        </is>
      </c>
      <c r="H3353" s="9">
        <f>SUM(E3353+N3353)</f>
        <v/>
      </c>
      <c r="I3353" s="10" t="inlineStr">
        <is>
          <t>บจก. วีที คัลเลอร์ โปร</t>
        </is>
      </c>
      <c r="J3353" s="161" t="n">
        <v>25042</v>
      </c>
      <c r="K3353" s="8" t="inlineStr">
        <is>
          <t>IV6807180</t>
        </is>
      </c>
      <c r="L3353" s="8" t="inlineStr">
        <is>
          <t>ราคาที่ระบุ ยังไม่รวม VAT7%</t>
        </is>
      </c>
      <c r="N3353" s="6">
        <f>SUM(E3353*F3353)</f>
        <v/>
      </c>
    </row>
    <row r="3355">
      <c r="B3355" s="6" t="inlineStr">
        <is>
          <t>สีไฮเปอร์บรอนซ์</t>
        </is>
      </c>
      <c r="C3355" s="8" t="inlineStr">
        <is>
          <t>1กป.</t>
        </is>
      </c>
      <c r="D3355" s="9" t="n">
        <v>2500</v>
      </c>
      <c r="H3355" s="9" t="n">
        <v>2500</v>
      </c>
      <c r="I3355" s="10" t="inlineStr">
        <is>
          <t>ทรัพย์สินไทย</t>
        </is>
      </c>
      <c r="J3355" s="161" t="n">
        <v>23887</v>
      </c>
      <c r="K3355" s="8" t="inlineStr">
        <is>
          <t>IV6505292</t>
        </is>
      </c>
      <c r="L3355" s="8" t="inlineStr">
        <is>
          <t>ราคาที่ลง ยังไม่รวมภาษี</t>
        </is>
      </c>
    </row>
    <row r="3357">
      <c r="A3357" s="66" t="inlineStr">
        <is>
          <t>Adapter</t>
        </is>
      </c>
      <c r="B3357" s="6" t="inlineStr">
        <is>
          <t>Adapter for sartorius PMA 7501</t>
        </is>
      </c>
      <c r="C3357" s="8" t="inlineStr">
        <is>
          <t>1ชุด</t>
        </is>
      </c>
      <c r="D3357" s="9" t="n">
        <v>2000</v>
      </c>
      <c r="H3357" s="9" t="n">
        <v>2000</v>
      </c>
      <c r="I3357" s="10" t="inlineStr">
        <is>
          <t>ทรัพย์สินไทย</t>
        </is>
      </c>
      <c r="J3357" s="161" t="n">
        <v>23490</v>
      </c>
      <c r="L3357" s="8" t="inlineStr">
        <is>
          <t>ราคาที่ลง ยังไม่รวมภาษี</t>
        </is>
      </c>
    </row>
    <row r="3359">
      <c r="A3359" s="66" t="inlineStr">
        <is>
          <t>กระดาษกาว</t>
        </is>
      </c>
      <c r="B3359" s="6" t="inlineStr">
        <is>
          <t>กระดาษกาว Inter</t>
        </is>
      </c>
      <c r="C3359" s="8" t="inlineStr">
        <is>
          <t>2ลัง</t>
        </is>
      </c>
      <c r="D3359" s="9" t="n">
        <v>2145</v>
      </c>
      <c r="H3359" s="9" t="n">
        <v>4290</v>
      </c>
      <c r="I3359" s="10" t="inlineStr">
        <is>
          <t>ทาเลนท์</t>
        </is>
      </c>
      <c r="J3359" s="161" t="n">
        <v>22380</v>
      </c>
    </row>
    <row r="3360">
      <c r="B3360" s="6" t="inlineStr">
        <is>
          <t>กระดาษกาว Lion tape  (600ม้วน)</t>
        </is>
      </c>
      <c r="C3360" s="8" t="inlineStr">
        <is>
          <t>1ลัง</t>
        </is>
      </c>
      <c r="D3360" s="9" t="n">
        <v>2100</v>
      </c>
      <c r="H3360" s="9" t="n">
        <v>2100</v>
      </c>
      <c r="I3360" s="10" t="inlineStr">
        <is>
          <t>ทรัพย์สินไทย</t>
        </is>
      </c>
      <c r="J3360" s="161" t="n">
        <v>22790</v>
      </c>
      <c r="L3360" s="8" t="inlineStr">
        <is>
          <t>ราคาที่ลง ยังไม่รวมภาษี</t>
        </is>
      </c>
    </row>
    <row r="3361">
      <c r="B3361" s="6" t="inlineStr">
        <is>
          <t>กระดาษกาว Lion tape  (600ม้วน)</t>
        </is>
      </c>
      <c r="C3361" s="8" t="inlineStr">
        <is>
          <t>2ลัง</t>
        </is>
      </c>
      <c r="D3361" s="9" t="n">
        <v>2100</v>
      </c>
      <c r="H3361" s="9" t="n">
        <v>4200</v>
      </c>
      <c r="I3361" s="10" t="inlineStr">
        <is>
          <t>ทรัพย์สินไทย</t>
        </is>
      </c>
      <c r="J3361" s="161" t="n">
        <v>22429</v>
      </c>
      <c r="L3361" s="8" t="inlineStr">
        <is>
          <t>ราคาที่ลง ยังไม่รวมภาษี</t>
        </is>
      </c>
    </row>
    <row r="3362">
      <c r="B3362" s="6" t="inlineStr">
        <is>
          <t>กระดาษกาว Lion tape  (600ม้วน)</t>
        </is>
      </c>
      <c r="C3362" s="8" t="inlineStr">
        <is>
          <t>3ลัง</t>
        </is>
      </c>
      <c r="D3362" s="9" t="n">
        <v>2100</v>
      </c>
      <c r="H3362" s="9" t="n">
        <v>6300</v>
      </c>
      <c r="I3362" s="10" t="inlineStr">
        <is>
          <t>ทรัพย์สินไทย</t>
        </is>
      </c>
      <c r="J3362" s="161" t="n">
        <v>22454</v>
      </c>
      <c r="L3362" s="8" t="inlineStr">
        <is>
          <t>ราคาที่ลง ยังไม่รวมภาษี</t>
        </is>
      </c>
    </row>
    <row r="3363">
      <c r="B3363" s="6" t="inlineStr">
        <is>
          <t>กระดาษกาว Lion tape  (600ม้วน)</t>
        </is>
      </c>
      <c r="C3363" s="8" t="inlineStr">
        <is>
          <t>2ลัง</t>
        </is>
      </c>
      <c r="D3363" s="9" t="n">
        <v>2100</v>
      </c>
      <c r="H3363" s="9" t="n">
        <v>4200</v>
      </c>
      <c r="I3363" s="10" t="inlineStr">
        <is>
          <t>ทรัพย์สินไทย</t>
        </is>
      </c>
      <c r="J3363" s="161" t="n">
        <v>22821</v>
      </c>
      <c r="L3363" s="8" t="inlineStr">
        <is>
          <t>ราคาที่ลง ยังไม่รวมภาษี</t>
        </is>
      </c>
    </row>
    <row r="3364">
      <c r="B3364" s="6" t="inlineStr">
        <is>
          <t>กระดาษกาว Lion tape  (600ม้วน)</t>
        </is>
      </c>
      <c r="C3364" s="8" t="inlineStr">
        <is>
          <t>1ลัง</t>
        </is>
      </c>
      <c r="D3364" s="9" t="n">
        <v>2100</v>
      </c>
      <c r="H3364" s="9" t="n">
        <v>2100</v>
      </c>
      <c r="I3364" s="10" t="inlineStr">
        <is>
          <t>ทรัพย์สินไทย</t>
        </is>
      </c>
      <c r="J3364" s="161" t="n">
        <v>22836</v>
      </c>
      <c r="L3364" s="8" t="inlineStr">
        <is>
          <t>ราคาที่ลง ยังไม่รวมภาษี</t>
        </is>
      </c>
    </row>
    <row r="3365">
      <c r="B3365" s="6" t="inlineStr">
        <is>
          <t>กระดาษกาว Lion tape  (600ม้วน)</t>
        </is>
      </c>
      <c r="C3365" s="8" t="inlineStr">
        <is>
          <t>2ลัง</t>
        </is>
      </c>
      <c r="D3365" s="9" t="n">
        <v>2100</v>
      </c>
      <c r="H3365" s="9" t="n">
        <v>4200</v>
      </c>
      <c r="I3365" s="10" t="inlineStr">
        <is>
          <t>ทรัพย์สินไทย</t>
        </is>
      </c>
      <c r="J3365" s="161" t="n">
        <v>22851</v>
      </c>
      <c r="L3365" s="8" t="inlineStr">
        <is>
          <t>ราคาที่ลง ยังไม่รวมภาษี</t>
        </is>
      </c>
    </row>
    <row r="3366">
      <c r="B3366" s="6" t="inlineStr">
        <is>
          <t>กระดาษกาว Lion tape  (600ม้วน)</t>
        </is>
      </c>
      <c r="C3366" s="8" t="inlineStr">
        <is>
          <t>2ลัง</t>
        </is>
      </c>
      <c r="D3366" s="9" t="n">
        <v>2100</v>
      </c>
      <c r="H3366" s="9" t="n">
        <v>4200</v>
      </c>
      <c r="I3366" s="10" t="inlineStr">
        <is>
          <t>ทรัพย์สินไทย</t>
        </is>
      </c>
      <c r="J3366" s="161" t="n">
        <v>22884</v>
      </c>
      <c r="L3366" s="8" t="inlineStr">
        <is>
          <t>ราคาที่ลง ยังไม่รวมภาษี</t>
        </is>
      </c>
    </row>
    <row r="3367">
      <c r="B3367" s="6" t="inlineStr">
        <is>
          <t>กระดาษกาว Lion tape  (600ม้วน)</t>
        </is>
      </c>
      <c r="C3367" s="8" t="inlineStr">
        <is>
          <t>3ลัง</t>
        </is>
      </c>
      <c r="D3367" s="9" t="n">
        <v>2100</v>
      </c>
      <c r="H3367" s="9" t="n">
        <v>6300</v>
      </c>
      <c r="I3367" s="10" t="inlineStr">
        <is>
          <t>ทรัพย์สินไทย</t>
        </is>
      </c>
      <c r="J3367" s="161" t="n">
        <v>22913</v>
      </c>
      <c r="L3367" s="8" t="inlineStr">
        <is>
          <t>ราคาที่ลง ยังไม่รวมภาษี</t>
        </is>
      </c>
    </row>
    <row r="3368">
      <c r="B3368" s="6" t="inlineStr">
        <is>
          <t>กระดาษกาว Lion tape  (600ม้วน)</t>
        </is>
      </c>
      <c r="C3368" s="8" t="inlineStr">
        <is>
          <t>2ลัง</t>
        </is>
      </c>
      <c r="D3368" s="9" t="n">
        <v>2100</v>
      </c>
      <c r="H3368" s="9" t="n">
        <v>4200</v>
      </c>
      <c r="I3368" s="10" t="inlineStr">
        <is>
          <t>ทรัพย์สินไทย</t>
        </is>
      </c>
      <c r="J3368" s="161" t="n">
        <v>23038</v>
      </c>
      <c r="L3368" s="8" t="inlineStr">
        <is>
          <t>ราคาที่ลง ยังไม่รวมภาษี</t>
        </is>
      </c>
    </row>
    <row r="3369">
      <c r="B3369" s="6" t="inlineStr">
        <is>
          <t>กระดาษกาว Lion tape  (600ม้วน)</t>
        </is>
      </c>
      <c r="C3369" s="8" t="inlineStr">
        <is>
          <t>2ลัง</t>
        </is>
      </c>
      <c r="D3369" s="9" t="n">
        <v>2100</v>
      </c>
      <c r="H3369" s="9" t="n">
        <v>4200</v>
      </c>
      <c r="I3369" s="10" t="inlineStr">
        <is>
          <t>ทรัพย์สินไทย</t>
        </is>
      </c>
      <c r="J3369" s="161" t="n">
        <v>23062</v>
      </c>
      <c r="L3369" s="8" t="inlineStr">
        <is>
          <t>ราคาที่ลง ยังไม่รวมภาษี</t>
        </is>
      </c>
    </row>
    <row r="3370">
      <c r="B3370" s="6" t="inlineStr">
        <is>
          <t>กระดาษกาว Lion tape  (600ม้วน)</t>
        </is>
      </c>
      <c r="C3370" s="8" t="inlineStr">
        <is>
          <t>2ลัง</t>
        </is>
      </c>
      <c r="D3370" s="9" t="n">
        <v>2100</v>
      </c>
      <c r="H3370" s="9" t="n">
        <v>4200</v>
      </c>
      <c r="I3370" s="10" t="inlineStr">
        <is>
          <t>ทรัพย์สินไทย</t>
        </is>
      </c>
      <c r="J3370" s="161" t="n">
        <v>23094</v>
      </c>
      <c r="L3370" s="8" t="inlineStr">
        <is>
          <t>ราคาที่ลง ยังไม่รวมภาษี</t>
        </is>
      </c>
    </row>
    <row r="3371">
      <c r="B3371" s="6" t="inlineStr">
        <is>
          <t>กระดาษกาว Lion tape  (600ม้วน)</t>
        </is>
      </c>
      <c r="C3371" s="8" t="inlineStr">
        <is>
          <t>1ลัง</t>
        </is>
      </c>
      <c r="D3371" s="9" t="n">
        <v>2100</v>
      </c>
      <c r="H3371" s="9" t="n">
        <v>2100</v>
      </c>
      <c r="I3371" s="10" t="inlineStr">
        <is>
          <t>ทรัพย์สินไทย</t>
        </is>
      </c>
      <c r="J3371" s="161" t="n">
        <v>23107</v>
      </c>
      <c r="L3371" s="8" t="inlineStr">
        <is>
          <t>ราคาที่ลง ยังไม่รวมภาษี</t>
        </is>
      </c>
    </row>
    <row r="3372">
      <c r="B3372" s="6" t="inlineStr">
        <is>
          <t>กระดาษกาว Lion tape  (600ม้วน)</t>
        </is>
      </c>
      <c r="C3372" s="8" t="inlineStr">
        <is>
          <t>2ลัง</t>
        </is>
      </c>
      <c r="D3372" s="9" t="n">
        <v>2100</v>
      </c>
      <c r="H3372" s="9" t="n">
        <v>4200</v>
      </c>
      <c r="I3372" s="10" t="inlineStr">
        <is>
          <t>ทรัพย์สินไทย</t>
        </is>
      </c>
      <c r="J3372" s="161" t="n">
        <v>23124</v>
      </c>
      <c r="L3372" s="8" t="inlineStr">
        <is>
          <t>ราคาที่ลง ยังไม่รวมภาษี</t>
        </is>
      </c>
    </row>
    <row r="3373">
      <c r="B3373" s="6" t="inlineStr">
        <is>
          <t>กระดาษกาว Lion tape  (600ม้วน)</t>
        </is>
      </c>
      <c r="C3373" s="8" t="inlineStr">
        <is>
          <t>3ลัง</t>
        </is>
      </c>
      <c r="D3373" s="9" t="n">
        <v>2100</v>
      </c>
      <c r="H3373" s="9" t="n">
        <v>6300</v>
      </c>
      <c r="I3373" s="10" t="inlineStr">
        <is>
          <t>ทรัพย์สินไทย</t>
        </is>
      </c>
      <c r="J3373" s="161" t="n">
        <v>23187</v>
      </c>
      <c r="L3373" s="8" t="inlineStr">
        <is>
          <t>ราคาที่ลง ยังไม่รวมภาษี</t>
        </is>
      </c>
    </row>
    <row r="3374">
      <c r="B3374" s="6" t="inlineStr">
        <is>
          <t>กระดาษกาว Lion tape  (600ม้วน)</t>
        </is>
      </c>
      <c r="C3374" s="8" t="inlineStr">
        <is>
          <t>2ลัง</t>
        </is>
      </c>
      <c r="D3374" s="9" t="n">
        <v>2100</v>
      </c>
      <c r="H3374" s="9" t="n">
        <v>4200</v>
      </c>
      <c r="I3374" s="10" t="inlineStr">
        <is>
          <t>ทรัพย์สินไทย</t>
        </is>
      </c>
      <c r="J3374" s="161" t="n">
        <v>23216</v>
      </c>
      <c r="L3374" s="8" t="inlineStr">
        <is>
          <t>ราคาที่ลง ยังไม่รวมภาษี</t>
        </is>
      </c>
    </row>
    <row r="3375">
      <c r="B3375" s="6" t="inlineStr">
        <is>
          <t>กระดาษกาว Lion tape  (600ม้วน)</t>
        </is>
      </c>
      <c r="C3375" s="8" t="inlineStr">
        <is>
          <t>2ลัง</t>
        </is>
      </c>
      <c r="D3375" s="9" t="n">
        <v>2100</v>
      </c>
      <c r="H3375" s="9" t="n">
        <v>4200</v>
      </c>
      <c r="I3375" s="10" t="inlineStr">
        <is>
          <t>ทรัพย์สินไทย</t>
        </is>
      </c>
      <c r="J3375" s="161" t="n">
        <v>23247</v>
      </c>
      <c r="L3375" s="8" t="inlineStr">
        <is>
          <t>ราคาที่ลง ยังไม่รวมภาษี</t>
        </is>
      </c>
    </row>
    <row r="3376">
      <c r="B3376" s="6" t="inlineStr">
        <is>
          <t>กระดาษกาว Lion tape  (600ม้วน)</t>
        </is>
      </c>
      <c r="C3376" s="8" t="inlineStr">
        <is>
          <t>2ลัง</t>
        </is>
      </c>
      <c r="D3376" s="9" t="n">
        <v>2100</v>
      </c>
      <c r="H3376" s="9" t="n">
        <v>4200</v>
      </c>
      <c r="I3376" s="10" t="inlineStr">
        <is>
          <t>ทรัพย์สินไทย</t>
        </is>
      </c>
      <c r="J3376" s="161" t="n">
        <v>23305</v>
      </c>
      <c r="L3376" s="8" t="inlineStr">
        <is>
          <t>ราคาที่ลง ยังไม่รวมภาษี</t>
        </is>
      </c>
    </row>
    <row r="3377">
      <c r="B3377" s="6" t="inlineStr">
        <is>
          <t>กระดาษกาว Lion tape  (600ม้วน)</t>
        </is>
      </c>
      <c r="C3377" s="8" t="inlineStr">
        <is>
          <t>2ลัง</t>
        </is>
      </c>
      <c r="D3377" s="9" t="n">
        <v>2100</v>
      </c>
      <c r="H3377" s="9" t="n">
        <v>4200</v>
      </c>
      <c r="I3377" s="10" t="inlineStr">
        <is>
          <t>ทรัพย์สินไทย</t>
        </is>
      </c>
      <c r="J3377" s="161" t="n">
        <v>23337</v>
      </c>
      <c r="L3377" s="8" t="inlineStr">
        <is>
          <t>ราคาที่ลง ยังไม่รวมภาษี</t>
        </is>
      </c>
    </row>
    <row r="3378">
      <c r="B3378" s="6" t="inlineStr">
        <is>
          <t>กระดาษกาว Lion tape  (600ม้วน)</t>
        </is>
      </c>
      <c r="C3378" s="8" t="inlineStr">
        <is>
          <t>2ลัง</t>
        </is>
      </c>
      <c r="D3378" s="9" t="n">
        <v>2100</v>
      </c>
      <c r="H3378" s="9" t="n">
        <v>4200</v>
      </c>
      <c r="I3378" s="10" t="inlineStr">
        <is>
          <t>ทรัพย์สินไทย</t>
        </is>
      </c>
      <c r="J3378" s="161" t="n">
        <v>23340</v>
      </c>
      <c r="L3378" s="8" t="inlineStr">
        <is>
          <t>ราคาที่ลง ยังไม่รวมภาษี</t>
        </is>
      </c>
    </row>
    <row r="3379">
      <c r="B3379" s="6" t="inlineStr">
        <is>
          <t>กระดาษกาว Lion tape  (600ม้วน)</t>
        </is>
      </c>
      <c r="C3379" s="8" t="inlineStr">
        <is>
          <t>2ลัง</t>
        </is>
      </c>
      <c r="D3379" s="9" t="n">
        <v>2100</v>
      </c>
      <c r="H3379" s="9" t="n">
        <v>4200</v>
      </c>
      <c r="I3379" s="10" t="inlineStr">
        <is>
          <t>ทรัพย์สินไทย</t>
        </is>
      </c>
      <c r="J3379" s="161" t="n">
        <v>23366</v>
      </c>
      <c r="L3379" s="8" t="inlineStr">
        <is>
          <t>ราคาที่ลง ยังไม่รวมภาษี</t>
        </is>
      </c>
    </row>
    <row r="3380">
      <c r="B3380" s="6" t="inlineStr">
        <is>
          <t>กระดาษกาว Lion tape  (600ม้วน)</t>
        </is>
      </c>
      <c r="C3380" s="8" t="inlineStr">
        <is>
          <t>2ลัง</t>
        </is>
      </c>
      <c r="D3380" s="9" t="n">
        <v>2100</v>
      </c>
      <c r="H3380" s="9" t="n">
        <v>4200</v>
      </c>
      <c r="I3380" s="10" t="inlineStr">
        <is>
          <t>ทรัพย์สินไทย</t>
        </is>
      </c>
      <c r="J3380" s="161" t="n">
        <v>23398</v>
      </c>
      <c r="L3380" s="8" t="inlineStr">
        <is>
          <t>ราคาที่ลง ยังไม่รวมภาษี</t>
        </is>
      </c>
    </row>
    <row r="3381">
      <c r="B3381" s="6" t="inlineStr">
        <is>
          <t>กระดาษกาว Lion tape  (600ม้วน)</t>
        </is>
      </c>
      <c r="C3381" s="8" t="inlineStr">
        <is>
          <t>2ลัง</t>
        </is>
      </c>
      <c r="D3381" s="9" t="n">
        <v>2100</v>
      </c>
      <c r="H3381" s="9" t="n">
        <v>4200</v>
      </c>
      <c r="I3381" s="10" t="inlineStr">
        <is>
          <t>ทรัพย์สินไทย</t>
        </is>
      </c>
      <c r="J3381" s="161" t="n">
        <v>23430</v>
      </c>
      <c r="L3381" s="8" t="inlineStr">
        <is>
          <t>ราคาที่ลง ยังไม่รวมภาษี</t>
        </is>
      </c>
    </row>
    <row r="3382">
      <c r="B3382" s="6" t="inlineStr">
        <is>
          <t>กระดาษกาว Lion tape  (600ม้วน)</t>
        </is>
      </c>
      <c r="C3382" s="8" t="inlineStr">
        <is>
          <t>2ลัง</t>
        </is>
      </c>
      <c r="D3382" s="9" t="n">
        <v>2100</v>
      </c>
      <c r="H3382" s="9" t="n">
        <v>4200</v>
      </c>
      <c r="I3382" s="10" t="inlineStr">
        <is>
          <t>ทรัพย์สินไทย</t>
        </is>
      </c>
      <c r="J3382" s="161" t="n">
        <v>23460</v>
      </c>
      <c r="L3382" s="8" t="inlineStr">
        <is>
          <t>ราคาที่ลง ยังไม่รวมภาษี</t>
        </is>
      </c>
    </row>
    <row r="3383">
      <c r="B3383" s="6" t="inlineStr">
        <is>
          <t>กระดาษกาว Lion tape  (600ม้วน)</t>
        </is>
      </c>
      <c r="C3383" s="8" t="inlineStr">
        <is>
          <t>2ลัง</t>
        </is>
      </c>
      <c r="D3383" s="9" t="n">
        <v>2100</v>
      </c>
      <c r="H3383" s="9" t="n">
        <v>4200</v>
      </c>
      <c r="I3383" s="10" t="inlineStr">
        <is>
          <t>ทรัพย์สินไทย</t>
        </is>
      </c>
      <c r="J3383" s="161" t="n">
        <v>23493</v>
      </c>
      <c r="L3383" s="8" t="inlineStr">
        <is>
          <t>ราคาที่ลง ยังไม่รวมภาษี</t>
        </is>
      </c>
    </row>
    <row r="3384">
      <c r="B3384" s="6" t="inlineStr">
        <is>
          <t>กระดาษกาว Lion tape  (600ม้วน)</t>
        </is>
      </c>
      <c r="C3384" s="8" t="inlineStr">
        <is>
          <t>2ลัง</t>
        </is>
      </c>
      <c r="D3384" s="9" t="n">
        <v>2100</v>
      </c>
      <c r="H3384" s="9" t="n">
        <v>4200</v>
      </c>
      <c r="I3384" s="10" t="inlineStr">
        <is>
          <t>ทรัพย์สินไทย</t>
        </is>
      </c>
      <c r="J3384" s="161" t="n">
        <v>23546</v>
      </c>
      <c r="L3384" s="8" t="inlineStr">
        <is>
          <t>ราคาที่ลง ยังไม่รวมภาษี</t>
        </is>
      </c>
    </row>
    <row r="3385">
      <c r="B3385" s="6" t="inlineStr">
        <is>
          <t>กระดาษกาว Lion tape  (600ม้วน)</t>
        </is>
      </c>
      <c r="C3385" s="8" t="inlineStr">
        <is>
          <t>2ลัง</t>
        </is>
      </c>
      <c r="D3385" s="9" t="n">
        <v>2100</v>
      </c>
      <c r="H3385" s="9" t="n">
        <v>4200</v>
      </c>
      <c r="I3385" s="10" t="inlineStr">
        <is>
          <t>ทรัพย์สินไทย</t>
        </is>
      </c>
      <c r="J3385" s="161" t="n">
        <v>23584</v>
      </c>
      <c r="L3385" s="8" t="inlineStr">
        <is>
          <t>ราคาที่ลง ยังไม่รวมภาษี</t>
        </is>
      </c>
    </row>
    <row r="3386">
      <c r="B3386" s="6" t="inlineStr">
        <is>
          <t>กระดาษกาว Lion tape  (600ม้วน)</t>
        </is>
      </c>
      <c r="C3386" s="8" t="inlineStr">
        <is>
          <t>1ลัง</t>
        </is>
      </c>
      <c r="D3386" s="9" t="n">
        <v>2100</v>
      </c>
      <c r="H3386" s="9" t="n">
        <v>2100</v>
      </c>
      <c r="I3386" s="10" t="inlineStr">
        <is>
          <t>ทรัพย์สินไทย</t>
        </is>
      </c>
      <c r="J3386" s="161" t="n">
        <v>23613</v>
      </c>
      <c r="L3386" s="8" t="inlineStr">
        <is>
          <t>ราคาที่ลง ยังไม่รวมภาษี</t>
        </is>
      </c>
    </row>
    <row r="3387">
      <c r="B3387" s="6" t="inlineStr">
        <is>
          <t>กระดาษกาว Lion tape  (600ม้วน)</t>
        </is>
      </c>
      <c r="C3387" s="8" t="inlineStr">
        <is>
          <t>2ลัง</t>
        </is>
      </c>
      <c r="D3387" s="9" t="n">
        <v>2100</v>
      </c>
      <c r="H3387" s="9" t="n">
        <v>4200</v>
      </c>
      <c r="I3387" s="10" t="inlineStr">
        <is>
          <t>ทรัพย์สินไทย</t>
        </is>
      </c>
      <c r="J3387" s="161" t="n">
        <v>23642</v>
      </c>
      <c r="K3387" s="8" t="inlineStr">
        <is>
          <t>IV6409286</t>
        </is>
      </c>
      <c r="L3387" s="8" t="inlineStr">
        <is>
          <t>ราคาที่ลง ยังไม่รวมภาษี</t>
        </is>
      </c>
    </row>
    <row r="3388">
      <c r="B3388" s="6" t="inlineStr">
        <is>
          <t>กระดาษกาว Lion tape  (600ม้วน)</t>
        </is>
      </c>
      <c r="C3388" s="8" t="inlineStr">
        <is>
          <t>2ลัง</t>
        </is>
      </c>
      <c r="D3388" s="9" t="n">
        <v>2100</v>
      </c>
      <c r="H3388" s="9" t="n">
        <v>4200</v>
      </c>
      <c r="I3388" s="10" t="inlineStr">
        <is>
          <t>ทรัพย์สินไทย</t>
        </is>
      </c>
      <c r="J3388" s="161" t="n">
        <v>23676</v>
      </c>
      <c r="K3388" s="8" t="inlineStr">
        <is>
          <t>IV6410365</t>
        </is>
      </c>
      <c r="L3388" s="8" t="inlineStr">
        <is>
          <t>ราคาที่ลง ยังไม่รวมภาษี</t>
        </is>
      </c>
    </row>
    <row r="3389">
      <c r="B3389" s="6" t="inlineStr">
        <is>
          <t>กระดาษกาว Lion tape  (600ม้วน)</t>
        </is>
      </c>
      <c r="C3389" s="8" t="inlineStr">
        <is>
          <t>2ลัง</t>
        </is>
      </c>
      <c r="D3389" s="9" t="n">
        <v>2100</v>
      </c>
      <c r="H3389" s="9" t="n">
        <v>4200</v>
      </c>
      <c r="I3389" s="10" t="inlineStr">
        <is>
          <t>ทรัพย์สินไทย</t>
        </is>
      </c>
      <c r="J3389" s="161" t="n">
        <v>23704</v>
      </c>
      <c r="K3389" s="8" t="inlineStr">
        <is>
          <t>IV6411321</t>
        </is>
      </c>
      <c r="L3389" s="8" t="inlineStr">
        <is>
          <t>ราคาที่ลง ยังไม่รวมภาษี</t>
        </is>
      </c>
    </row>
    <row r="3390">
      <c r="B3390" s="6" t="inlineStr">
        <is>
          <t>กระดาษกาว Lion tape  (600ม้วน)</t>
        </is>
      </c>
      <c r="C3390" s="8" t="inlineStr">
        <is>
          <t>2ลัง</t>
        </is>
      </c>
      <c r="D3390" s="9" t="n">
        <v>2100</v>
      </c>
      <c r="H3390" s="9" t="n">
        <v>4200</v>
      </c>
      <c r="I3390" s="10" t="inlineStr">
        <is>
          <t>ทรัพย์สินไทย</t>
        </is>
      </c>
      <c r="J3390" s="161" t="n">
        <v>23733</v>
      </c>
      <c r="K3390" s="8" t="inlineStr">
        <is>
          <t>IV6412301</t>
        </is>
      </c>
      <c r="L3390" s="8" t="inlineStr">
        <is>
          <t>ราคาที่ลง ยังไม่รวมภาษี</t>
        </is>
      </c>
    </row>
    <row r="3391">
      <c r="B3391" s="6" t="inlineStr">
        <is>
          <t>กระดาษกาว Lion tape  (600ม้วน)</t>
        </is>
      </c>
      <c r="C3391" s="8" t="inlineStr">
        <is>
          <t>1ลัง</t>
        </is>
      </c>
      <c r="D3391" s="9" t="n">
        <v>2100</v>
      </c>
      <c r="H3391" s="9" t="n">
        <v>2100</v>
      </c>
      <c r="I3391" s="10" t="inlineStr">
        <is>
          <t>ทรัพย์สินไทย</t>
        </is>
      </c>
      <c r="J3391" s="161" t="n">
        <v>23795</v>
      </c>
      <c r="K3391" s="8" t="inlineStr">
        <is>
          <t>IV6502260</t>
        </is>
      </c>
      <c r="L3391" s="8" t="inlineStr">
        <is>
          <t>ราคาที่ลง ยังไม่รวมภาษี</t>
        </is>
      </c>
    </row>
    <row r="3392">
      <c r="B3392" s="30" t="inlineStr">
        <is>
          <t>** เมื่อ 18/5/65 ทรัพย์สินแจ้งปรับราคาขึ้น เป็นลังละ 2,600 บาท</t>
        </is>
      </c>
    </row>
    <row r="3393">
      <c r="B3393" s="6" t="inlineStr">
        <is>
          <t>กระดาษกาว Lion tape  (600ม้วน) 3/4นิ้ว*10หลา</t>
        </is>
      </c>
      <c r="C3393" s="8" t="inlineStr">
        <is>
          <t>2ลัง</t>
        </is>
      </c>
      <c r="D3393" s="9" t="n">
        <v>2500</v>
      </c>
      <c r="H3393" s="9" t="n">
        <v>5000</v>
      </c>
      <c r="I3393" s="10" t="inlineStr">
        <is>
          <t>วีที คัลเลอร์ โปร</t>
        </is>
      </c>
      <c r="J3393" s="161" t="n">
        <v>24143</v>
      </c>
      <c r="K3393" s="8" t="inlineStr">
        <is>
          <t>ไม่มีบิล</t>
        </is>
      </c>
      <c r="L3393" s="8" t="inlineStr">
        <is>
          <t>ราคาที่ลง ยังไม่รวมภาษี</t>
        </is>
      </c>
    </row>
    <row r="3394">
      <c r="B3394" s="6" t="inlineStr">
        <is>
          <t>กระดาษกาว Lion tape  (600ม้วน) 3/4นิ้ว*10หลา</t>
        </is>
      </c>
      <c r="C3394" s="8" t="inlineStr">
        <is>
          <t>4ลัง</t>
        </is>
      </c>
      <c r="D3394" s="9" t="n">
        <v>2500</v>
      </c>
      <c r="H3394" s="9" t="n">
        <v>10000</v>
      </c>
      <c r="I3394" s="10" t="inlineStr">
        <is>
          <t>วีที คัลเลอร์ โปร</t>
        </is>
      </c>
      <c r="J3394" s="161" t="n">
        <v>24168</v>
      </c>
      <c r="K3394" s="8" t="inlineStr">
        <is>
          <t>ไม่มีบิล</t>
        </is>
      </c>
      <c r="L3394" s="8" t="inlineStr">
        <is>
          <t>ราคาที่ลง ยังไม่รวมภาษี</t>
        </is>
      </c>
    </row>
    <row r="3395">
      <c r="B3395" s="6" t="inlineStr">
        <is>
          <t>กระดาษกาว Lion tape  (600ม้วน) 3/4นิ้ว*10หลา (18mm.)</t>
        </is>
      </c>
      <c r="C3395" s="8" t="inlineStr">
        <is>
          <t>6ลัง</t>
        </is>
      </c>
      <c r="D3395" s="9" t="n">
        <v>2500</v>
      </c>
      <c r="H3395" s="9" t="n">
        <v>15000</v>
      </c>
      <c r="I3395" s="10" t="inlineStr">
        <is>
          <t>ฟอร์เวิร์ด อินคอร์ปอร์เรชั่น</t>
        </is>
      </c>
      <c r="J3395" s="161" t="n">
        <v>24299</v>
      </c>
      <c r="K3395" s="8" t="inlineStr">
        <is>
          <t>FW6607396</t>
        </is>
      </c>
      <c r="L3395" s="8" t="inlineStr">
        <is>
          <t>ราคาที่ลง ยังไม่รวมภาษี</t>
        </is>
      </c>
    </row>
    <row r="3396">
      <c r="B3396" s="6" t="inlineStr">
        <is>
          <t>กระดาษกาว Lion tape  (600ม้วน) 3/4นิ้ว*10หลา (18mm.)</t>
        </is>
      </c>
      <c r="C3396" s="8" t="inlineStr">
        <is>
          <t>2ลัง</t>
        </is>
      </c>
      <c r="D3396" s="9" t="n">
        <v>2500</v>
      </c>
      <c r="H3396" s="9" t="n">
        <v>5350</v>
      </c>
      <c r="I3396" s="10" t="inlineStr">
        <is>
          <t>ฟอร์เวิร์ด อินคอร์ปอร์เรชั่น</t>
        </is>
      </c>
      <c r="J3396" s="161" t="n">
        <v>24442</v>
      </c>
      <c r="K3396" s="8" t="inlineStr">
        <is>
          <t>FW6612021</t>
        </is>
      </c>
      <c r="L3396" s="8" t="inlineStr">
        <is>
          <t>ราคาที่ลง ยังไม่รวมภาษี</t>
        </is>
      </c>
    </row>
    <row r="3397">
      <c r="B3397" s="6" t="inlineStr">
        <is>
          <t>กระดาษกาว Lion tape  (600ม้วน) 3/4นิ้ว*10หลา</t>
        </is>
      </c>
      <c r="C3397" s="8" t="n">
        <v>3</v>
      </c>
      <c r="D3397" s="9" t="n">
        <v>2400</v>
      </c>
      <c r="H3397" s="9">
        <f>SUM(D3397*C3397)</f>
        <v/>
      </c>
      <c r="I3397" s="10" t="inlineStr">
        <is>
          <t>วีที คัลเลอร์ โปร</t>
        </is>
      </c>
      <c r="J3397" s="161" t="n">
        <v>24636</v>
      </c>
      <c r="K3397" s="8" t="inlineStr">
        <is>
          <t>IV6706083</t>
        </is>
      </c>
      <c r="L3397" s="8" t="inlineStr">
        <is>
          <t>ราคาที่ลง ยังไม่รวมภาษี</t>
        </is>
      </c>
    </row>
    <row r="3398">
      <c r="B3398" s="6" t="inlineStr">
        <is>
          <t>กระดาษกาว Lion tape  (600ม้วน) 3/4นิ้ว*10หลา</t>
        </is>
      </c>
      <c r="C3398" s="8" t="n">
        <v>3</v>
      </c>
      <c r="D3398" s="9" t="n">
        <v>2400</v>
      </c>
      <c r="H3398" s="9">
        <f>SUM(D3398*C3398)</f>
        <v/>
      </c>
      <c r="I3398" s="10" t="inlineStr">
        <is>
          <t>วีที คัลเลอร์ โปร</t>
        </is>
      </c>
      <c r="J3398" s="161" t="n">
        <v>24698</v>
      </c>
      <c r="K3398" s="8" t="inlineStr">
        <is>
          <t>IV6708065</t>
        </is>
      </c>
      <c r="L3398" s="8" t="inlineStr">
        <is>
          <t>ราคาที่ลง ยังไม่รวมภาษี</t>
        </is>
      </c>
    </row>
    <row r="3399">
      <c r="B3399" s="6" t="inlineStr">
        <is>
          <t>กระดาษกาว Lion tape  (600ม้วน) 3/4นิ้ว*10หลา</t>
        </is>
      </c>
      <c r="C3399" s="8" t="n">
        <v>2</v>
      </c>
      <c r="D3399" s="9" t="n">
        <v>2400</v>
      </c>
      <c r="H3399" s="9">
        <f>SUM(D3399*C3399)</f>
        <v/>
      </c>
      <c r="I3399" s="10" t="inlineStr">
        <is>
          <t>วีที คัลเลอร์ โปร</t>
        </is>
      </c>
      <c r="J3399" s="161" t="n">
        <v>24755</v>
      </c>
      <c r="K3399" s="8" t="inlineStr">
        <is>
          <t>IV6710058</t>
        </is>
      </c>
      <c r="L3399" s="8" t="inlineStr">
        <is>
          <t>ราคาที่ลง ยังไม่รวมภาษี</t>
        </is>
      </c>
    </row>
    <row r="3400">
      <c r="B3400" s="6" t="inlineStr">
        <is>
          <t>กระดาษกาว Lion tape  (600ม้วน) 3/4นิ้ว*10หลา</t>
        </is>
      </c>
      <c r="C3400" s="8" t="n">
        <v>3</v>
      </c>
      <c r="D3400" s="9" t="n">
        <v>2400</v>
      </c>
      <c r="H3400" s="9">
        <f>SUM(D3400*C3400)</f>
        <v/>
      </c>
      <c r="I3400" s="10" t="inlineStr">
        <is>
          <t>วีที คัลเลอร์ โปร</t>
        </is>
      </c>
      <c r="J3400" s="161" t="n">
        <v>24795</v>
      </c>
      <c r="K3400" s="8" t="inlineStr">
        <is>
          <t>IV6711104</t>
        </is>
      </c>
      <c r="L3400" s="8" t="inlineStr">
        <is>
          <t>ราคาที่ลง ยังไม่รวมภาษี</t>
        </is>
      </c>
    </row>
    <row r="3401">
      <c r="B3401" s="6" t="inlineStr">
        <is>
          <t>กระดาษกาว Lion tape  (600ม้วน) 3/4นิ้ว*10หลา</t>
        </is>
      </c>
      <c r="C3401" s="8" t="n">
        <v>4</v>
      </c>
      <c r="D3401" s="9" t="n">
        <v>2568</v>
      </c>
      <c r="H3401" s="9">
        <f>SUM(D3401*C3401)</f>
        <v/>
      </c>
      <c r="I3401" s="10" t="inlineStr">
        <is>
          <t>วีที คัลเลอร์ โปร</t>
        </is>
      </c>
      <c r="J3401" s="161" t="n">
        <v>24860</v>
      </c>
      <c r="K3401" s="8" t="inlineStr">
        <is>
          <t>IV6801121</t>
        </is>
      </c>
      <c r="L3401" s="8" t="inlineStr">
        <is>
          <t>ราคาที่ลง ยังไม่รวมภาษี</t>
        </is>
      </c>
    </row>
    <row r="3402">
      <c r="B3402" s="6" t="inlineStr">
        <is>
          <t>กระดาษกาว Lion tape  (600ม้วน) 3/4นิ้ว*10หลา</t>
        </is>
      </c>
      <c r="C3402" s="8" t="n">
        <v>2</v>
      </c>
      <c r="D3402" s="9" t="n">
        <v>2568</v>
      </c>
      <c r="H3402" s="9">
        <f>SUM(D3402*C3402)</f>
        <v/>
      </c>
      <c r="I3402" s="10" t="inlineStr">
        <is>
          <t>บจก. วีที คัลเลอร์ โปร</t>
        </is>
      </c>
      <c r="J3402" s="161" t="n">
        <v>24921</v>
      </c>
      <c r="K3402" s="8" t="inlineStr">
        <is>
          <t>IV6803162</t>
        </is>
      </c>
      <c r="L3402" s="8" t="inlineStr">
        <is>
          <t>ราคารวม VAT แล้ว</t>
        </is>
      </c>
    </row>
    <row r="3403">
      <c r="B3403" s="6" t="inlineStr">
        <is>
          <t>กระดาษกาว Lion tape  (600ม้วน) 3/4นิ้ว*10หลา</t>
        </is>
      </c>
      <c r="C3403" s="8" t="n">
        <v>3</v>
      </c>
      <c r="D3403" s="9" t="n">
        <v>2400</v>
      </c>
      <c r="E3403" s="9">
        <f>SUM(C3403*D3403)</f>
        <v/>
      </c>
      <c r="H3403" s="9">
        <f>SUM(E3403*O3403/N3403)</f>
        <v/>
      </c>
      <c r="I3403" s="10" t="inlineStr">
        <is>
          <t>บจก. วีที คัลเลอร์ โปร</t>
        </is>
      </c>
      <c r="J3403" s="161" t="n">
        <v>24964</v>
      </c>
      <c r="K3403" s="8" t="inlineStr">
        <is>
          <t>IV6805049</t>
        </is>
      </c>
      <c r="N3403" s="6" t="n">
        <v>100</v>
      </c>
      <c r="O3403" s="6" t="n">
        <v>107</v>
      </c>
    </row>
    <row r="3404">
      <c r="B3404" s="6" t="inlineStr">
        <is>
          <t>กระดาษกาว Lion tape  (600ม้วน) 3/4นิ้ว*10หลา</t>
        </is>
      </c>
      <c r="C3404" s="8" t="n">
        <v>3</v>
      </c>
      <c r="D3404" s="9" t="n">
        <v>2400</v>
      </c>
      <c r="E3404" s="9">
        <f>SUM(D3404*C3404)</f>
        <v/>
      </c>
      <c r="F3404" s="8" t="n">
        <v>0.07000000000000001</v>
      </c>
      <c r="G3404" s="10" t="inlineStr">
        <is>
          <t>รวม VAT =</t>
        </is>
      </c>
      <c r="H3404" s="9">
        <f>SUM(E3404+N3404)</f>
        <v/>
      </c>
      <c r="I3404" s="10" t="inlineStr">
        <is>
          <t>บจก. วีที คัลเลอร์ โปร</t>
        </is>
      </c>
      <c r="J3404" s="161" t="n">
        <v>25016</v>
      </c>
      <c r="K3404" s="8" t="inlineStr">
        <is>
          <t>IV6806182</t>
        </is>
      </c>
      <c r="N3404" s="6">
        <f>SUM(E3404*F3404)</f>
        <v/>
      </c>
    </row>
    <row r="3405">
      <c r="B3405" s="6" t="inlineStr">
        <is>
          <t>กระดาษกาว Lion tape  (600ม้วน) 3/4นิ้ว*10หลา</t>
        </is>
      </c>
      <c r="C3405" s="8" t="n">
        <v>3</v>
      </c>
      <c r="D3405" s="9" t="n">
        <v>2400</v>
      </c>
      <c r="E3405" s="9">
        <f>SUM(D3405*C3405)</f>
        <v/>
      </c>
      <c r="F3405" s="8" t="n">
        <v>0.07000000000000001</v>
      </c>
      <c r="G3405" s="10" t="inlineStr">
        <is>
          <t>รวม VAT =</t>
        </is>
      </c>
      <c r="H3405" s="9">
        <f>SUM(E3405+N3405)</f>
        <v/>
      </c>
      <c r="I3405" s="10" t="inlineStr">
        <is>
          <t>บจก. วีที คัลเลอร์ โปร</t>
        </is>
      </c>
      <c r="J3405" s="161" t="n">
        <v>25092</v>
      </c>
      <c r="K3405" s="8" t="inlineStr">
        <is>
          <t>IV6809080</t>
        </is>
      </c>
      <c r="N3405" s="6">
        <f>SUM(E3405*F3405)</f>
        <v/>
      </c>
    </row>
    <row r="3406">
      <c r="B3406" s="6" t="inlineStr">
        <is>
          <t>กระดาษกาว Lion tape  (600ม้วน) 3/4นิ้ว*10หลา</t>
        </is>
      </c>
      <c r="C3406" s="8" t="n">
        <v>1</v>
      </c>
      <c r="D3406" s="9" t="n">
        <v>2400</v>
      </c>
      <c r="E3406" s="9">
        <f>SUM(D3406*C3406)</f>
        <v/>
      </c>
      <c r="F3406" s="8" t="n">
        <v>0.07000000000000001</v>
      </c>
      <c r="G3406" s="10" t="inlineStr">
        <is>
          <t>รวม VAT =</t>
        </is>
      </c>
      <c r="H3406" s="9">
        <f>SUM(E3406+N3406)</f>
        <v/>
      </c>
      <c r="I3406" s="10" t="inlineStr">
        <is>
          <t>บจก. วีที คัลเลอร์ โปร</t>
        </is>
      </c>
      <c r="J3406" s="161" t="n">
        <v>25113</v>
      </c>
      <c r="K3406" s="8" t="inlineStr">
        <is>
          <t>IV6810023</t>
        </is>
      </c>
      <c r="N3406" s="6">
        <f>SUM(E3406*F3406)</f>
        <v/>
      </c>
    </row>
    <row r="3407">
      <c r="B3407" s="6" t="inlineStr">
        <is>
          <t>กระดาษกาว Lion tape  (600ม้วน) 3/4นิ้ว*10หลา</t>
        </is>
      </c>
      <c r="C3407" s="8" t="n">
        <v>3</v>
      </c>
      <c r="D3407" s="9" t="n">
        <v>2400</v>
      </c>
      <c r="E3407" s="9">
        <f>SUM(D3407*C3407)</f>
        <v/>
      </c>
      <c r="F3407" s="8" t="n">
        <v>0.07000000000000001</v>
      </c>
      <c r="G3407" s="10" t="inlineStr">
        <is>
          <t>รวม VAT =</t>
        </is>
      </c>
      <c r="H3407" s="9">
        <f>SUM(E3407+N3407)</f>
        <v/>
      </c>
      <c r="I3407" s="10" t="inlineStr">
        <is>
          <t>บจก. วีที คัลเลอร์ โปร</t>
        </is>
      </c>
      <c r="J3407" s="161" t="n">
        <v>25145</v>
      </c>
      <c r="K3407" s="8" t="inlineStr">
        <is>
          <t>IV6811023</t>
        </is>
      </c>
      <c r="N3407" s="6">
        <f>SUM(E3407*F3407)</f>
        <v/>
      </c>
    </row>
    <row r="3408">
      <c r="B3408" s="6" t="inlineStr">
        <is>
          <t>กระดาษกาว Lion tape  (600ม้วน) 3/4นิ้ว*10หลา</t>
        </is>
      </c>
      <c r="C3408" s="8" t="n">
        <v>1</v>
      </c>
      <c r="D3408" s="9" t="n">
        <v>2400</v>
      </c>
      <c r="E3408" s="9">
        <f>SUM(D3408*C3408)</f>
        <v/>
      </c>
      <c r="F3408" s="8" t="n">
        <v>0.07000000000000001</v>
      </c>
      <c r="G3408" s="10" t="inlineStr">
        <is>
          <t>ยอดรวม VAT =</t>
        </is>
      </c>
      <c r="H3408" s="9">
        <f>SUM(E3408+N3408)</f>
        <v/>
      </c>
      <c r="I3408" s="10" t="inlineStr">
        <is>
          <t>บจก. วีที คัลเลอร์ โปร</t>
        </is>
      </c>
      <c r="J3408" s="161" t="n">
        <v>25189</v>
      </c>
      <c r="K3408" s="8" t="inlineStr">
        <is>
          <t>IV6812124</t>
        </is>
      </c>
      <c r="N3408" s="6">
        <f>SUM(E3408*F3408)</f>
        <v/>
      </c>
    </row>
    <row r="3410">
      <c r="B3410" s="6" t="inlineStr">
        <is>
          <t>กระดาษกาว BLACK TIGER (600ม้วน) 3/4นิ้ว*10หลา (18mm.) -- ราคาต่อลัง</t>
        </is>
      </c>
      <c r="C3410" s="8" t="n">
        <v>2</v>
      </c>
      <c r="D3410" s="9" t="n">
        <v>2400</v>
      </c>
      <c r="H3410" s="9">
        <f>SUM(D3410*C3410)</f>
        <v/>
      </c>
      <c r="I3410" s="10" t="inlineStr">
        <is>
          <t>วีที คัลเลอร์ โปร</t>
        </is>
      </c>
      <c r="J3410" s="161" t="n">
        <v>24496</v>
      </c>
      <c r="K3410" s="8" t="inlineStr">
        <is>
          <t>IV6701080</t>
        </is>
      </c>
      <c r="L3410" s="8" t="inlineStr">
        <is>
          <t>ราคาที่ลง ยังไม่รวมภาษี</t>
        </is>
      </c>
    </row>
    <row r="3411">
      <c r="B3411" s="6" t="inlineStr">
        <is>
          <t>กระดาษกาว BLACK TIGER (600ม้วน) 3/4นิ้ว*10หลา (18mm.) -- ราคาต่อลัง</t>
        </is>
      </c>
      <c r="C3411" s="8" t="n">
        <v>2</v>
      </c>
      <c r="D3411" s="9" t="n">
        <v>2400</v>
      </c>
      <c r="H3411" s="9">
        <f>SUM(D3411*C3411)</f>
        <v/>
      </c>
      <c r="I3411" s="10" t="inlineStr">
        <is>
          <t>วีที คัลเลอร์ โปร</t>
        </is>
      </c>
      <c r="J3411" s="161" t="n">
        <v>24531</v>
      </c>
      <c r="K3411" s="8" t="inlineStr">
        <is>
          <t>IV6702114</t>
        </is>
      </c>
      <c r="L3411" s="8" t="inlineStr">
        <is>
          <t>ราคาที่ลง ยังไม่รวมภาษี</t>
        </is>
      </c>
    </row>
    <row r="3412">
      <c r="B3412" s="6" t="inlineStr">
        <is>
          <t>กระดาษกาว BLACK TIGER (600ม้วน) 3/4นิ้ว*10หลา (18mm.) -- ราคาต่อลัง</t>
        </is>
      </c>
      <c r="C3412" s="8" t="n">
        <v>4</v>
      </c>
      <c r="D3412" s="9" t="n">
        <v>2400</v>
      </c>
      <c r="H3412" s="9">
        <f>SUM(D3412*C3412)</f>
        <v/>
      </c>
      <c r="I3412" s="10" t="inlineStr">
        <is>
          <t>วีที คัลเลอร์ โปร</t>
        </is>
      </c>
      <c r="J3412" s="161" t="n">
        <v>24584</v>
      </c>
      <c r="K3412" s="8" t="inlineStr">
        <is>
          <t>IV6704072</t>
        </is>
      </c>
      <c r="L3412" s="8" t="inlineStr">
        <is>
          <t>ราคาที่ลง ยังไม่รวมภาษี</t>
        </is>
      </c>
    </row>
    <row r="3413">
      <c r="B3413" s="30" t="n"/>
    </row>
    <row r="3414" customFormat="1" s="40">
      <c r="A3414" s="76" t="n"/>
      <c r="B3414" s="40" t="inlineStr">
        <is>
          <t>กระดาษกาว Gold tape  ขนาด 188mm*20หลา (192ม้วน)</t>
        </is>
      </c>
      <c r="C3414" s="36" t="inlineStr">
        <is>
          <t>2ลัง</t>
        </is>
      </c>
      <c r="D3414" s="37" t="n">
        <v>1584</v>
      </c>
      <c r="E3414" s="37" t="n"/>
      <c r="F3414" s="36" t="n"/>
      <c r="G3414" s="38" t="n"/>
      <c r="H3414" s="37" t="n">
        <v>3168</v>
      </c>
      <c r="I3414" s="10" t="inlineStr">
        <is>
          <t>วีที คัลเลอร์ โปร</t>
        </is>
      </c>
      <c r="J3414" s="167" t="n">
        <v>24279</v>
      </c>
      <c r="K3414" s="8" t="inlineStr">
        <is>
          <t>ไม่มีบิล</t>
        </is>
      </c>
      <c r="L3414" s="8" t="inlineStr">
        <is>
          <t>ราคาที่ลง ยังไม่รวมภาษี</t>
        </is>
      </c>
    </row>
    <row r="3415">
      <c r="B3415" s="30" t="n"/>
    </row>
    <row r="3416">
      <c r="B3416" s="6" t="inlineStr">
        <is>
          <t>กระดาษกาว Inter  (600ม้วน)</t>
        </is>
      </c>
      <c r="C3416" s="8" t="inlineStr">
        <is>
          <t>2ลัง</t>
        </is>
      </c>
      <c r="D3416" s="9" t="n">
        <v>2180</v>
      </c>
      <c r="H3416" s="9" t="n">
        <v>4360</v>
      </c>
      <c r="I3416" s="10" t="inlineStr">
        <is>
          <t>ทาเลนท์</t>
        </is>
      </c>
      <c r="J3416" s="161" t="n">
        <v>23827</v>
      </c>
      <c r="K3416" s="8" t="inlineStr">
        <is>
          <t>IV6505765</t>
        </is>
      </c>
      <c r="L3416" s="8" t="inlineStr">
        <is>
          <t>ราคาที่ลง ยังไม่รวมภาษี</t>
        </is>
      </c>
    </row>
    <row r="3417">
      <c r="B3417" s="6" t="inlineStr">
        <is>
          <t>กระดาษกาว Inter  (600ม้วน)</t>
        </is>
      </c>
      <c r="C3417" s="8" t="inlineStr">
        <is>
          <t>2ลัง</t>
        </is>
      </c>
      <c r="D3417" s="9" t="n">
        <v>2180</v>
      </c>
      <c r="H3417" s="9" t="n">
        <v>4360</v>
      </c>
      <c r="I3417" s="10" t="inlineStr">
        <is>
          <t>ทาเลนท์</t>
        </is>
      </c>
      <c r="J3417" s="161" t="n">
        <v>23886</v>
      </c>
      <c r="K3417" s="8" t="inlineStr">
        <is>
          <t>IS1000328</t>
        </is>
      </c>
      <c r="L3417" s="8" t="inlineStr">
        <is>
          <t>ราคาที่ลง ยังไม่รวมภาษี</t>
        </is>
      </c>
    </row>
    <row r="3418">
      <c r="B3418" s="6" t="inlineStr">
        <is>
          <t>กระดาษกาว Inter  (600ม้วน)</t>
        </is>
      </c>
      <c r="C3418" s="8" t="inlineStr">
        <is>
          <t>2ลัง</t>
        </is>
      </c>
      <c r="D3418" s="9" t="n">
        <v>2180</v>
      </c>
      <c r="H3418" s="9" t="n">
        <v>4360</v>
      </c>
      <c r="I3418" s="10" t="inlineStr">
        <is>
          <t>ทาเลนท์</t>
        </is>
      </c>
      <c r="J3418" s="161" t="n">
        <v>23914</v>
      </c>
      <c r="K3418" s="8" t="inlineStr">
        <is>
          <t>IS1000942</t>
        </is>
      </c>
      <c r="L3418" s="8" t="inlineStr">
        <is>
          <t>ราคาที่ลง ยังไม่รวมภาษี</t>
        </is>
      </c>
    </row>
    <row r="3419">
      <c r="B3419" s="6" t="inlineStr">
        <is>
          <t>กระดาษกาว Inter  (600ม้วน)</t>
        </is>
      </c>
      <c r="C3419" s="8" t="inlineStr">
        <is>
          <t>2ลัง</t>
        </is>
      </c>
      <c r="D3419" s="9" t="n">
        <v>2180</v>
      </c>
      <c r="H3419" s="9" t="n">
        <v>4360</v>
      </c>
      <c r="I3419" s="10" t="inlineStr">
        <is>
          <t>ทาเลนท์</t>
        </is>
      </c>
      <c r="J3419" s="161" t="n">
        <v>23948</v>
      </c>
      <c r="K3419" s="8" t="inlineStr">
        <is>
          <t>IS1001539</t>
        </is>
      </c>
      <c r="L3419" s="8" t="inlineStr">
        <is>
          <t>ราคาที่ลง ยังไม่รวมภาษี</t>
        </is>
      </c>
    </row>
    <row r="3420">
      <c r="B3420" s="6" t="inlineStr">
        <is>
          <t>กระดาษกาว Inter  (600ม้วน)</t>
        </is>
      </c>
      <c r="C3420" s="8" t="inlineStr">
        <is>
          <t>2ลัง</t>
        </is>
      </c>
      <c r="D3420" s="9" t="n">
        <v>2180</v>
      </c>
      <c r="H3420" s="9" t="n">
        <v>4360</v>
      </c>
      <c r="I3420" s="10" t="inlineStr">
        <is>
          <t>ทาเลนท์</t>
        </is>
      </c>
      <c r="J3420" s="161" t="n">
        <v>23979</v>
      </c>
      <c r="K3420" s="8" t="inlineStr">
        <is>
          <t>IS1002068</t>
        </is>
      </c>
      <c r="L3420" s="8" t="inlineStr">
        <is>
          <t>ราคาที่ลง ยังไม่รวมภาษี</t>
        </is>
      </c>
    </row>
    <row r="3421" customFormat="1" s="42">
      <c r="A3421" s="68" t="n"/>
      <c r="B3421" s="42" t="inlineStr">
        <is>
          <t>กระดาษกาว Inter  (600ม้วน) -- คืน</t>
        </is>
      </c>
      <c r="C3421" s="45" t="inlineStr">
        <is>
          <t>1ลัง</t>
        </is>
      </c>
      <c r="D3421" s="16" t="n">
        <v>2180</v>
      </c>
      <c r="E3421" s="16" t="n"/>
      <c r="F3421" s="45" t="n"/>
      <c r="G3421" s="50" t="n"/>
      <c r="H3421" s="16" t="n">
        <v>-2180</v>
      </c>
      <c r="I3421" s="50" t="inlineStr">
        <is>
          <t>ทาเลนท์</t>
        </is>
      </c>
      <c r="J3421" s="166" t="n">
        <v>23997</v>
      </c>
      <c r="K3421" s="45" t="inlineStr">
        <is>
          <t>SR6509007</t>
        </is>
      </c>
      <c r="L3421" s="45" t="inlineStr">
        <is>
          <t>ราคาที่ลง ยังไม่รวมภาษี</t>
        </is>
      </c>
    </row>
    <row r="3422" customFormat="1" s="42">
      <c r="A3422" s="68" t="n"/>
      <c r="B3422" s="42" t="inlineStr">
        <is>
          <t>กระดาษกาว Inter  (600ม้วน) -- คืน</t>
        </is>
      </c>
      <c r="C3422" s="45" t="inlineStr">
        <is>
          <t>1ลัง</t>
        </is>
      </c>
      <c r="D3422" s="16" t="n">
        <v>2180</v>
      </c>
      <c r="E3422" s="16" t="n"/>
      <c r="F3422" s="45" t="n"/>
      <c r="G3422" s="50" t="n"/>
      <c r="H3422" s="16" t="n">
        <v>-2180</v>
      </c>
      <c r="I3422" s="50" t="inlineStr">
        <is>
          <t>ทาเลนท์</t>
        </is>
      </c>
      <c r="J3422" s="166" t="n">
        <v>23997</v>
      </c>
      <c r="K3422" s="45" t="inlineStr">
        <is>
          <t>SR6509008</t>
        </is>
      </c>
      <c r="L3422" s="45" t="inlineStr">
        <is>
          <t>ราคาที่ลง ยังไม่รวมภาษี</t>
        </is>
      </c>
    </row>
    <row r="3424">
      <c r="B3424" s="6" t="inlineStr">
        <is>
          <t>กระดาษกาว HAMMER</t>
        </is>
      </c>
      <c r="C3424" s="8" t="inlineStr">
        <is>
          <t>1ลัง</t>
        </is>
      </c>
      <c r="D3424" s="9" t="n">
        <v>2750</v>
      </c>
      <c r="H3424" s="9" t="n">
        <v>2750</v>
      </c>
      <c r="I3424" s="10" t="inlineStr">
        <is>
          <t>วีที คัลเลอร์ โปร</t>
        </is>
      </c>
      <c r="J3424" s="161" t="n">
        <v>23992</v>
      </c>
      <c r="K3424" s="8" t="inlineStr">
        <is>
          <t>IV166-65</t>
        </is>
      </c>
      <c r="L3424" s="8" t="inlineStr">
        <is>
          <t>ราคาที่ลง ยังไม่รวมภาษี</t>
        </is>
      </c>
    </row>
    <row r="3425">
      <c r="B3425" s="6" t="inlineStr">
        <is>
          <t>กระดาษกาว HAMMER</t>
        </is>
      </c>
      <c r="C3425" s="8" t="inlineStr">
        <is>
          <t>2ลัง</t>
        </is>
      </c>
      <c r="D3425" s="9" t="n">
        <v>2750</v>
      </c>
      <c r="H3425" s="9" t="n">
        <v>5500</v>
      </c>
      <c r="I3425" s="10" t="inlineStr">
        <is>
          <t>วีที คัลเลอร์ โปร</t>
        </is>
      </c>
      <c r="J3425" s="161" t="n">
        <v>24005</v>
      </c>
      <c r="K3425" s="8" t="inlineStr">
        <is>
          <t>IV183-65</t>
        </is>
      </c>
      <c r="L3425" s="8" t="inlineStr">
        <is>
          <t>ราคาที่ลง ยังไม่รวมภาษี</t>
        </is>
      </c>
    </row>
    <row r="3426">
      <c r="B3426" s="6" t="inlineStr">
        <is>
          <t>กระดาษกาว HAMMER</t>
        </is>
      </c>
      <c r="C3426" s="8" t="inlineStr">
        <is>
          <t>2ลัง</t>
        </is>
      </c>
      <c r="D3426" s="9" t="n">
        <v>2750</v>
      </c>
      <c r="H3426" s="9" t="n">
        <v>5500</v>
      </c>
      <c r="I3426" s="10" t="inlineStr">
        <is>
          <t>วีที คัลเลอร์ โปร</t>
        </is>
      </c>
      <c r="J3426" s="161" t="n">
        <v>24030</v>
      </c>
      <c r="K3426" s="8" t="inlineStr">
        <is>
          <t>IV214-65</t>
        </is>
      </c>
      <c r="L3426" s="8" t="inlineStr">
        <is>
          <t>ราคาที่ลง ยังไม่รวมภาษี</t>
        </is>
      </c>
    </row>
    <row r="3427">
      <c r="B3427" s="6" t="inlineStr">
        <is>
          <t>กระดาษกาว HAMMER</t>
        </is>
      </c>
      <c r="C3427" s="8" t="inlineStr">
        <is>
          <t>4ลัง</t>
        </is>
      </c>
      <c r="D3427" s="9" t="n">
        <v>2700</v>
      </c>
      <c r="H3427" s="9" t="n">
        <v>10800</v>
      </c>
      <c r="I3427" s="10" t="inlineStr">
        <is>
          <t>วีที คัลเลอร์ โปร</t>
        </is>
      </c>
      <c r="J3427" s="161" t="n">
        <v>24063</v>
      </c>
      <c r="K3427" s="8" t="inlineStr">
        <is>
          <t>IV264-65</t>
        </is>
      </c>
      <c r="L3427" s="8" t="inlineStr">
        <is>
          <t>ราคาที่ลง ยังไม่รวมภาษี</t>
        </is>
      </c>
    </row>
    <row r="3429">
      <c r="A3429" s="66" t="inlineStr">
        <is>
          <t>กระดาษกาวแบบบาง</t>
        </is>
      </c>
      <c r="B3429" s="6" t="inlineStr">
        <is>
          <t>กระดาษกาว แบบบาง NITTO (5ม้วน)</t>
        </is>
      </c>
      <c r="C3429" s="8" t="inlineStr">
        <is>
          <t>1แถว</t>
        </is>
      </c>
      <c r="D3429" s="9" t="n">
        <v>100</v>
      </c>
      <c r="H3429" s="9" t="n">
        <v>100</v>
      </c>
      <c r="I3429" s="10" t="inlineStr">
        <is>
          <t>ศรีสยาม</t>
        </is>
      </c>
      <c r="J3429" s="161" t="n">
        <v>23038</v>
      </c>
      <c r="L3429" s="8" t="inlineStr">
        <is>
          <t>ไม่มี VAT</t>
        </is>
      </c>
    </row>
    <row r="3430">
      <c r="B3430" s="6" t="inlineStr">
        <is>
          <t>กระดาษกาว แบบบาง NITTO (5ม้วน)</t>
        </is>
      </c>
      <c r="C3430" s="8" t="inlineStr">
        <is>
          <t>1แถว</t>
        </is>
      </c>
      <c r="D3430" s="9" t="n">
        <v>100</v>
      </c>
      <c r="H3430" s="9" t="n">
        <v>100</v>
      </c>
      <c r="I3430" s="10" t="inlineStr">
        <is>
          <t>ศรีสยาม</t>
        </is>
      </c>
      <c r="J3430" s="161" t="n">
        <v>23074</v>
      </c>
      <c r="L3430" s="8" t="inlineStr">
        <is>
          <t>ไม่มี VAT</t>
        </is>
      </c>
    </row>
    <row r="3431">
      <c r="B3431" s="6" t="inlineStr">
        <is>
          <t>กระดาษกาว แบบบาง NITTO (5ม้วน)</t>
        </is>
      </c>
      <c r="C3431" s="8" t="inlineStr">
        <is>
          <t>1แถว</t>
        </is>
      </c>
      <c r="D3431" s="9" t="n">
        <v>100</v>
      </c>
      <c r="H3431" s="9" t="n">
        <v>100</v>
      </c>
      <c r="I3431" s="10" t="inlineStr">
        <is>
          <t>ศรีสยาม</t>
        </is>
      </c>
      <c r="J3431" s="161" t="n">
        <v>23125</v>
      </c>
      <c r="L3431" s="8" t="inlineStr">
        <is>
          <t>ไม่มี VAT</t>
        </is>
      </c>
    </row>
    <row r="3432">
      <c r="B3432" s="6" t="inlineStr">
        <is>
          <t>กระดาษกาว แบบบาง NITTO (5ม้วน)</t>
        </is>
      </c>
      <c r="C3432" s="8" t="inlineStr">
        <is>
          <t>1แถว</t>
        </is>
      </c>
      <c r="D3432" s="9" t="n">
        <v>100</v>
      </c>
      <c r="H3432" s="9" t="n">
        <v>100</v>
      </c>
      <c r="I3432" s="10" t="inlineStr">
        <is>
          <t>ศรีสยาม</t>
        </is>
      </c>
      <c r="J3432" s="161" t="n">
        <v>23149</v>
      </c>
      <c r="L3432" s="8" t="inlineStr">
        <is>
          <t>ไม่มี VAT</t>
        </is>
      </c>
    </row>
    <row r="3433">
      <c r="B3433" s="6" t="inlineStr">
        <is>
          <t>กระดาษกาว แบบบาง NITTO (5ม้วน)</t>
        </is>
      </c>
      <c r="C3433" s="8" t="inlineStr">
        <is>
          <t>1แถว</t>
        </is>
      </c>
      <c r="D3433" s="9" t="n">
        <v>100</v>
      </c>
      <c r="H3433" s="9" t="n">
        <v>100</v>
      </c>
      <c r="I3433" s="10" t="inlineStr">
        <is>
          <t>ศรีสยาม</t>
        </is>
      </c>
      <c r="J3433" s="161" t="n">
        <v>23241</v>
      </c>
      <c r="L3433" s="8" t="inlineStr">
        <is>
          <t>ไม่มี VAT</t>
        </is>
      </c>
    </row>
    <row r="3434">
      <c r="B3434" s="6" t="inlineStr">
        <is>
          <t>กระดาษกาว แบบบาง NITTO (5ม้วน)</t>
        </is>
      </c>
      <c r="C3434" s="8" t="inlineStr">
        <is>
          <t>1แถว</t>
        </is>
      </c>
      <c r="D3434" s="9" t="n">
        <v>100</v>
      </c>
      <c r="H3434" s="9" t="n">
        <v>100</v>
      </c>
      <c r="I3434" s="10" t="inlineStr">
        <is>
          <t>ศรีสยาม</t>
        </is>
      </c>
      <c r="J3434" s="161" t="n">
        <v>23321</v>
      </c>
      <c r="L3434" s="8" t="inlineStr">
        <is>
          <t>ไม่มี VAT</t>
        </is>
      </c>
    </row>
    <row r="3435">
      <c r="B3435" s="6" t="inlineStr">
        <is>
          <t>กระดาษกาว แบบบาง NITTO (5ม้วน)</t>
        </is>
      </c>
      <c r="C3435" s="8" t="inlineStr">
        <is>
          <t>1แถว</t>
        </is>
      </c>
      <c r="D3435" s="9" t="n">
        <v>100</v>
      </c>
      <c r="H3435" s="9" t="n">
        <v>100</v>
      </c>
      <c r="I3435" s="10" t="inlineStr">
        <is>
          <t>ศรีสยาม</t>
        </is>
      </c>
      <c r="J3435" s="161" t="n">
        <v>23431</v>
      </c>
      <c r="L3435" s="8" t="inlineStr">
        <is>
          <t>ไม่มี VAT</t>
        </is>
      </c>
    </row>
    <row r="3436">
      <c r="B3436" s="6" t="inlineStr">
        <is>
          <t>กระดาษกาว แบบบาง NITTO (5ม้วน)</t>
        </is>
      </c>
      <c r="C3436" s="8" t="inlineStr">
        <is>
          <t>1แถว</t>
        </is>
      </c>
      <c r="D3436" s="9" t="n">
        <v>100</v>
      </c>
      <c r="H3436" s="9" t="n">
        <v>100</v>
      </c>
      <c r="I3436" s="10" t="inlineStr">
        <is>
          <t>ศรีสยาม</t>
        </is>
      </c>
      <c r="J3436" s="161" t="n">
        <v>23515</v>
      </c>
      <c r="L3436" s="8" t="inlineStr">
        <is>
          <t>ไม่มี VAT</t>
        </is>
      </c>
    </row>
    <row r="3437">
      <c r="B3437" s="6" t="inlineStr">
        <is>
          <t>กระดาษกาว แบบบาง NITTO (5ม้วน)</t>
        </is>
      </c>
      <c r="C3437" s="8" t="inlineStr">
        <is>
          <t>1แถว</t>
        </is>
      </c>
      <c r="D3437" s="9" t="n">
        <v>100</v>
      </c>
      <c r="H3437" s="9" t="n">
        <v>100</v>
      </c>
      <c r="I3437" s="10" t="inlineStr">
        <is>
          <t>ศรีสยาม</t>
        </is>
      </c>
      <c r="J3437" s="161" t="n">
        <v>23584</v>
      </c>
      <c r="L3437" s="8" t="inlineStr">
        <is>
          <t>ไม่มี VAT</t>
        </is>
      </c>
    </row>
    <row r="3438">
      <c r="B3438" s="6" t="inlineStr">
        <is>
          <t>กระดาษกาว แบบบาง NITTO (5ม้วน)</t>
        </is>
      </c>
      <c r="C3438" s="8" t="inlineStr">
        <is>
          <t>1แถว</t>
        </is>
      </c>
      <c r="D3438" s="9" t="n">
        <v>100</v>
      </c>
      <c r="H3438" s="9" t="n">
        <v>100</v>
      </c>
      <c r="I3438" s="10" t="inlineStr">
        <is>
          <t>ศรีสยาม</t>
        </is>
      </c>
      <c r="J3438" s="161" t="n">
        <v>23668</v>
      </c>
      <c r="L3438" s="8" t="inlineStr">
        <is>
          <t>ไม่มี VAT</t>
        </is>
      </c>
    </row>
    <row r="3439">
      <c r="B3439" s="6" t="inlineStr">
        <is>
          <t>กระดาษกาว แบบบาง NITTO (5ม้วน)</t>
        </is>
      </c>
      <c r="C3439" s="8" t="inlineStr">
        <is>
          <t>1แถว</t>
        </is>
      </c>
      <c r="D3439" s="9" t="n">
        <v>100</v>
      </c>
      <c r="H3439" s="9" t="n">
        <v>100</v>
      </c>
      <c r="I3439" s="10" t="inlineStr">
        <is>
          <t>ศรีสยาม</t>
        </is>
      </c>
      <c r="J3439" s="161" t="n">
        <v>23755</v>
      </c>
      <c r="L3439" s="8" t="inlineStr">
        <is>
          <t>ไม่มี VAT</t>
        </is>
      </c>
    </row>
    <row r="3440">
      <c r="B3440" s="6" t="inlineStr">
        <is>
          <t>กระดาษกาว แบบบาง NITTO (5ม้วน)</t>
        </is>
      </c>
      <c r="C3440" s="8" t="inlineStr">
        <is>
          <t>1แถว</t>
        </is>
      </c>
      <c r="D3440" s="9" t="n">
        <v>100</v>
      </c>
      <c r="H3440" s="9" t="n">
        <v>100</v>
      </c>
      <c r="I3440" s="10" t="inlineStr">
        <is>
          <t>ศรีสยาม</t>
        </is>
      </c>
      <c r="J3440" s="161" t="n">
        <v>23850</v>
      </c>
      <c r="L3440" s="8" t="inlineStr">
        <is>
          <t>ไม่มี VAT</t>
        </is>
      </c>
    </row>
    <row r="3441">
      <c r="B3441" s="6" t="inlineStr">
        <is>
          <t>กระดาษกาว แบบบาง NITTO (5ม้วน)</t>
        </is>
      </c>
      <c r="C3441" s="8" t="inlineStr">
        <is>
          <t>1แถว</t>
        </is>
      </c>
      <c r="D3441" s="9" t="n">
        <v>100</v>
      </c>
      <c r="H3441" s="9" t="n">
        <v>100</v>
      </c>
      <c r="I3441" s="10" t="inlineStr">
        <is>
          <t>ศรีสยาม</t>
        </is>
      </c>
      <c r="J3441" s="161" t="n">
        <v>23955</v>
      </c>
      <c r="L3441" s="8" t="inlineStr">
        <is>
          <t>ไม่มี VAT</t>
        </is>
      </c>
    </row>
    <row r="3442">
      <c r="B3442" s="6" t="inlineStr">
        <is>
          <t>กระดาษกาว แบบบาง NITTO (5ม้วน)</t>
        </is>
      </c>
      <c r="C3442" s="8" t="n">
        <v>2</v>
      </c>
      <c r="D3442" s="9" t="n">
        <v>100</v>
      </c>
      <c r="H3442" s="9">
        <f>SUM(D3442*C3442)</f>
        <v/>
      </c>
      <c r="I3442" s="10" t="inlineStr">
        <is>
          <t>ศรีสยาม</t>
        </is>
      </c>
      <c r="J3442" s="161" t="n">
        <v>24741</v>
      </c>
      <c r="L3442" s="8" t="inlineStr">
        <is>
          <t>ราคารวม VAT</t>
        </is>
      </c>
    </row>
    <row r="3444">
      <c r="A3444" s="66" t="inlineStr">
        <is>
          <t>กาวสองหน้า</t>
        </is>
      </c>
      <c r="B3444" s="6" t="inlineStr">
        <is>
          <t>กาว 2 หน้า 12mm x 10 m.</t>
        </is>
      </c>
      <c r="C3444" s="8" t="inlineStr">
        <is>
          <t>50ม้วน</t>
        </is>
      </c>
      <c r="D3444" s="9" t="n">
        <v>95</v>
      </c>
      <c r="H3444" s="9" t="n">
        <v>4750</v>
      </c>
      <c r="I3444" s="10" t="inlineStr">
        <is>
          <t>เบนเวิคส์</t>
        </is>
      </c>
      <c r="J3444" s="161" t="n">
        <v>22433</v>
      </c>
      <c r="L3444" s="8" t="inlineStr">
        <is>
          <t>ราคาที่ลง ยังไม่รวมภาษี</t>
        </is>
      </c>
    </row>
    <row r="3445">
      <c r="B3445" s="6" t="inlineStr">
        <is>
          <t>กาว 2 หน้า 12mm x 10 m. Blackship</t>
        </is>
      </c>
      <c r="C3445" s="8" t="inlineStr">
        <is>
          <t>50ม้วน</t>
        </is>
      </c>
      <c r="D3445" s="9" t="n">
        <v>98</v>
      </c>
      <c r="H3445" s="9" t="n">
        <v>4900</v>
      </c>
      <c r="I3445" s="10" t="inlineStr">
        <is>
          <t>เบนเวิคส์</t>
        </is>
      </c>
      <c r="J3445" s="161" t="n">
        <v>22901</v>
      </c>
      <c r="L3445" s="8" t="inlineStr">
        <is>
          <t>ราคาที่ลง ยังไม่รวมภาษี</t>
        </is>
      </c>
    </row>
    <row r="3446" ht="21" customHeight="1">
      <c r="B3446" s="6" t="inlineStr">
        <is>
          <t>กาวสองหน้า 4299  3M -- แถมม้วนเล็ก ขนาด 12mm*2.5mm 1:1</t>
        </is>
      </c>
      <c r="C3446" s="8" t="inlineStr">
        <is>
          <t>72ม้วน</t>
        </is>
      </c>
      <c r="D3446" s="9" t="n">
        <v>117</v>
      </c>
      <c r="G3446" s="6" t="n"/>
      <c r="H3446" s="9" t="n">
        <v>9013.68</v>
      </c>
      <c r="I3446" s="10" t="inlineStr">
        <is>
          <t>ทาเลนท์</t>
        </is>
      </c>
      <c r="J3446" s="161" t="n">
        <v>22991</v>
      </c>
      <c r="L3446" s="8" t="inlineStr">
        <is>
          <t>ราคารวม VAT @125 บาท</t>
        </is>
      </c>
    </row>
    <row r="3447" ht="21" customHeight="1">
      <c r="B3447" s="6" t="inlineStr">
        <is>
          <t xml:space="preserve">กาวสองหน้า 4299  3M </t>
        </is>
      </c>
      <c r="C3447" s="8" t="inlineStr">
        <is>
          <t>72ม้วน</t>
        </is>
      </c>
      <c r="D3447" s="9" t="n">
        <v>117</v>
      </c>
      <c r="G3447" s="6" t="n"/>
      <c r="H3447" s="9" t="n">
        <v>8424</v>
      </c>
      <c r="I3447" s="10" t="inlineStr">
        <is>
          <t>ทาเลนท์</t>
        </is>
      </c>
      <c r="J3447" s="161" t="n">
        <v>23131</v>
      </c>
      <c r="L3447" s="8" t="inlineStr">
        <is>
          <t>ราคารวม VAT @125 บาท</t>
        </is>
      </c>
    </row>
    <row r="3448" ht="21" customHeight="1">
      <c r="B3448" s="6" t="inlineStr">
        <is>
          <t>กาวสองหน้า 3M 12mm*2.5mm -- แถมฟรี</t>
        </is>
      </c>
      <c r="C3448" s="8" t="inlineStr">
        <is>
          <t>72ม้วน</t>
        </is>
      </c>
      <c r="G3448" s="6" t="n"/>
      <c r="I3448" s="10" t="inlineStr">
        <is>
          <t>ทาเลนท์</t>
        </is>
      </c>
      <c r="J3448" s="161" t="n">
        <v>23131</v>
      </c>
      <c r="L3448" s="8" t="inlineStr">
        <is>
          <t>ราคารวม VAT @125 บาท</t>
        </is>
      </c>
    </row>
    <row r="3449" ht="21" customHeight="1">
      <c r="B3449" s="6" t="inlineStr">
        <is>
          <t xml:space="preserve">กาวสองหน้า 4299  3M </t>
        </is>
      </c>
      <c r="C3449" s="8" t="inlineStr">
        <is>
          <t>72ม้วน</t>
        </is>
      </c>
      <c r="D3449" s="9" t="n">
        <v>117</v>
      </c>
      <c r="G3449" s="6" t="n"/>
      <c r="H3449" s="9" t="n">
        <v>8424</v>
      </c>
      <c r="I3449" s="10" t="inlineStr">
        <is>
          <t>ทาเลนท์</t>
        </is>
      </c>
      <c r="J3449" s="161" t="n">
        <v>23212</v>
      </c>
      <c r="L3449" s="8" t="inlineStr">
        <is>
          <t>ราคารวม VAT @125 บาท</t>
        </is>
      </c>
    </row>
    <row r="3450" ht="21" customHeight="1">
      <c r="B3450" s="6" t="inlineStr">
        <is>
          <t>กาวสองหน้า 3M 12mm*2.5mm -- แถมฟรี</t>
        </is>
      </c>
      <c r="C3450" s="8" t="inlineStr">
        <is>
          <t>72ม้วน</t>
        </is>
      </c>
      <c r="G3450" s="6" t="n"/>
      <c r="I3450" s="10" t="inlineStr">
        <is>
          <t>ทาเลนท์</t>
        </is>
      </c>
      <c r="J3450" s="161" t="n">
        <v>23212</v>
      </c>
      <c r="L3450" s="8" t="inlineStr">
        <is>
          <t>ราคารวม VAT @125 บาท</t>
        </is>
      </c>
    </row>
    <row r="3451" ht="21" customHeight="1">
      <c r="B3451" s="6" t="inlineStr">
        <is>
          <t xml:space="preserve">กาวสองหน้า 4299  3M </t>
        </is>
      </c>
      <c r="C3451" s="8" t="inlineStr">
        <is>
          <t>20ม้วน</t>
        </is>
      </c>
      <c r="D3451" s="9" t="n">
        <v>115</v>
      </c>
      <c r="G3451" s="59" t="n"/>
      <c r="H3451" s="9" t="n">
        <v>2300</v>
      </c>
      <c r="I3451" s="10" t="inlineStr">
        <is>
          <t>ทาเลนท์</t>
        </is>
      </c>
      <c r="J3451" s="161" t="n">
        <v>23392</v>
      </c>
      <c r="L3451" s="8" t="inlineStr">
        <is>
          <t>ราคารวม VAT @125 บาท</t>
        </is>
      </c>
    </row>
    <row r="3452" ht="21" customHeight="1">
      <c r="B3452" s="6" t="inlineStr">
        <is>
          <t xml:space="preserve">กาวสองหน้า 4299  3M </t>
        </is>
      </c>
      <c r="C3452" s="8" t="inlineStr">
        <is>
          <t>72ม้วน</t>
        </is>
      </c>
      <c r="D3452" s="9" t="n">
        <v>115</v>
      </c>
      <c r="G3452" s="6" t="n"/>
      <c r="H3452" s="9" t="n">
        <v>8280</v>
      </c>
      <c r="I3452" s="10" t="inlineStr">
        <is>
          <t>ทาเลนท์</t>
        </is>
      </c>
      <c r="J3452" s="161" t="n">
        <v>23455</v>
      </c>
      <c r="L3452" s="8" t="inlineStr">
        <is>
          <t>ราคารวม VAT @125 บาท</t>
        </is>
      </c>
    </row>
    <row r="3453" ht="21" customHeight="1">
      <c r="B3453" s="6" t="inlineStr">
        <is>
          <t xml:space="preserve">กาวสองหน้า 4299  3M </t>
        </is>
      </c>
      <c r="C3453" s="8" t="inlineStr">
        <is>
          <t>72ม้วน</t>
        </is>
      </c>
      <c r="D3453" s="9" t="n">
        <v>115</v>
      </c>
      <c r="G3453" s="6" t="n"/>
      <c r="H3453" s="9" t="n">
        <v>8280</v>
      </c>
      <c r="I3453" s="10" t="inlineStr">
        <is>
          <t>ทาเลนท์</t>
        </is>
      </c>
      <c r="J3453" s="161" t="n">
        <v>23562</v>
      </c>
      <c r="K3453" s="8" t="inlineStr">
        <is>
          <t>IV6407743</t>
        </is>
      </c>
      <c r="L3453" s="8" t="inlineStr">
        <is>
          <t>ราคารวม VAT @125 บาท</t>
        </is>
      </c>
    </row>
    <row r="3454" ht="21" customHeight="1">
      <c r="B3454" s="6" t="inlineStr">
        <is>
          <t xml:space="preserve">กาวสองหน้า 4299  3M </t>
        </is>
      </c>
      <c r="C3454" s="8" t="inlineStr">
        <is>
          <t>72ม้วน</t>
        </is>
      </c>
      <c r="D3454" s="9" t="n">
        <v>115</v>
      </c>
      <c r="G3454" s="6" t="n"/>
      <c r="H3454" s="9" t="n">
        <v>8280</v>
      </c>
      <c r="I3454" s="10" t="inlineStr">
        <is>
          <t>ทาเลนท์</t>
        </is>
      </c>
      <c r="J3454" s="161" t="n">
        <v>23760</v>
      </c>
      <c r="K3454" s="8" t="inlineStr">
        <is>
          <t>IV6501154</t>
        </is>
      </c>
      <c r="L3454" s="8" t="inlineStr">
        <is>
          <t>ราคารวม VAT @125 บาท</t>
        </is>
      </c>
    </row>
    <row r="3455" ht="21" customHeight="1">
      <c r="B3455" s="6" t="inlineStr">
        <is>
          <t>กาวสองหน้า Hammer 12mm</t>
        </is>
      </c>
      <c r="C3455" s="8" t="inlineStr">
        <is>
          <t>24ม้วน</t>
        </is>
      </c>
      <c r="D3455" s="9" t="n">
        <v>165</v>
      </c>
      <c r="F3455" s="8" t="n">
        <v>30</v>
      </c>
      <c r="G3455" s="6" t="n"/>
      <c r="H3455" s="9" t="n">
        <v>2775</v>
      </c>
      <c r="I3455" s="10" t="inlineStr">
        <is>
          <t>ออโต้เทรด</t>
        </is>
      </c>
      <c r="J3455" s="161" t="n">
        <v>23901</v>
      </c>
      <c r="K3455" s="8" t="inlineStr">
        <is>
          <t>IV1417133</t>
        </is>
      </c>
      <c r="L3455" s="8" t="inlineStr">
        <is>
          <t>ราคารวม VAT @125 บาท</t>
        </is>
      </c>
    </row>
    <row r="3456" ht="21" customHeight="1">
      <c r="B3456" s="6" t="inlineStr">
        <is>
          <t xml:space="preserve">กาวสองหน้า 3M (70*40ม้วน)+ค่าส่ง 99 บาท </t>
        </is>
      </c>
      <c r="C3456" s="8" t="inlineStr">
        <is>
          <t>40ม้วน</t>
        </is>
      </c>
      <c r="D3456" s="9" t="n">
        <v>70</v>
      </c>
      <c r="G3456" s="6" t="n"/>
      <c r="H3456" s="9" t="n">
        <v>2899</v>
      </c>
      <c r="I3456" s="10" t="inlineStr">
        <is>
          <t>ลาซาด้า</t>
        </is>
      </c>
      <c r="J3456" s="161" t="n">
        <v>24189</v>
      </c>
    </row>
    <row r="3457" ht="21" customHeight="1">
      <c r="B3457" s="6" t="inlineStr">
        <is>
          <t xml:space="preserve">กาวสองหน้า 3M (70*40ม้วน)+ค่าส่ง 99 บาท </t>
        </is>
      </c>
      <c r="C3457" s="8" t="inlineStr">
        <is>
          <t>40ม้วน</t>
        </is>
      </c>
      <c r="D3457" s="9" t="n">
        <v>70</v>
      </c>
      <c r="G3457" s="6" t="n"/>
      <c r="H3457" s="9" t="n">
        <v>2899</v>
      </c>
      <c r="I3457" s="10" t="inlineStr">
        <is>
          <t>ลาซาด้า</t>
        </is>
      </c>
      <c r="J3457" s="161" t="n">
        <v>24189</v>
      </c>
    </row>
    <row r="3458" ht="21" customHeight="1">
      <c r="B3458" s="6" t="inlineStr">
        <is>
          <t xml:space="preserve">กาวสองหน้า 3M (65*40ม้วน)+ค่าส่ง 99 บาท </t>
        </is>
      </c>
      <c r="C3458" s="8" t="inlineStr">
        <is>
          <t>40ม้วน</t>
        </is>
      </c>
      <c r="D3458" s="9" t="n">
        <v>65</v>
      </c>
      <c r="G3458" s="6" t="n"/>
      <c r="H3458" s="9" t="n">
        <v>2699</v>
      </c>
      <c r="I3458" s="10" t="inlineStr">
        <is>
          <t>ลาซาด้า</t>
        </is>
      </c>
      <c r="J3458" s="161" t="n">
        <v>24307</v>
      </c>
    </row>
    <row r="3459" ht="21" customHeight="1">
      <c r="B3459" s="6" t="inlineStr">
        <is>
          <t xml:space="preserve">กาวสองหน้า 3M (65*40ม้วน)+ค่าส่ง 99 บาท </t>
        </is>
      </c>
      <c r="C3459" s="8" t="inlineStr">
        <is>
          <t>40ม้วน</t>
        </is>
      </c>
      <c r="D3459" s="9" t="n">
        <v>65</v>
      </c>
      <c r="G3459" s="6" t="n"/>
      <c r="H3459" s="9" t="n">
        <v>2699</v>
      </c>
      <c r="I3459" s="10" t="inlineStr">
        <is>
          <t>ลาซาด้า</t>
        </is>
      </c>
      <c r="J3459" s="161" t="n">
        <v>24307</v>
      </c>
    </row>
    <row r="3460" ht="21" customHeight="1">
      <c r="B3460" s="6" t="inlineStr">
        <is>
          <t>กาวสองหน้า 3M (ราคารวมค่าส่ง)</t>
        </is>
      </c>
      <c r="C3460" s="8" t="n">
        <v>40</v>
      </c>
      <c r="D3460" s="9" t="n">
        <v>50.78</v>
      </c>
      <c r="G3460" s="6" t="n"/>
      <c r="H3460" s="9">
        <f>SUM(D3460*C3460)</f>
        <v/>
      </c>
      <c r="I3460" s="10" t="inlineStr">
        <is>
          <t>Shopee</t>
        </is>
      </c>
      <c r="J3460" s="161" t="n">
        <v>24446</v>
      </c>
    </row>
    <row r="3461" ht="21" customHeight="1">
      <c r="B3461" s="6" t="inlineStr">
        <is>
          <t>กาวสองหน้า 3M (ราคารวมค่าส่ง)</t>
        </is>
      </c>
      <c r="C3461" s="8" t="n">
        <v>40</v>
      </c>
      <c r="D3461" s="9" t="n">
        <v>63.9825</v>
      </c>
      <c r="G3461" s="6" t="n"/>
      <c r="H3461" s="9">
        <f>SUM(D3461*C3461)</f>
        <v/>
      </c>
      <c r="I3461" s="10" t="inlineStr">
        <is>
          <t>ลาซาด้า</t>
        </is>
      </c>
      <c r="J3461" s="161" t="n">
        <v>24446</v>
      </c>
    </row>
    <row r="3462" ht="21" customHeight="1">
      <c r="B3462" s="6" t="inlineStr">
        <is>
          <t>กาวสองหน้า 3M (ราคารวมค่าส่ง)</t>
        </is>
      </c>
      <c r="C3462" s="8" t="n">
        <v>80</v>
      </c>
      <c r="D3462" s="9" t="n">
        <v>63.4</v>
      </c>
      <c r="G3462" s="6" t="n"/>
      <c r="H3462" s="9">
        <f>SUM(D3462*C3462)</f>
        <v/>
      </c>
      <c r="I3462" s="10" t="inlineStr">
        <is>
          <t>Shopee</t>
        </is>
      </c>
      <c r="J3462" s="161" t="n">
        <v>24585</v>
      </c>
    </row>
    <row r="3463" ht="21" customHeight="1">
      <c r="B3463" s="6" t="inlineStr">
        <is>
          <t>กาวสองหน้า 3M (ราคารวมค่าส่ง)</t>
        </is>
      </c>
      <c r="C3463" s="8" t="n">
        <v>83</v>
      </c>
      <c r="D3463" s="9" t="n">
        <v>62.0723</v>
      </c>
      <c r="G3463" s="6" t="n"/>
      <c r="H3463" s="9">
        <f>SUM(D3463*C3463)</f>
        <v/>
      </c>
      <c r="I3463" s="10" t="inlineStr">
        <is>
          <t>Shopee</t>
        </is>
      </c>
      <c r="J3463" s="161" t="n">
        <v>24714</v>
      </c>
    </row>
    <row r="3464" ht="21" customHeight="1">
      <c r="B3464" s="6" t="inlineStr">
        <is>
          <t>กาวสองหน้า 3M (ราคารวมค่าส่ง)</t>
        </is>
      </c>
      <c r="C3464" s="8" t="n">
        <v>80</v>
      </c>
      <c r="D3464" s="9" t="n">
        <v>52.48</v>
      </c>
      <c r="G3464" s="6" t="n"/>
      <c r="H3464" s="9">
        <f>SUM(D3464*C3464)</f>
        <v/>
      </c>
      <c r="I3464" s="10" t="inlineStr">
        <is>
          <t>Shopee</t>
        </is>
      </c>
      <c r="J3464" s="161" t="n">
        <v>24844</v>
      </c>
    </row>
    <row r="3465" ht="21" customHeight="1">
      <c r="B3465" s="6" t="inlineStr">
        <is>
          <t>กาวสองหน้า 3M (ราคารวมค่าส่ง)</t>
        </is>
      </c>
      <c r="C3465" s="8" t="n">
        <v>80</v>
      </c>
      <c r="D3465" s="9" t="n">
        <v>49.625</v>
      </c>
      <c r="G3465" s="6" t="n"/>
      <c r="H3465" s="9">
        <f>SUM(D3465*C3465)</f>
        <v/>
      </c>
      <c r="I3465" s="10" t="inlineStr">
        <is>
          <t>Shopee</t>
        </is>
      </c>
      <c r="J3465" s="161" t="n">
        <v>24982</v>
      </c>
    </row>
    <row r="3466" ht="21" customHeight="1">
      <c r="B3466" s="6" t="inlineStr">
        <is>
          <t>กาวสองหน้า 3M (ราคารวมค่าส่ง)</t>
        </is>
      </c>
      <c r="C3466" s="8" t="n">
        <v>80</v>
      </c>
      <c r="D3466" s="9" t="n">
        <v>48</v>
      </c>
      <c r="G3466" s="6" t="n"/>
      <c r="H3466" s="9">
        <f>SUM(D3466*C3466)</f>
        <v/>
      </c>
      <c r="I3466" s="10" t="inlineStr">
        <is>
          <t>Shopee</t>
        </is>
      </c>
      <c r="J3466" s="161" t="n">
        <v>25129</v>
      </c>
    </row>
    <row r="3468">
      <c r="A3468" s="66" t="inlineStr">
        <is>
          <t>ม้วนเทปกาวตีเส้นไวนิล</t>
        </is>
      </c>
      <c r="B3468" s="6" t="inlineStr">
        <is>
          <t xml:space="preserve">ม้วนเทปกาวตีเส้นไวนิล สีน้ำเงิน ติดพ่นสี (6มม.*36หลา) </t>
        </is>
      </c>
      <c r="C3468" s="8" t="inlineStr">
        <is>
          <t>12ม้วน</t>
        </is>
      </c>
      <c r="D3468" s="9" t="n">
        <v>115</v>
      </c>
      <c r="H3468" s="9" t="n">
        <v>1380</v>
      </c>
      <c r="I3468" s="10" t="inlineStr">
        <is>
          <t>ไทยนคร</t>
        </is>
      </c>
      <c r="J3468" s="161" t="n">
        <v>22467</v>
      </c>
      <c r="L3468" s="8" t="inlineStr">
        <is>
          <t>ราคาที่ลง ยังไม่รวมภาษี</t>
        </is>
      </c>
    </row>
    <row r="3469">
      <c r="B3469" s="6" t="inlineStr">
        <is>
          <t xml:space="preserve">ม้วนเทปกาวตีเส้นไวนิล สีน้ำเงิน ติดพ่นสี (6มม.*36หลา) </t>
        </is>
      </c>
      <c r="C3469" s="8" t="inlineStr">
        <is>
          <t>12ม้วน</t>
        </is>
      </c>
      <c r="D3469" s="9" t="n">
        <v>90</v>
      </c>
      <c r="H3469" s="9" t="n">
        <v>1080</v>
      </c>
      <c r="I3469" s="10" t="inlineStr">
        <is>
          <t>ไทยนคร</t>
        </is>
      </c>
      <c r="J3469" s="161" t="n">
        <v>22853</v>
      </c>
      <c r="L3469" s="8" t="inlineStr">
        <is>
          <t>ราคาที่ลง ยังไม่รวมภาษี</t>
        </is>
      </c>
    </row>
    <row r="3470" ht="21" customHeight="1">
      <c r="B3470" s="6" t="inlineStr">
        <is>
          <t>เทปไวนิลตีเส้น 6mm*10เมตร Hammer</t>
        </is>
      </c>
      <c r="C3470" s="8" t="inlineStr">
        <is>
          <t>11ม้วน</t>
        </is>
      </c>
      <c r="D3470" s="9" t="n">
        <v>95</v>
      </c>
      <c r="G3470" s="9" t="n"/>
      <c r="H3470" s="10" t="n">
        <v>1045</v>
      </c>
      <c r="I3470" s="10" t="inlineStr">
        <is>
          <t>ทาเลนท์</t>
        </is>
      </c>
      <c r="J3470" s="161" t="n">
        <v>242358</v>
      </c>
      <c r="L3470" s="8" t="inlineStr">
        <is>
          <t>ราคาที่ลง ยังไม่รวมภาษี</t>
        </is>
      </c>
    </row>
    <row r="3471" ht="21" customHeight="1">
      <c r="B3471" s="6" t="inlineStr">
        <is>
          <t>เทปไวนิลตีเส้น 6mm*10เมตร Hammer</t>
        </is>
      </c>
      <c r="C3471" s="8" t="inlineStr">
        <is>
          <t>6ม้วน</t>
        </is>
      </c>
      <c r="D3471" s="9" t="n">
        <v>95</v>
      </c>
      <c r="G3471" s="9" t="n"/>
      <c r="H3471" s="10" t="n">
        <v>570</v>
      </c>
      <c r="I3471" s="10" t="inlineStr">
        <is>
          <t>ทาเลนท์</t>
        </is>
      </c>
      <c r="J3471" s="161" t="n">
        <v>242358</v>
      </c>
      <c r="L3471" s="8" t="inlineStr">
        <is>
          <t>ราคาที่ลง ยังไม่รวมภาษี</t>
        </is>
      </c>
    </row>
    <row r="3472" ht="21" customHeight="1">
      <c r="B3472" s="6" t="inlineStr">
        <is>
          <t>เทปไวนิลตีเส้น 6mm*10เมตร Hammer</t>
        </is>
      </c>
      <c r="C3472" s="8" t="inlineStr">
        <is>
          <t>5ม้วน</t>
        </is>
      </c>
      <c r="D3472" s="9" t="n">
        <v>95</v>
      </c>
      <c r="G3472" s="9" t="n"/>
      <c r="H3472" s="10" t="n">
        <v>475</v>
      </c>
      <c r="I3472" s="10" t="inlineStr">
        <is>
          <t>ทาเลนท์</t>
        </is>
      </c>
      <c r="J3472" s="161" t="n">
        <v>23447</v>
      </c>
      <c r="L3472" s="8" t="inlineStr">
        <is>
          <t>ราคาที่ลง ยังไม่รวมภาษี</t>
        </is>
      </c>
    </row>
    <row r="3473" ht="21" customHeight="1">
      <c r="B3473" s="6" t="inlineStr">
        <is>
          <t>เทปไวนิลตีเส้น 6mm*10เมตร Hammer</t>
        </is>
      </c>
      <c r="C3473" s="8" t="inlineStr">
        <is>
          <t>5ม้วน</t>
        </is>
      </c>
      <c r="D3473" s="9" t="n">
        <v>95</v>
      </c>
      <c r="G3473" s="9" t="n"/>
      <c r="H3473" s="10" t="n">
        <v>475</v>
      </c>
      <c r="I3473" s="10" t="inlineStr">
        <is>
          <t>ทาเลนท์</t>
        </is>
      </c>
      <c r="J3473" s="161" t="n">
        <v>23501</v>
      </c>
      <c r="L3473" s="8" t="inlineStr">
        <is>
          <t>ราคาที่ลง ยังไม่รวมภาษี</t>
        </is>
      </c>
    </row>
    <row r="3474" ht="21" customHeight="1">
      <c r="B3474" s="6" t="inlineStr">
        <is>
          <t>เทปไวนิลตีเส้น 6mm*10เมตร Hammer</t>
        </is>
      </c>
      <c r="C3474" s="8" t="inlineStr">
        <is>
          <t>5ม้วน</t>
        </is>
      </c>
      <c r="D3474" s="9" t="n">
        <v>95</v>
      </c>
      <c r="G3474" s="9" t="n"/>
      <c r="H3474" s="10" t="n">
        <v>475</v>
      </c>
      <c r="I3474" s="10" t="inlineStr">
        <is>
          <t>ทาเลนท์</t>
        </is>
      </c>
      <c r="J3474" s="161" t="n">
        <v>23682</v>
      </c>
      <c r="K3474" s="8" t="inlineStr">
        <is>
          <t>IV6414395</t>
        </is>
      </c>
      <c r="L3474" s="8" t="inlineStr">
        <is>
          <t>ราคาที่ลง ยังไม่รวมภาษี</t>
        </is>
      </c>
    </row>
    <row r="3475" ht="21" customHeight="1">
      <c r="B3475" s="6" t="inlineStr">
        <is>
          <t>เทปไวนิลตีเส้น 6mm*10เมตร Hammer</t>
        </is>
      </c>
      <c r="C3475" s="8" t="inlineStr">
        <is>
          <t>10ม้วน</t>
        </is>
      </c>
      <c r="D3475" s="9" t="n">
        <v>95</v>
      </c>
      <c r="G3475" s="9" t="n"/>
      <c r="H3475" s="10" t="n">
        <v>950</v>
      </c>
      <c r="I3475" s="10" t="inlineStr">
        <is>
          <t>ทาเลนท์</t>
        </is>
      </c>
      <c r="J3475" s="161" t="n">
        <v>23749</v>
      </c>
      <c r="K3475" s="8" t="inlineStr">
        <is>
          <t>IV6500379</t>
        </is>
      </c>
      <c r="L3475" s="8" t="inlineStr">
        <is>
          <t>ราคาที่ลง ยังไม่รวมภาษี</t>
        </is>
      </c>
    </row>
    <row r="3476" ht="21" customHeight="1">
      <c r="B3476" s="6" t="inlineStr">
        <is>
          <t>เทปไวนิลตีเส้น 6mm*36เมตร 3M</t>
        </is>
      </c>
      <c r="C3476" s="8" t="inlineStr">
        <is>
          <t>7ม้วน</t>
        </is>
      </c>
      <c r="D3476" s="9" t="n">
        <v>143</v>
      </c>
      <c r="G3476" s="9" t="n"/>
      <c r="H3476" s="10" t="n">
        <v>1001</v>
      </c>
      <c r="I3476" s="10" t="inlineStr">
        <is>
          <t>ทาเลนท์</t>
        </is>
      </c>
      <c r="J3476" s="161" t="n">
        <v>23914</v>
      </c>
      <c r="K3476" s="8" t="inlineStr">
        <is>
          <t>IB3002884</t>
        </is>
      </c>
      <c r="L3476" s="8" t="inlineStr">
        <is>
          <t>ราคาที่ลง ยังไม่รวมภาษี</t>
        </is>
      </c>
    </row>
    <row r="3477" ht="21" customHeight="1">
      <c r="B3477" s="6" t="inlineStr">
        <is>
          <t>เทปไวนิลตีเส้น 6mm*36เมตร 3M</t>
        </is>
      </c>
      <c r="C3477" s="8" t="inlineStr">
        <is>
          <t>5ม้วน</t>
        </is>
      </c>
      <c r="D3477" s="9" t="n">
        <v>109</v>
      </c>
      <c r="G3477" s="9" t="n"/>
      <c r="H3477" s="10" t="n">
        <v>545</v>
      </c>
      <c r="I3477" s="10" t="inlineStr">
        <is>
          <t>ทาเลนท์</t>
        </is>
      </c>
      <c r="J3477" s="161" t="n">
        <v>23979</v>
      </c>
      <c r="K3477" s="8" t="inlineStr">
        <is>
          <t>IV2202681</t>
        </is>
      </c>
      <c r="L3477" s="8" t="inlineStr">
        <is>
          <t>ราคาที่ลง ยังไม่รวมภาษี</t>
        </is>
      </c>
    </row>
    <row r="3478" ht="21" customHeight="1">
      <c r="B3478" s="6" t="inlineStr">
        <is>
          <t>เทปไวนิลตีเส้น 6mm*10เมตร Hammer</t>
        </is>
      </c>
      <c r="C3478" s="8" t="inlineStr">
        <is>
          <t>6ม้วน</t>
        </is>
      </c>
      <c r="D3478" s="9" t="n">
        <v>80</v>
      </c>
      <c r="G3478" s="9" t="n"/>
      <c r="H3478" s="10" t="n">
        <v>480</v>
      </c>
      <c r="I3478" s="10" t="inlineStr">
        <is>
          <t>ทาเลนท์</t>
        </is>
      </c>
      <c r="J3478" s="161" t="n">
        <v>24019</v>
      </c>
      <c r="K3478" s="8" t="inlineStr">
        <is>
          <t>IB3004247</t>
        </is>
      </c>
      <c r="L3478" s="8" t="inlineStr">
        <is>
          <t>ราคาที่ลง ยังไม่รวมภาษี</t>
        </is>
      </c>
    </row>
    <row r="3479" ht="21" customHeight="1">
      <c r="B3479" s="6" t="inlineStr">
        <is>
          <t>เทปไวนิลตีเส้น 6mm*10เมตร Hammer</t>
        </is>
      </c>
      <c r="C3479" s="8" t="inlineStr">
        <is>
          <t>2ม้วน</t>
        </is>
      </c>
      <c r="D3479" s="9" t="n">
        <v>95</v>
      </c>
      <c r="G3479" s="9" t="n"/>
      <c r="H3479" s="10" t="n">
        <v>190</v>
      </c>
      <c r="I3479" s="10" t="inlineStr">
        <is>
          <t>ทาเลนท์</t>
        </is>
      </c>
      <c r="J3479" s="161" t="n">
        <v>24153</v>
      </c>
      <c r="K3479" s="8" t="inlineStr">
        <is>
          <t>IB3006977</t>
        </is>
      </c>
      <c r="L3479" s="8" t="inlineStr">
        <is>
          <t>ราคาที่ลง ยังไม่รวมภาษี</t>
        </is>
      </c>
    </row>
    <row r="3480" ht="21" customHeight="1">
      <c r="B3480" s="6" t="inlineStr">
        <is>
          <t>เทปไวนิลตีเส้น 6mm*10เมตร Hammer</t>
        </is>
      </c>
      <c r="C3480" s="8" t="inlineStr">
        <is>
          <t>4ม้วน</t>
        </is>
      </c>
      <c r="D3480" s="9" t="n">
        <v>95</v>
      </c>
      <c r="G3480" s="9" t="n"/>
      <c r="H3480" s="10" t="n">
        <v>380</v>
      </c>
      <c r="I3480" s="10" t="inlineStr">
        <is>
          <t>ทาเลนท์</t>
        </is>
      </c>
      <c r="J3480" s="161" t="n">
        <v>24156</v>
      </c>
      <c r="K3480" s="8" t="inlineStr">
        <is>
          <t>IB3007149</t>
        </is>
      </c>
      <c r="L3480" s="8" t="inlineStr">
        <is>
          <t>ราคาที่ลง ยังไม่รวมภาษี</t>
        </is>
      </c>
    </row>
    <row r="3481" ht="21" customHeight="1">
      <c r="B3481" s="6" t="inlineStr">
        <is>
          <t>เทปไวนิลตีเส้น 6mm*10เมตร Hammer</t>
        </is>
      </c>
      <c r="C3481" s="8" t="inlineStr">
        <is>
          <t>6ม้วน</t>
        </is>
      </c>
      <c r="D3481" s="9" t="n">
        <v>95</v>
      </c>
      <c r="G3481" s="9" t="n"/>
      <c r="H3481" s="10" t="n">
        <v>570</v>
      </c>
      <c r="I3481" s="10" t="inlineStr">
        <is>
          <t>ทาเลนท์</t>
        </is>
      </c>
      <c r="J3481" s="161" t="n">
        <v>24196</v>
      </c>
      <c r="K3481" s="8" t="inlineStr">
        <is>
          <t>IB3009634</t>
        </is>
      </c>
      <c r="L3481" s="8" t="inlineStr">
        <is>
          <t>ราคาที่ลง ยังไม่รวมภาษี</t>
        </is>
      </c>
    </row>
    <row r="3482" ht="21" customHeight="1">
      <c r="B3482" s="6" t="inlineStr">
        <is>
          <t>เทปไวนิลตีเส้น 6mm*10เมตร Hammer</t>
        </is>
      </c>
      <c r="C3482" s="8" t="n">
        <v>10</v>
      </c>
      <c r="D3482" s="9" t="n">
        <v>95</v>
      </c>
      <c r="G3482" s="9" t="n"/>
      <c r="H3482" s="10">
        <f>SUM(D3482*C3482)</f>
        <v/>
      </c>
      <c r="I3482" s="10" t="inlineStr">
        <is>
          <t>ทาเลนท์</t>
        </is>
      </c>
      <c r="J3482" s="161" t="n">
        <v>24404</v>
      </c>
      <c r="K3482" s="8" t="inlineStr">
        <is>
          <t>IV2222487</t>
        </is>
      </c>
      <c r="L3482" s="8" t="inlineStr">
        <is>
          <t>ราคาที่ลง ยังไม่รวมภาษี</t>
        </is>
      </c>
    </row>
    <row r="3483" ht="21" customHeight="1">
      <c r="B3483" s="6" t="inlineStr">
        <is>
          <t>เทปไวนิลตีเส้น 6mm*10เมตร Hammer</t>
        </is>
      </c>
      <c r="C3483" s="8" t="n">
        <v>10</v>
      </c>
      <c r="D3483" s="9" t="n">
        <v>95</v>
      </c>
      <c r="G3483" s="9" t="n"/>
      <c r="H3483" s="10">
        <f>SUM(D3483*C3483)</f>
        <v/>
      </c>
      <c r="I3483" s="10" t="inlineStr">
        <is>
          <t>ทาเลนท์</t>
        </is>
      </c>
      <c r="J3483" s="161" t="n">
        <v>24412</v>
      </c>
      <c r="K3483" s="8" t="inlineStr">
        <is>
          <t>IV2222917</t>
        </is>
      </c>
      <c r="L3483" s="8" t="inlineStr">
        <is>
          <t>ราคาที่ลง ยังไม่รวมภาษี</t>
        </is>
      </c>
    </row>
    <row r="3484" ht="21" customHeight="1">
      <c r="B3484" s="6" t="inlineStr">
        <is>
          <t>เทปไวนิลตีเส้น 6mm*10เมตร Hammer</t>
        </is>
      </c>
      <c r="C3484" s="8" t="n">
        <v>5</v>
      </c>
      <c r="D3484" s="9" t="n">
        <v>95</v>
      </c>
      <c r="G3484" s="9" t="n"/>
      <c r="H3484" s="10">
        <f>SUM(D3484*C3484)</f>
        <v/>
      </c>
      <c r="I3484" s="10" t="inlineStr">
        <is>
          <t>ทาเลนท์</t>
        </is>
      </c>
      <c r="J3484" s="161" t="n">
        <v>24728</v>
      </c>
      <c r="K3484" s="8" t="inlineStr">
        <is>
          <t>IV2240627</t>
        </is>
      </c>
      <c r="L3484" s="8" t="inlineStr">
        <is>
          <t>ราคาที่ลง ยังไม่รวมภาษี</t>
        </is>
      </c>
    </row>
    <row r="3485" ht="21" customHeight="1">
      <c r="B3485" s="6" t="inlineStr">
        <is>
          <t>เทปไวนิลตีเส้น 6mm*10เมตร Hammer</t>
        </is>
      </c>
      <c r="C3485" s="8" t="n">
        <v>20</v>
      </c>
      <c r="D3485" s="9" t="n">
        <v>95</v>
      </c>
      <c r="G3485" s="9" t="n"/>
      <c r="H3485" s="10">
        <f>SUM(D3485*C3485)</f>
        <v/>
      </c>
      <c r="I3485" s="10" t="inlineStr">
        <is>
          <t>ทาเลนท์</t>
        </is>
      </c>
      <c r="J3485" s="161" t="n">
        <v>24845</v>
      </c>
      <c r="K3485" s="8" t="inlineStr">
        <is>
          <t>IV2240627</t>
        </is>
      </c>
      <c r="L3485" s="8" t="inlineStr">
        <is>
          <t>ราคาที่ลง ยังไม่รวมภาษี</t>
        </is>
      </c>
    </row>
    <row r="3486" ht="21" customHeight="1">
      <c r="B3486" s="6" t="inlineStr">
        <is>
          <t>เทปไวนิลตีเส้น 6mm*10เมตร Hammer</t>
        </is>
      </c>
      <c r="C3486" s="8" t="n">
        <v>10</v>
      </c>
      <c r="D3486" s="9" t="n">
        <v>95</v>
      </c>
      <c r="E3486" s="9">
        <f>SUM(C3486*D3486)</f>
        <v/>
      </c>
      <c r="G3486" s="9" t="inlineStr">
        <is>
          <t>ยอดรวม VAT =</t>
        </is>
      </c>
      <c r="H3486" s="10">
        <f>SUM(E3486*O3486/N3486)</f>
        <v/>
      </c>
      <c r="I3486" s="10" t="inlineStr">
        <is>
          <t>ทาเลนท์</t>
        </is>
      </c>
      <c r="J3486" s="161" t="n">
        <v>25098</v>
      </c>
      <c r="K3486" s="8" t="inlineStr">
        <is>
          <t>IV6815079</t>
        </is>
      </c>
      <c r="N3486" s="6" t="n">
        <v>100</v>
      </c>
      <c r="O3486" s="6" t="n">
        <v>107</v>
      </c>
    </row>
    <row r="3488">
      <c r="A3488" s="66" t="inlineStr">
        <is>
          <t>ลูกขัดขนแกะ</t>
        </is>
      </c>
      <c r="B3488" s="6" t="inlineStr">
        <is>
          <t>ลูกขัดขนแกะ 3M  สีขาว</t>
        </is>
      </c>
      <c r="C3488" s="8" t="inlineStr">
        <is>
          <t>6ลูก</t>
        </is>
      </c>
      <c r="D3488" s="9" t="n">
        <v>457</v>
      </c>
      <c r="H3488" s="9" t="n">
        <v>2742</v>
      </c>
      <c r="I3488" s="10" t="inlineStr">
        <is>
          <t>ทาเลนท์</t>
        </is>
      </c>
      <c r="J3488" s="161" t="n">
        <v>22380</v>
      </c>
      <c r="L3488" s="8" t="inlineStr">
        <is>
          <t>ราคาที่ลง ยังไม่รวมภาษี</t>
        </is>
      </c>
    </row>
    <row r="3489">
      <c r="B3489" s="6" t="inlineStr">
        <is>
          <t>ลูกขัดขนแกะ 3M  สีขาว</t>
        </is>
      </c>
      <c r="C3489" s="8" t="inlineStr">
        <is>
          <t>6ลูก</t>
        </is>
      </c>
      <c r="D3489" s="9" t="n">
        <v>457</v>
      </c>
      <c r="H3489" s="9" t="n">
        <v>2742</v>
      </c>
      <c r="I3489" s="10" t="inlineStr">
        <is>
          <t>ทาเลนท์</t>
        </is>
      </c>
      <c r="J3489" s="161" t="n">
        <v>22451</v>
      </c>
      <c r="L3489" s="8" t="inlineStr">
        <is>
          <t>ราคาที่ลง ยังไม่รวมภาษี</t>
        </is>
      </c>
    </row>
    <row r="3490">
      <c r="B3490" s="6" t="inlineStr">
        <is>
          <t>ลูกขัดขนแกะ 3M  สีขาว</t>
        </is>
      </c>
      <c r="C3490" s="8" t="inlineStr">
        <is>
          <t>6ลูก</t>
        </is>
      </c>
      <c r="D3490" s="9" t="n">
        <v>457</v>
      </c>
      <c r="H3490" s="9" t="n">
        <v>2742</v>
      </c>
      <c r="I3490" s="10" t="inlineStr">
        <is>
          <t>ทาเลนท์</t>
        </is>
      </c>
      <c r="J3490" s="161" t="n">
        <v>22871</v>
      </c>
      <c r="L3490" s="8" t="inlineStr">
        <is>
          <t>ราคาที่ลง ยังไม่รวมภาษี</t>
        </is>
      </c>
    </row>
    <row r="3491">
      <c r="B3491" s="6" t="inlineStr">
        <is>
          <t>ลูกขัดขนแกะ 3M  สีขาว</t>
        </is>
      </c>
      <c r="C3491" s="8" t="inlineStr">
        <is>
          <t>6ลูก</t>
        </is>
      </c>
      <c r="D3491" s="9" t="n">
        <v>457</v>
      </c>
      <c r="H3491" s="9" t="n">
        <v>2742</v>
      </c>
      <c r="I3491" s="10" t="inlineStr">
        <is>
          <t>ทาเลนท์</t>
        </is>
      </c>
      <c r="J3491" s="161" t="n">
        <v>22941</v>
      </c>
      <c r="L3491" s="8" t="inlineStr">
        <is>
          <t>ราคาที่ลง ยังไม่รวมภาษี</t>
        </is>
      </c>
    </row>
    <row r="3492">
      <c r="B3492" s="6" t="inlineStr">
        <is>
          <t>ลูกขัดขนแกะ 3M  สีขาว  3M  5701</t>
        </is>
      </c>
      <c r="C3492" s="8" t="inlineStr">
        <is>
          <t>6ลูก</t>
        </is>
      </c>
      <c r="D3492" s="9" t="n">
        <v>445</v>
      </c>
      <c r="H3492" s="9" t="n">
        <v>2670</v>
      </c>
      <c r="I3492" s="10" t="inlineStr">
        <is>
          <t>ทาเลนท์</t>
        </is>
      </c>
      <c r="J3492" s="161" t="n">
        <v>22991</v>
      </c>
      <c r="L3492" s="8" t="inlineStr">
        <is>
          <t>ราคาที่ลง ยังไม่รวมภาษี</t>
        </is>
      </c>
    </row>
    <row r="3493">
      <c r="B3493" s="6" t="inlineStr">
        <is>
          <t>ลูกขัดขนแกะ 3M  สีขาว  3M  5701</t>
        </is>
      </c>
      <c r="C3493" s="8" t="inlineStr">
        <is>
          <t>6ลูก</t>
        </is>
      </c>
      <c r="D3493" s="9" t="n">
        <v>445</v>
      </c>
      <c r="H3493" s="9" t="n">
        <v>2670</v>
      </c>
      <c r="I3493" s="10" t="inlineStr">
        <is>
          <t>ทาเลนท์</t>
        </is>
      </c>
      <c r="J3493" s="161" t="n">
        <v>23062</v>
      </c>
      <c r="L3493" s="8" t="inlineStr">
        <is>
          <t>ราคาที่ลง ยังไม่รวมภาษี</t>
        </is>
      </c>
    </row>
    <row r="3494">
      <c r="B3494" s="6" t="inlineStr">
        <is>
          <t>ลูกขัดขนแกะ 3M  สีขาว  3M  5701</t>
        </is>
      </c>
      <c r="C3494" s="8" t="inlineStr">
        <is>
          <t>6ลูก</t>
        </is>
      </c>
      <c r="D3494" s="9" t="n">
        <v>445</v>
      </c>
      <c r="H3494" s="9" t="n">
        <v>2670</v>
      </c>
      <c r="I3494" s="10" t="inlineStr">
        <is>
          <t>ทาเลนท์</t>
        </is>
      </c>
      <c r="J3494" s="161" t="n">
        <v>23094</v>
      </c>
      <c r="L3494" s="8" t="inlineStr">
        <is>
          <t>ราคาที่ลง ยังไม่รวมภาษี</t>
        </is>
      </c>
    </row>
    <row r="3495">
      <c r="B3495" s="6" t="inlineStr">
        <is>
          <t>ลูกขัดขนแกะ 3M  สีขาว  3M  5701</t>
        </is>
      </c>
      <c r="C3495" s="8" t="inlineStr">
        <is>
          <t>2ลูก</t>
        </is>
      </c>
      <c r="D3495" s="9" t="n">
        <v>445</v>
      </c>
      <c r="H3495" s="9" t="n">
        <v>890</v>
      </c>
      <c r="I3495" s="10" t="inlineStr">
        <is>
          <t>ทาเลนท์</t>
        </is>
      </c>
      <c r="J3495" s="161" t="n">
        <v>23125</v>
      </c>
      <c r="L3495" s="8" t="inlineStr">
        <is>
          <t>ราคาที่ลง ยังไม่รวมภาษี</t>
        </is>
      </c>
    </row>
    <row r="3496">
      <c r="B3496" s="6" t="inlineStr">
        <is>
          <t>ลูกขัดขนแกะ 3M  สีขาว  3M  5701</t>
        </is>
      </c>
      <c r="C3496" s="8" t="inlineStr">
        <is>
          <t>6ลูก</t>
        </is>
      </c>
      <c r="D3496" s="9" t="n">
        <v>445</v>
      </c>
      <c r="H3496" s="9" t="n">
        <v>2670</v>
      </c>
      <c r="I3496" s="10" t="inlineStr">
        <is>
          <t>ทาเลนท์</t>
        </is>
      </c>
      <c r="J3496" s="161" t="n">
        <v>23164</v>
      </c>
      <c r="L3496" s="8" t="inlineStr">
        <is>
          <t>ราคาที่ลง ยังไม่รวมภาษี</t>
        </is>
      </c>
    </row>
    <row r="3497">
      <c r="B3497" s="6" t="inlineStr">
        <is>
          <t>ลูกขัดขนแกะ 3M  สีขาว  3M  5701</t>
        </is>
      </c>
      <c r="C3497" s="8" t="inlineStr">
        <is>
          <t>6ลูก</t>
        </is>
      </c>
      <c r="D3497" s="9" t="n">
        <v>445</v>
      </c>
      <c r="H3497" s="9" t="n">
        <v>2670</v>
      </c>
      <c r="I3497" s="10" t="inlineStr">
        <is>
          <t>ทาเลนท์</t>
        </is>
      </c>
      <c r="J3497" s="161" t="n">
        <v>23244</v>
      </c>
      <c r="L3497" s="8" t="inlineStr">
        <is>
          <t>ราคาที่ลง ยังไม่รวมภาษี</t>
        </is>
      </c>
    </row>
    <row r="3498">
      <c r="B3498" s="6" t="inlineStr">
        <is>
          <t>ลูกขัดขนแกะ 3M  สีขาว  3M  5701</t>
        </is>
      </c>
      <c r="C3498" s="8" t="inlineStr">
        <is>
          <t>3ลูก</t>
        </is>
      </c>
      <c r="D3498" s="9" t="n">
        <v>445</v>
      </c>
      <c r="H3498" s="9" t="n">
        <v>1335</v>
      </c>
      <c r="I3498" s="10" t="inlineStr">
        <is>
          <t>ทาเลนท์</t>
        </is>
      </c>
      <c r="J3498" s="161" t="n">
        <v>23349</v>
      </c>
      <c r="L3498" s="8" t="inlineStr">
        <is>
          <t>ราคาที่ลง ยังไม่รวมภาษี</t>
        </is>
      </c>
    </row>
    <row r="3499">
      <c r="B3499" s="6" t="inlineStr">
        <is>
          <t>ลูกขัดขนแกะ 3M  สีขาว  3M  5701</t>
        </is>
      </c>
      <c r="C3499" s="8" t="inlineStr">
        <is>
          <t>2ลูก</t>
        </is>
      </c>
      <c r="D3499" s="9" t="n">
        <v>445</v>
      </c>
      <c r="H3499" s="9" t="n">
        <v>890</v>
      </c>
      <c r="I3499" s="10" t="inlineStr">
        <is>
          <t>ทาเลนท์</t>
        </is>
      </c>
      <c r="J3499" s="161" t="n">
        <v>23396</v>
      </c>
      <c r="L3499" s="8" t="inlineStr">
        <is>
          <t>ราคาที่ลง ยังไม่รวมภาษี</t>
        </is>
      </c>
    </row>
    <row r="3500">
      <c r="B3500" s="6" t="inlineStr">
        <is>
          <t>ลูกขัดขนแกะ 3M  สีขาว  3M  5701</t>
        </is>
      </c>
      <c r="C3500" s="8" t="inlineStr">
        <is>
          <t>2ลูก</t>
        </is>
      </c>
      <c r="D3500" s="9" t="n">
        <v>445</v>
      </c>
      <c r="H3500" s="9" t="n">
        <v>890</v>
      </c>
      <c r="I3500" s="10" t="inlineStr">
        <is>
          <t>ทาเลนท์</t>
        </is>
      </c>
      <c r="J3500" s="161" t="n">
        <v>23429</v>
      </c>
      <c r="L3500" s="8" t="inlineStr">
        <is>
          <t>ราคาที่ลง ยังไม่รวมภาษี</t>
        </is>
      </c>
    </row>
    <row r="3501">
      <c r="B3501" s="6" t="inlineStr">
        <is>
          <t>ลูกขัดขนแกะ 3M  สีขาว  3M  5701</t>
        </is>
      </c>
      <c r="C3501" s="8" t="inlineStr">
        <is>
          <t>3ลูก</t>
        </is>
      </c>
      <c r="D3501" s="9" t="n">
        <v>445</v>
      </c>
      <c r="H3501" s="9" t="n">
        <v>1335</v>
      </c>
      <c r="I3501" s="10" t="inlineStr">
        <is>
          <t>ทาเลนท์</t>
        </is>
      </c>
      <c r="J3501" s="161" t="n">
        <v>23447</v>
      </c>
      <c r="L3501" s="8" t="inlineStr">
        <is>
          <t>ราคาที่ลง ยังไม่รวมภาษี</t>
        </is>
      </c>
    </row>
    <row r="3502">
      <c r="B3502" s="6" t="inlineStr">
        <is>
          <t>ลูกขัดขนแกะ 3M  สีขาว  3M  5701</t>
        </is>
      </c>
      <c r="C3502" s="8" t="inlineStr">
        <is>
          <t>5ลูก</t>
        </is>
      </c>
      <c r="D3502" s="9" t="n">
        <v>445</v>
      </c>
      <c r="H3502" s="9" t="n">
        <v>2225</v>
      </c>
      <c r="I3502" s="10" t="inlineStr">
        <is>
          <t>ทาเลนท์</t>
        </is>
      </c>
      <c r="J3502" s="161" t="n">
        <v>23500</v>
      </c>
      <c r="L3502" s="8" t="inlineStr">
        <is>
          <t>ราคาที่ลง ยังไม่รวมภาษี</t>
        </is>
      </c>
    </row>
    <row r="3503">
      <c r="B3503" s="6" t="inlineStr">
        <is>
          <t>ลูกขัดขนแกะ 3M  สีขาว  3M  5701</t>
        </is>
      </c>
      <c r="C3503" s="8" t="inlineStr">
        <is>
          <t>4ลูก</t>
        </is>
      </c>
      <c r="D3503" s="9" t="n">
        <v>445</v>
      </c>
      <c r="H3503" s="9" t="n">
        <v>1780</v>
      </c>
      <c r="I3503" s="10" t="inlineStr">
        <is>
          <t>ทาเลนท์</t>
        </is>
      </c>
      <c r="J3503" s="161" t="n">
        <v>23605</v>
      </c>
      <c r="L3503" s="8" t="inlineStr">
        <is>
          <t>ราคาที่ลง ยังไม่รวมภาษี</t>
        </is>
      </c>
    </row>
    <row r="3504">
      <c r="B3504" s="6" t="inlineStr">
        <is>
          <t>ลูกขัดขนแกะ 3M  สีขาว  3M  5701</t>
        </is>
      </c>
      <c r="C3504" s="8" t="inlineStr">
        <is>
          <t>4ลูก</t>
        </is>
      </c>
      <c r="D3504" s="9" t="n">
        <v>445</v>
      </c>
      <c r="H3504" s="9" t="n">
        <v>1780</v>
      </c>
      <c r="I3504" s="10" t="inlineStr">
        <is>
          <t>ทาเลนท์</t>
        </is>
      </c>
      <c r="J3504" s="161" t="n">
        <v>23658</v>
      </c>
      <c r="K3504" s="8" t="inlineStr">
        <is>
          <t>IV6413092</t>
        </is>
      </c>
      <c r="L3504" s="8" t="inlineStr">
        <is>
          <t>ราคาที่ลง ยังไม่รวมภาษี</t>
        </is>
      </c>
    </row>
    <row r="3505">
      <c r="B3505" s="6" t="inlineStr">
        <is>
          <t>ลูกขัดขนแกะ 3M  สีขาว  3M  5701</t>
        </is>
      </c>
      <c r="C3505" s="8" t="inlineStr">
        <is>
          <t>3ลูก</t>
        </is>
      </c>
      <c r="D3505" s="9" t="n">
        <v>445</v>
      </c>
      <c r="H3505" s="9" t="n">
        <v>1335</v>
      </c>
      <c r="I3505" s="10" t="inlineStr">
        <is>
          <t>ทาเลนท์</t>
        </is>
      </c>
      <c r="J3505" s="161" t="n">
        <v>23658</v>
      </c>
      <c r="K3505" s="8" t="inlineStr">
        <is>
          <t>IV6504527</t>
        </is>
      </c>
      <c r="L3505" s="8" t="inlineStr">
        <is>
          <t>ราคาที่ลง ยังไม่รวมภาษี</t>
        </is>
      </c>
    </row>
    <row r="3506">
      <c r="B3506" s="6" t="inlineStr">
        <is>
          <t>ลูกขัดขนแกะ 3M  สีขาว  3M  5701</t>
        </is>
      </c>
      <c r="C3506" s="8" t="inlineStr">
        <is>
          <t>2ลูก</t>
        </is>
      </c>
      <c r="D3506" s="9" t="n">
        <v>454</v>
      </c>
      <c r="H3506" s="9" t="n">
        <v>904</v>
      </c>
      <c r="I3506" s="10" t="inlineStr">
        <is>
          <t>ทาเลนท์</t>
        </is>
      </c>
      <c r="J3506" s="161" t="n">
        <v>23865</v>
      </c>
      <c r="K3506" s="8" t="inlineStr">
        <is>
          <t>IB3000095</t>
        </is>
      </c>
      <c r="L3506" s="8" t="inlineStr">
        <is>
          <t>ราคาที่ลง ยังไม่รวมภาษี</t>
        </is>
      </c>
    </row>
    <row r="3507">
      <c r="B3507" s="6" t="inlineStr">
        <is>
          <t>ลูกขัดขนแกะ 3M  สีขาว  3M  5701</t>
        </is>
      </c>
      <c r="C3507" s="8" t="inlineStr">
        <is>
          <t>5ลูก</t>
        </is>
      </c>
      <c r="D3507" s="9" t="n">
        <v>477</v>
      </c>
      <c r="H3507" s="9" t="n">
        <v>2385</v>
      </c>
      <c r="I3507" s="10" t="inlineStr">
        <is>
          <t>ทาเลนท์</t>
        </is>
      </c>
      <c r="J3507" s="161" t="n">
        <v>23955</v>
      </c>
      <c r="K3507" s="8" t="inlineStr">
        <is>
          <t>IV2201139</t>
        </is>
      </c>
      <c r="L3507" s="8" t="inlineStr">
        <is>
          <t>ราคาที่ลง ยังไม่รวมภาษี</t>
        </is>
      </c>
    </row>
    <row r="3508">
      <c r="B3508" s="6" t="inlineStr">
        <is>
          <t>ลูกขัดขนแกะ 3M  สีขาว  3M  5701</t>
        </is>
      </c>
      <c r="C3508" s="8" t="inlineStr">
        <is>
          <t>4ลูก</t>
        </is>
      </c>
      <c r="D3508" s="9" t="n">
        <v>477</v>
      </c>
      <c r="H3508" s="9" t="n">
        <v>1908</v>
      </c>
      <c r="I3508" s="10" t="inlineStr">
        <is>
          <t>ทาเลนท์</t>
        </is>
      </c>
      <c r="J3508" s="161" t="n">
        <v>23900</v>
      </c>
      <c r="K3508" s="8" t="inlineStr">
        <is>
          <t>IB3002119</t>
        </is>
      </c>
      <c r="L3508" s="8" t="inlineStr">
        <is>
          <t>ราคาที่ลง ยังไม่รวมภาษี</t>
        </is>
      </c>
    </row>
    <row r="3509">
      <c r="B3509" s="6" t="inlineStr">
        <is>
          <t>ลูกขัดขนแกะ 3M  สีขาว  3M  5701</t>
        </is>
      </c>
      <c r="C3509" s="8" t="inlineStr">
        <is>
          <t>4ลูก</t>
        </is>
      </c>
      <c r="D3509" s="9" t="n">
        <v>479</v>
      </c>
      <c r="H3509" s="9" t="n">
        <v>1916</v>
      </c>
      <c r="I3509" s="10" t="inlineStr">
        <is>
          <t>ทาเลนท์</t>
        </is>
      </c>
      <c r="J3509" s="161" t="n">
        <v>23995</v>
      </c>
      <c r="K3509" s="8" t="inlineStr">
        <is>
          <t>IV2203592</t>
        </is>
      </c>
      <c r="L3509" s="8" t="inlineStr">
        <is>
          <t>ราคาที่ลง ยังไม่รวมภาษี</t>
        </is>
      </c>
    </row>
    <row r="3510">
      <c r="B3510" s="6" t="inlineStr">
        <is>
          <t>ลูกขัดขนแกะ 3M  สีขาว  3M  5701</t>
        </is>
      </c>
      <c r="C3510" s="8" t="inlineStr">
        <is>
          <t>6ลูก</t>
        </is>
      </c>
      <c r="D3510" s="9" t="n">
        <v>479</v>
      </c>
      <c r="H3510" s="9" t="n">
        <v>2874</v>
      </c>
      <c r="I3510" s="10" t="inlineStr">
        <is>
          <t>ทาเลนท์</t>
        </is>
      </c>
      <c r="J3510" s="161" t="n">
        <v>24082</v>
      </c>
      <c r="K3510" s="8" t="inlineStr">
        <is>
          <t>IV2207853</t>
        </is>
      </c>
      <c r="L3510" s="8" t="inlineStr">
        <is>
          <t>ราคาที่ลง ยังไม่รวมภาษี</t>
        </is>
      </c>
    </row>
    <row r="3511">
      <c r="B3511" s="6" t="inlineStr">
        <is>
          <t>ลูกขัดขนแกะ 3M  สีขาว  3M  5701</t>
        </is>
      </c>
      <c r="C3511" s="8" t="inlineStr">
        <is>
          <t>4ลูก</t>
        </is>
      </c>
      <c r="D3511" s="9" t="n">
        <v>479</v>
      </c>
      <c r="H3511" s="9" t="n">
        <v>1916</v>
      </c>
      <c r="I3511" s="10" t="inlineStr">
        <is>
          <t>ทาเลนท์</t>
        </is>
      </c>
      <c r="J3511" s="161" t="n">
        <v>24148</v>
      </c>
      <c r="K3511" s="8" t="inlineStr">
        <is>
          <t>IB3006698</t>
        </is>
      </c>
      <c r="L3511" s="8" t="inlineStr">
        <is>
          <t>ราคาที่ลง ยังไม่รวมภาษี</t>
        </is>
      </c>
    </row>
    <row r="3512">
      <c r="B3512" s="6" t="inlineStr">
        <is>
          <t>ลูกขัดขนแกะ 3M  สีขาว  3M  5701</t>
        </is>
      </c>
      <c r="C3512" s="8" t="inlineStr">
        <is>
          <t>2ลูก</t>
        </is>
      </c>
      <c r="D3512" s="9" t="n">
        <v>479</v>
      </c>
      <c r="H3512" s="9" t="n">
        <v>958</v>
      </c>
      <c r="I3512" s="10" t="inlineStr">
        <is>
          <t>ทาเลนท์</t>
        </is>
      </c>
      <c r="J3512" s="161" t="n">
        <v>24250</v>
      </c>
      <c r="K3512" s="8" t="inlineStr">
        <is>
          <t>IV2212637</t>
        </is>
      </c>
      <c r="L3512" s="8" t="inlineStr">
        <is>
          <t>ราคาที่ลง ยังไม่รวมภาษี</t>
        </is>
      </c>
    </row>
    <row r="3513">
      <c r="B3513" s="6" t="inlineStr">
        <is>
          <t>ลูกขัดขนแกะ 3M  สีขาว  3M  5701</t>
        </is>
      </c>
      <c r="C3513" s="8" t="inlineStr">
        <is>
          <t>3ลูก</t>
        </is>
      </c>
      <c r="D3513" s="9" t="n">
        <v>479</v>
      </c>
      <c r="H3513" s="9" t="n">
        <v>1437</v>
      </c>
      <c r="I3513" s="10" t="inlineStr">
        <is>
          <t>ทาเลนท์</t>
        </is>
      </c>
      <c r="J3513" s="161" t="n">
        <v>24196</v>
      </c>
      <c r="K3513" s="8" t="inlineStr">
        <is>
          <t>IB3009612</t>
        </is>
      </c>
      <c r="L3513" s="8" t="inlineStr">
        <is>
          <t>ราคาที่ลง ยังไม่รวมภาษี</t>
        </is>
      </c>
    </row>
    <row r="3514">
      <c r="B3514" s="6" t="inlineStr">
        <is>
          <t>ลูกขัดขนแกะ 3M  สีขาว  3M  5701</t>
        </is>
      </c>
      <c r="C3514" s="8" t="inlineStr">
        <is>
          <t>3ลูก</t>
        </is>
      </c>
      <c r="D3514" s="9" t="n">
        <v>479</v>
      </c>
      <c r="H3514" s="9" t="n">
        <v>1437</v>
      </c>
      <c r="I3514" s="10" t="inlineStr">
        <is>
          <t>ทาเลนท์</t>
        </is>
      </c>
      <c r="J3514" s="161" t="n">
        <v>24200</v>
      </c>
      <c r="K3514" s="8" t="inlineStr">
        <is>
          <t>IB3009871</t>
        </is>
      </c>
      <c r="L3514" s="8" t="inlineStr">
        <is>
          <t>ราคาที่ลง ยังไม่รวมภาษี</t>
        </is>
      </c>
    </row>
    <row r="3515">
      <c r="B3515" s="6" t="inlineStr">
        <is>
          <t>ลูกขัดขนแกะ 3M  สีขาว  3M  5701</t>
        </is>
      </c>
      <c r="C3515" s="8" t="inlineStr">
        <is>
          <t>2ลูก</t>
        </is>
      </c>
      <c r="D3515" s="9" t="n">
        <v>479</v>
      </c>
      <c r="H3515" s="9" t="n">
        <v>958</v>
      </c>
      <c r="I3515" s="10" t="inlineStr">
        <is>
          <t>ทาเลนท์</t>
        </is>
      </c>
      <c r="J3515" s="161" t="n">
        <v>24251</v>
      </c>
      <c r="K3515" s="8" t="inlineStr">
        <is>
          <t>IV2212728</t>
        </is>
      </c>
      <c r="L3515" s="8" t="inlineStr">
        <is>
          <t>ราคาที่ลง ยังไม่รวมภาษี</t>
        </is>
      </c>
    </row>
    <row r="3516">
      <c r="B3516" s="6" t="inlineStr">
        <is>
          <t>ลูกขัดขนแกะ 3M  สีขาว  3M  5701</t>
        </is>
      </c>
      <c r="C3516" s="8" t="n">
        <v>4</v>
      </c>
      <c r="D3516" s="9" t="n">
        <v>479</v>
      </c>
      <c r="H3516" s="9">
        <f>SUM(D3516*C3516)</f>
        <v/>
      </c>
      <c r="I3516" s="10" t="inlineStr">
        <is>
          <t>ทาเลนท์</t>
        </is>
      </c>
      <c r="J3516" s="161" t="n">
        <v>24321</v>
      </c>
      <c r="K3516" s="8" t="inlineStr">
        <is>
          <t>IV2217239</t>
        </is>
      </c>
      <c r="L3516" s="8" t="inlineStr">
        <is>
          <t>ราคาที่ลง ยังไม่รวมภาษี</t>
        </is>
      </c>
    </row>
    <row r="3517">
      <c r="B3517" s="6" t="inlineStr">
        <is>
          <t xml:space="preserve">ลูกขัดขนแกะ NAX  สีขาว </t>
        </is>
      </c>
      <c r="C3517" s="8" t="n">
        <v>2</v>
      </c>
      <c r="D3517" s="9" t="n">
        <v>420</v>
      </c>
      <c r="H3517" s="9">
        <f>SUM(D3517*C3517)</f>
        <v/>
      </c>
      <c r="I3517" s="10" t="inlineStr">
        <is>
          <t>วาที</t>
        </is>
      </c>
      <c r="J3517" s="161" t="n">
        <v>24399</v>
      </c>
      <c r="L3517" s="8" t="inlineStr">
        <is>
          <t>ไม่มี VAT (จ่ายสด)</t>
        </is>
      </c>
    </row>
    <row r="3518">
      <c r="B3518" s="6" t="inlineStr">
        <is>
          <t>ลูกขัดขนแกะ สีขาว CHEETAHS</t>
        </is>
      </c>
      <c r="C3518" s="8" t="n">
        <v>6</v>
      </c>
      <c r="D3518" s="9" t="n">
        <v>445</v>
      </c>
      <c r="H3518" s="9">
        <f>SUM(D3518*C3518)</f>
        <v/>
      </c>
      <c r="I3518" s="10" t="inlineStr">
        <is>
          <t>ทาเลนท์</t>
        </is>
      </c>
      <c r="J3518" s="161" t="n">
        <v>24808</v>
      </c>
      <c r="K3518" s="8" t="inlineStr">
        <is>
          <t>IV2224867</t>
        </is>
      </c>
      <c r="L3518" s="8" t="inlineStr">
        <is>
          <t>ราคาที่ลง ยังไม่รวมภาษี</t>
        </is>
      </c>
    </row>
    <row r="3519">
      <c r="B3519" s="6" t="inlineStr">
        <is>
          <t>ลูกขัดขนแกะ สีขาว The Professional</t>
        </is>
      </c>
      <c r="C3519" s="8" t="n">
        <v>4</v>
      </c>
      <c r="D3519" s="9" t="n">
        <v>450</v>
      </c>
      <c r="H3519" s="9">
        <f>SUM(D3519*C3519)</f>
        <v/>
      </c>
      <c r="I3519" s="10" t="inlineStr">
        <is>
          <t>วาที</t>
        </is>
      </c>
      <c r="J3519" s="161" t="n">
        <v>24619</v>
      </c>
      <c r="K3519" s="8" t="inlineStr">
        <is>
          <t>IV6705126</t>
        </is>
      </c>
      <c r="L3519" s="8" t="inlineStr">
        <is>
          <t>ราคาที่ลง ยังไม่รวมภาษี</t>
        </is>
      </c>
    </row>
    <row r="3520">
      <c r="B3520" s="6" t="inlineStr">
        <is>
          <t>ลูกขัดขนแกะ สีขาว The Professional</t>
        </is>
      </c>
      <c r="C3520" s="8" t="n">
        <v>2</v>
      </c>
      <c r="D3520" s="9" t="n">
        <v>450</v>
      </c>
      <c r="H3520" s="9">
        <f>SUM(D3520*C3520)</f>
        <v/>
      </c>
      <c r="I3520" s="10" t="inlineStr">
        <is>
          <t>วาที</t>
        </is>
      </c>
      <c r="J3520" s="161" t="n">
        <v>24633</v>
      </c>
      <c r="K3520" s="8" t="inlineStr">
        <is>
          <t>IV6706068</t>
        </is>
      </c>
      <c r="L3520" s="8" t="inlineStr">
        <is>
          <t>ราคาที่ลง ยังไม่รวมภาษี</t>
        </is>
      </c>
    </row>
    <row r="3521">
      <c r="A3521" s="67" t="inlineStr">
        <is>
          <t>โปรซื้อ 4ชิ้นแถมฟรี 1ชิ้น</t>
        </is>
      </c>
      <c r="B3521" s="6" t="inlineStr">
        <is>
          <t>ลูกขัดขนแกะ สีขาว TG</t>
        </is>
      </c>
      <c r="C3521" s="8" t="n">
        <v>4</v>
      </c>
      <c r="D3521" s="9" t="n">
        <v>577.8</v>
      </c>
      <c r="H3521" s="9">
        <f>SUM(D3521*C3521)</f>
        <v/>
      </c>
      <c r="I3521" s="10" t="inlineStr">
        <is>
          <t>ออโต้เทรด มาร์เก็ตติ้ง</t>
        </is>
      </c>
      <c r="J3521" s="161" t="n">
        <v>24916</v>
      </c>
      <c r="K3521" s="8" t="inlineStr">
        <is>
          <t>IV1462679</t>
        </is>
      </c>
      <c r="L3521" s="8" t="inlineStr">
        <is>
          <t>ราคารวม VAT แล้ว</t>
        </is>
      </c>
    </row>
    <row r="3522">
      <c r="B3522" s="6" t="inlineStr">
        <is>
          <t>ลูกขัดขนแกะ สีขาว The Professional</t>
        </is>
      </c>
      <c r="C3522" s="8" t="n">
        <v>3</v>
      </c>
      <c r="D3522" s="9" t="n">
        <v>450</v>
      </c>
      <c r="E3522" s="9">
        <f>SUM(C3522*D3522)</f>
        <v/>
      </c>
      <c r="G3522" s="10" t="inlineStr">
        <is>
          <t>ยอดรวม VAT =</t>
        </is>
      </c>
      <c r="H3522" s="9">
        <f>SUM(E3522*O3522/N3522)</f>
        <v/>
      </c>
      <c r="I3522" s="10" t="inlineStr">
        <is>
          <t>วาที</t>
        </is>
      </c>
      <c r="J3522" s="161" t="n">
        <v>25078</v>
      </c>
      <c r="K3522" s="8" t="inlineStr">
        <is>
          <t>IV6808154</t>
        </is>
      </c>
      <c r="L3522" s="8" t="inlineStr">
        <is>
          <t>ราคารวม VAT แล้ว</t>
        </is>
      </c>
      <c r="N3522" s="6" t="n">
        <v>100</v>
      </c>
      <c r="O3522" s="6" t="n">
        <v>107</v>
      </c>
    </row>
    <row r="3523">
      <c r="A3523" s="67" t="inlineStr">
        <is>
          <t>โปรซื้อ 11ชิ้นแถมฟรี 4ชิ้น</t>
        </is>
      </c>
      <c r="B3523" s="6" t="inlineStr">
        <is>
          <t>ลูกขัดขนแกะ สีขาว TG -- โปรแถม ตกลูกละ 423.72 บาท (รวมVAT แล้ว)</t>
        </is>
      </c>
      <c r="C3523" s="8" t="n">
        <v>11</v>
      </c>
      <c r="D3523" s="9" t="n">
        <v>540</v>
      </c>
      <c r="E3523" s="9">
        <f>SUM(C3523*D3523)</f>
        <v/>
      </c>
      <c r="G3523" s="10" t="inlineStr">
        <is>
          <t>ยอดรวม VAT =</t>
        </is>
      </c>
      <c r="H3523" s="9">
        <f>SUM(E3523*O3523/N3523)</f>
        <v/>
      </c>
      <c r="I3523" s="10" t="inlineStr">
        <is>
          <t>ออโต้เทรด มาร์เก็ตติ้ง</t>
        </is>
      </c>
      <c r="J3523" s="161" t="n">
        <v>25078</v>
      </c>
      <c r="K3523" s="8" t="inlineStr">
        <is>
          <t>IV1470081</t>
        </is>
      </c>
      <c r="L3523" s="8" t="inlineStr">
        <is>
          <t>ราคารวม VAT แล้ว</t>
        </is>
      </c>
      <c r="N3523" s="6" t="n">
        <v>100</v>
      </c>
      <c r="O3523" s="6" t="n">
        <v>107</v>
      </c>
    </row>
    <row r="3525">
      <c r="B3525" s="6" t="inlineStr">
        <is>
          <t>ลูกขัดขนแกะ 3M  สีเหลือง  3M  5705</t>
        </is>
      </c>
      <c r="C3525" s="8" t="inlineStr">
        <is>
          <t>6ลูก</t>
        </is>
      </c>
      <c r="D3525" s="9" t="n">
        <v>504</v>
      </c>
      <c r="H3525" s="9" t="n">
        <v>3024</v>
      </c>
      <c r="I3525" s="10" t="inlineStr">
        <is>
          <t>ทาเลนท์</t>
        </is>
      </c>
      <c r="J3525" s="161" t="n">
        <v>22991</v>
      </c>
      <c r="L3525" s="8" t="inlineStr">
        <is>
          <t>ราคาที่ลง ยังไม่รวมภาษี</t>
        </is>
      </c>
    </row>
    <row r="3526">
      <c r="B3526" s="6" t="inlineStr">
        <is>
          <t>ลูกขัดขนแกะ 3M  สีเหลือง  3M  5705</t>
        </is>
      </c>
      <c r="C3526" s="8" t="inlineStr">
        <is>
          <t>6ลูก</t>
        </is>
      </c>
      <c r="D3526" s="9" t="n">
        <v>504</v>
      </c>
      <c r="H3526" s="9" t="n">
        <v>3024</v>
      </c>
      <c r="I3526" s="10" t="inlineStr">
        <is>
          <t>ทาเลนท์</t>
        </is>
      </c>
      <c r="J3526" s="161" t="n">
        <v>23184</v>
      </c>
      <c r="L3526" s="8" t="inlineStr">
        <is>
          <t>ราคาที่ลง ยังไม่รวมภาษี</t>
        </is>
      </c>
    </row>
    <row r="3527">
      <c r="B3527" s="6" t="inlineStr">
        <is>
          <t>ลูกขัดขนแกะ 3M  สีเหลือง  3M  5705</t>
        </is>
      </c>
      <c r="C3527" s="8" t="inlineStr">
        <is>
          <t>3ลูก</t>
        </is>
      </c>
      <c r="D3527" s="9" t="n">
        <v>504</v>
      </c>
      <c r="H3527" s="9" t="n">
        <v>1512</v>
      </c>
      <c r="I3527" s="10" t="inlineStr">
        <is>
          <t>ทาเลนท์</t>
        </is>
      </c>
      <c r="J3527" s="161" t="n">
        <v>23349</v>
      </c>
      <c r="L3527" s="8" t="inlineStr">
        <is>
          <t>ราคาที่ลง ยังไม่รวมภาษี</t>
        </is>
      </c>
    </row>
    <row r="3528" customFormat="1" s="40">
      <c r="A3528" s="76" t="n"/>
      <c r="B3528" s="40" t="inlineStr">
        <is>
          <t>ลูกขัดขนแกะ 3M  สีเหลือง  3M  5705</t>
        </is>
      </c>
      <c r="C3528" s="36" t="inlineStr">
        <is>
          <t>3ลูก</t>
        </is>
      </c>
      <c r="D3528" s="37" t="n">
        <v>474</v>
      </c>
      <c r="E3528" s="37" t="n"/>
      <c r="F3528" s="36" t="n"/>
      <c r="G3528" s="38" t="n"/>
      <c r="H3528" s="37" t="n">
        <v>1422</v>
      </c>
      <c r="I3528" s="38" t="inlineStr">
        <is>
          <t>ทรัพย์สิน</t>
        </is>
      </c>
      <c r="J3528" s="167" t="n">
        <v>23643</v>
      </c>
      <c r="K3528" s="36" t="inlineStr">
        <is>
          <t>IV6409299</t>
        </is>
      </c>
      <c r="L3528" s="8" t="inlineStr">
        <is>
          <t>ราคาที่ลง ยังไม่รวมภาษี</t>
        </is>
      </c>
    </row>
    <row r="3529">
      <c r="B3529" s="6" t="inlineStr">
        <is>
          <t>ลูกขัดขนแกะ 3M  สีเหลือง  3M  5705</t>
        </is>
      </c>
      <c r="C3529" s="8" t="inlineStr">
        <is>
          <t>3ลูก</t>
        </is>
      </c>
      <c r="D3529" s="9" t="n">
        <v>504</v>
      </c>
      <c r="H3529" s="9" t="n">
        <v>1512</v>
      </c>
      <c r="I3529" s="10" t="inlineStr">
        <is>
          <t>ทาเลนท์</t>
        </is>
      </c>
      <c r="J3529" s="161" t="n">
        <v>23809</v>
      </c>
      <c r="K3529" s="8" t="inlineStr">
        <is>
          <t>IV6504527</t>
        </is>
      </c>
      <c r="L3529" s="8" t="inlineStr">
        <is>
          <t>ราคาที่ลง ยังไม่รวมภาษี</t>
        </is>
      </c>
    </row>
    <row r="3530" customFormat="1" s="30">
      <c r="A3530" s="68" t="n"/>
      <c r="B3530" s="30" t="inlineStr">
        <is>
          <t>***  เมื่อ 23/9/64 ร้านทาเลนท์ปรับราคาเพิ่มเป็น 510 บาท</t>
        </is>
      </c>
      <c r="C3530" s="29" t="n"/>
      <c r="D3530" s="31" t="n"/>
      <c r="E3530" s="31" t="n"/>
      <c r="F3530" s="29" t="n"/>
      <c r="G3530" s="32" t="n"/>
      <c r="H3530" s="31" t="n"/>
      <c r="I3530" s="32" t="n"/>
      <c r="J3530" s="165" t="n"/>
      <c r="K3530" s="29" t="n"/>
      <c r="L3530" s="29" t="n"/>
    </row>
    <row r="3531">
      <c r="B3531" s="30" t="inlineStr">
        <is>
          <t>***  เมื่อ 23/9/64 ร้านทรัพย์สิน แจ้งราคา 474 บาท</t>
        </is>
      </c>
    </row>
    <row r="3532">
      <c r="B3532" s="6" t="inlineStr">
        <is>
          <t>ลูกขัดขนแกะ 3M  สีเหลือง  3M  5705</t>
        </is>
      </c>
      <c r="C3532" s="8" t="inlineStr">
        <is>
          <t>1ลูก</t>
        </is>
      </c>
      <c r="D3532" s="9" t="n">
        <v>530</v>
      </c>
      <c r="H3532" s="9" t="n">
        <v>530</v>
      </c>
      <c r="I3532" s="10" t="inlineStr">
        <is>
          <t>ทาเลนท์</t>
        </is>
      </c>
      <c r="J3532" s="161" t="n">
        <v>23865</v>
      </c>
      <c r="K3532" s="8" t="inlineStr">
        <is>
          <t>IB3000095</t>
        </is>
      </c>
      <c r="L3532" s="8" t="inlineStr">
        <is>
          <t>ราคาที่ลง ยังไม่รวมภาษี</t>
        </is>
      </c>
    </row>
    <row r="3533">
      <c r="B3533" s="6" t="inlineStr">
        <is>
          <t>ลูกขัดขนแกะ 3M  สีเหลือง  3M  5705</t>
        </is>
      </c>
      <c r="C3533" s="8" t="inlineStr">
        <is>
          <t>3ลูก</t>
        </is>
      </c>
      <c r="D3533" s="9" t="n">
        <v>557</v>
      </c>
      <c r="H3533" s="9" t="n">
        <v>1671</v>
      </c>
      <c r="I3533" s="10" t="inlineStr">
        <is>
          <t>ทาเลนท์</t>
        </is>
      </c>
      <c r="J3533" s="161" t="n">
        <v>23994</v>
      </c>
      <c r="K3533" s="8" t="inlineStr">
        <is>
          <t>IV2203571</t>
        </is>
      </c>
      <c r="L3533" s="8" t="inlineStr">
        <is>
          <t>ราคาที่ลง ยังไม่รวมภาษี</t>
        </is>
      </c>
    </row>
    <row r="3534">
      <c r="B3534" s="6" t="inlineStr">
        <is>
          <t>ลูกขัดขนแกะ NAX  สีเหลือง</t>
        </is>
      </c>
      <c r="C3534" s="8" t="n">
        <v>2</v>
      </c>
      <c r="D3534" s="9" t="n">
        <v>420</v>
      </c>
      <c r="H3534" s="9">
        <f>SUM(D3534*C3534)</f>
        <v/>
      </c>
      <c r="I3534" s="10" t="inlineStr">
        <is>
          <t>วาที</t>
        </is>
      </c>
      <c r="J3534" s="161" t="n">
        <v>24399</v>
      </c>
      <c r="L3534" s="8" t="inlineStr">
        <is>
          <t>ไม่มี VAT (จ่ายสด)</t>
        </is>
      </c>
    </row>
    <row r="3535">
      <c r="B3535" s="6" t="inlineStr">
        <is>
          <t>ลูกขัดขนแกะ สีเหลือง The Professional</t>
        </is>
      </c>
      <c r="C3535" s="8" t="n">
        <v>4</v>
      </c>
      <c r="D3535" s="9" t="n">
        <v>450</v>
      </c>
      <c r="H3535" s="9">
        <f>SUM(D3535*C3535)</f>
        <v/>
      </c>
      <c r="I3535" s="10" t="inlineStr">
        <is>
          <t>วาที</t>
        </is>
      </c>
      <c r="J3535" s="161" t="n">
        <v>24619</v>
      </c>
      <c r="K3535" s="8" t="inlineStr">
        <is>
          <t>IV6705126</t>
        </is>
      </c>
      <c r="L3535" s="8" t="inlineStr">
        <is>
          <t>ราคาที่ลง ยังไม่รวมภาษี</t>
        </is>
      </c>
    </row>
    <row r="3536">
      <c r="B3536" s="6" t="inlineStr">
        <is>
          <t>ลูกขัดขนแกะ สีเหลือง The Professional</t>
        </is>
      </c>
      <c r="C3536" s="8" t="n">
        <v>4</v>
      </c>
      <c r="D3536" s="9" t="n">
        <v>450</v>
      </c>
      <c r="H3536" s="9">
        <f>SUM(D3536*C3536)</f>
        <v/>
      </c>
      <c r="I3536" s="10" t="inlineStr">
        <is>
          <t>วาที</t>
        </is>
      </c>
      <c r="J3536" s="161" t="n">
        <v>24777</v>
      </c>
      <c r="K3536" s="8" t="inlineStr">
        <is>
          <t>IV6711021</t>
        </is>
      </c>
      <c r="L3536" s="8" t="inlineStr">
        <is>
          <t>ราคาที่ลง ยังไม่รวมภาษี</t>
        </is>
      </c>
    </row>
    <row r="3537">
      <c r="B3537" s="6" t="inlineStr">
        <is>
          <t>ลูกขัดขนแกะ สีเหลือง The Professional</t>
        </is>
      </c>
      <c r="C3537" s="8" t="n">
        <v>4</v>
      </c>
      <c r="D3537" s="9" t="n">
        <v>450</v>
      </c>
      <c r="E3537" s="9">
        <f>SUM(C3537*D3537)</f>
        <v/>
      </c>
      <c r="H3537" s="9">
        <f>SUM(E3537*O3537/N3537)</f>
        <v/>
      </c>
      <c r="I3537" s="10" t="inlineStr">
        <is>
          <t>บจก. วีที คัลเลอร์ โปร</t>
        </is>
      </c>
      <c r="J3537" s="161" t="n">
        <v>24977</v>
      </c>
      <c r="K3537" s="8" t="inlineStr">
        <is>
          <t>IV6805132</t>
        </is>
      </c>
      <c r="N3537" s="6" t="n">
        <v>100</v>
      </c>
      <c r="O3537" s="6" t="n">
        <v>107</v>
      </c>
    </row>
    <row r="3538">
      <c r="A3538" s="70" t="n"/>
      <c r="B3538" s="6" t="inlineStr">
        <is>
          <t>ลูกขัดขนแกะ สีเหลือง</t>
        </is>
      </c>
      <c r="C3538" s="8" t="n">
        <v>4</v>
      </c>
      <c r="D3538" s="9" t="n">
        <v>450</v>
      </c>
      <c r="E3538" s="9">
        <f>SUM(C3538*D3538)</f>
        <v/>
      </c>
      <c r="H3538" s="9">
        <f>SUM(E3538*107/100)</f>
        <v/>
      </c>
      <c r="I3538" s="10" t="inlineStr">
        <is>
          <t>บจก. วีที คัลเลอร์ โปร</t>
        </is>
      </c>
      <c r="J3538" s="161" t="n">
        <v>25117</v>
      </c>
      <c r="K3538" s="8" t="inlineStr">
        <is>
          <t>IV6810042</t>
        </is>
      </c>
      <c r="L3538" s="8" t="inlineStr">
        <is>
          <t>ราคาที่ลง ยังไม่รวมภาษี</t>
        </is>
      </c>
    </row>
    <row r="3539" customFormat="1" s="40">
      <c r="A3539" s="76" t="n"/>
      <c r="C3539" s="36" t="n"/>
      <c r="D3539" s="37" t="n"/>
      <c r="E3539" s="37" t="n"/>
      <c r="F3539" s="36" t="n"/>
      <c r="G3539" s="38" t="n"/>
      <c r="H3539" s="37" t="n"/>
      <c r="I3539" s="38" t="n"/>
      <c r="J3539" s="167" t="n"/>
      <c r="K3539" s="36" t="n"/>
      <c r="L3539" s="36" t="n"/>
    </row>
    <row r="3541">
      <c r="A3541" s="66" t="inlineStr">
        <is>
          <t>ลูกขัดกันสนิม</t>
        </is>
      </c>
      <c r="B3541" s="6" t="inlineStr">
        <is>
          <t>ลูกขัดสนิม  4.5" x 1/2</t>
        </is>
      </c>
      <c r="C3541" s="8" t="inlineStr">
        <is>
          <t>40อัน</t>
        </is>
      </c>
      <c r="D3541" s="9" t="n">
        <v>98</v>
      </c>
      <c r="H3541" s="9" t="n">
        <v>3920</v>
      </c>
      <c r="I3541" s="10" t="inlineStr">
        <is>
          <t>ทาเลนท์</t>
        </is>
      </c>
      <c r="J3541" s="161" t="n">
        <v>22451</v>
      </c>
      <c r="L3541" s="8" t="inlineStr">
        <is>
          <t>ราคาที่ลง ยังไม่รวมภาษี</t>
        </is>
      </c>
    </row>
    <row r="3542">
      <c r="B3542" s="6" t="inlineStr">
        <is>
          <t>ลูกขัดสนิม  4.5" x 1/2  3M</t>
        </is>
      </c>
      <c r="C3542" s="8" t="inlineStr">
        <is>
          <t>80ลูก</t>
        </is>
      </c>
      <c r="D3542" s="9" t="n">
        <v>98</v>
      </c>
      <c r="H3542" s="9" t="n">
        <v>7840</v>
      </c>
      <c r="I3542" s="10" t="inlineStr">
        <is>
          <t>ทาเลนท์</t>
        </is>
      </c>
      <c r="J3542" s="161" t="n">
        <v>22831</v>
      </c>
      <c r="L3542" s="8" t="inlineStr">
        <is>
          <t>ราคาที่ลง ยังไม่รวมภาษี</t>
        </is>
      </c>
    </row>
    <row r="3543">
      <c r="B3543" s="6" t="inlineStr">
        <is>
          <t>ลูกขัดสนิม  4.5" x 1/2</t>
        </is>
      </c>
      <c r="C3543" s="8" t="inlineStr">
        <is>
          <t>40อัน</t>
        </is>
      </c>
      <c r="D3543" s="9" t="n">
        <v>98</v>
      </c>
      <c r="H3543" s="9" t="n">
        <v>3920</v>
      </c>
      <c r="I3543" s="10" t="inlineStr">
        <is>
          <t>ทาเลนท์</t>
        </is>
      </c>
      <c r="J3543" s="161" t="n">
        <v>22941</v>
      </c>
      <c r="L3543" s="8" t="inlineStr">
        <is>
          <t>ราคาที่ลง ยังไม่รวมภาษี</t>
        </is>
      </c>
    </row>
    <row r="3544">
      <c r="B3544" s="6" t="inlineStr">
        <is>
          <t>ลูกขัดสนิม  4.5" x 1/2  3M</t>
        </is>
      </c>
      <c r="C3544" s="8" t="inlineStr">
        <is>
          <t>40ลูก</t>
        </is>
      </c>
      <c r="D3544" s="9" t="n">
        <v>96</v>
      </c>
      <c r="H3544" s="9" t="n">
        <v>3840</v>
      </c>
      <c r="I3544" s="10" t="inlineStr">
        <is>
          <t>ทาเลนท์</t>
        </is>
      </c>
      <c r="J3544" s="161" t="n">
        <v>22991</v>
      </c>
      <c r="L3544" s="8" t="inlineStr">
        <is>
          <t>ราคาที่ลง ยังไม่รวมภาษี</t>
        </is>
      </c>
    </row>
    <row r="3545">
      <c r="B3545" s="6" t="inlineStr">
        <is>
          <t>ลูกขัดสนิม  4.5" x 1/2  3M</t>
        </is>
      </c>
      <c r="C3545" s="8" t="inlineStr">
        <is>
          <t>40ลูก</t>
        </is>
      </c>
      <c r="D3545" s="9" t="n">
        <v>96</v>
      </c>
      <c r="H3545" s="9" t="n">
        <v>3840</v>
      </c>
      <c r="I3545" s="10" t="inlineStr">
        <is>
          <t>ทาเลนท์</t>
        </is>
      </c>
      <c r="J3545" s="161" t="n">
        <v>23062</v>
      </c>
      <c r="L3545" s="8" t="inlineStr">
        <is>
          <t>ราคาที่ลง ยังไม่รวมภาษี</t>
        </is>
      </c>
    </row>
    <row r="3546">
      <c r="B3546" s="6" t="inlineStr">
        <is>
          <t>ลูกขัดสนิม  4.5" x 1/2  3M</t>
        </is>
      </c>
      <c r="C3546" s="8" t="inlineStr">
        <is>
          <t>200ลูก</t>
        </is>
      </c>
      <c r="D3546" s="9" t="n">
        <v>96</v>
      </c>
      <c r="H3546" s="9" t="n">
        <v>1920</v>
      </c>
      <c r="I3546" s="10" t="inlineStr">
        <is>
          <t>ทาเลนท์</t>
        </is>
      </c>
      <c r="J3546" s="161" t="n">
        <v>23158</v>
      </c>
      <c r="L3546" s="8" t="inlineStr">
        <is>
          <t>ราคาที่ลง ยังไม่รวมภาษี</t>
        </is>
      </c>
    </row>
    <row r="3547">
      <c r="B3547" s="6" t="inlineStr">
        <is>
          <t>ลูกขัดสนิม  4.5" x 1/2  3M</t>
        </is>
      </c>
      <c r="C3547" s="8" t="inlineStr">
        <is>
          <t>40ลูก</t>
        </is>
      </c>
      <c r="D3547" s="9" t="n">
        <v>96</v>
      </c>
      <c r="H3547" s="9" t="n">
        <v>3840</v>
      </c>
      <c r="I3547" s="10" t="inlineStr">
        <is>
          <t>ทาเลนท์</t>
        </is>
      </c>
      <c r="J3547" s="161" t="n">
        <v>23244</v>
      </c>
      <c r="L3547" s="8" t="inlineStr">
        <is>
          <t>ราคาที่ลง ยังไม่รวมภาษี</t>
        </is>
      </c>
    </row>
    <row r="3548">
      <c r="B3548" s="6" t="inlineStr">
        <is>
          <t>ลูกขัดสนิม  4.5" x 1/2  3M</t>
        </is>
      </c>
      <c r="C3548" s="8" t="inlineStr">
        <is>
          <t>50ลูก</t>
        </is>
      </c>
      <c r="D3548" s="9" t="n">
        <v>96</v>
      </c>
      <c r="H3548" s="9" t="n">
        <v>4800</v>
      </c>
      <c r="I3548" s="10" t="inlineStr">
        <is>
          <t>ทาเลนท์</t>
        </is>
      </c>
      <c r="J3548" s="161" t="n">
        <v>23286</v>
      </c>
      <c r="L3548" s="8" t="inlineStr">
        <is>
          <t>ราคาที่ลง ยังไม่รวมภาษี</t>
        </is>
      </c>
    </row>
    <row r="3549">
      <c r="B3549" s="6" t="inlineStr">
        <is>
          <t>ลูกขัดสนิม  4.5" x 1/2  3M</t>
        </is>
      </c>
      <c r="C3549" s="8" t="inlineStr">
        <is>
          <t>40ลูก</t>
        </is>
      </c>
      <c r="D3549" s="9" t="n">
        <v>96</v>
      </c>
      <c r="H3549" s="9" t="n">
        <v>3840</v>
      </c>
      <c r="I3549" s="10" t="inlineStr">
        <is>
          <t>ทาเลนท์</t>
        </is>
      </c>
      <c r="J3549" s="161" t="n">
        <v>23395</v>
      </c>
      <c r="L3549" s="8" t="inlineStr">
        <is>
          <t>ราคาที่ลง ยังไม่รวมภาษี</t>
        </is>
      </c>
    </row>
    <row r="3550">
      <c r="B3550" s="6" t="inlineStr">
        <is>
          <t>ลูกขัดสนิม  4.5" x 1/2  3M</t>
        </is>
      </c>
      <c r="C3550" s="8" t="inlineStr">
        <is>
          <t>40ลูก</t>
        </is>
      </c>
      <c r="D3550" s="9" t="n">
        <v>96</v>
      </c>
      <c r="H3550" s="9" t="n">
        <v>3840</v>
      </c>
      <c r="I3550" s="10" t="inlineStr">
        <is>
          <t>ทาเลนท์</t>
        </is>
      </c>
      <c r="J3550" s="161" t="n">
        <v>23429</v>
      </c>
      <c r="L3550" s="8" t="inlineStr">
        <is>
          <t>ราคาที่ลง ยังไม่รวมภาษี</t>
        </is>
      </c>
    </row>
    <row r="3551">
      <c r="B3551" s="6" t="inlineStr">
        <is>
          <t>ลูกขัดสนิม  4.5" x 1/2  3M</t>
        </is>
      </c>
      <c r="C3551" s="8" t="inlineStr">
        <is>
          <t>40ลูก</t>
        </is>
      </c>
      <c r="D3551" s="9" t="n">
        <v>96</v>
      </c>
      <c r="H3551" s="9" t="n">
        <v>3840</v>
      </c>
      <c r="I3551" s="10" t="inlineStr">
        <is>
          <t>ทาเลนท์</t>
        </is>
      </c>
      <c r="J3551" s="161" t="n">
        <v>23562</v>
      </c>
      <c r="K3551" s="8" t="inlineStr">
        <is>
          <t>IV6407743</t>
        </is>
      </c>
      <c r="L3551" s="8" t="inlineStr">
        <is>
          <t>ราคาที่ลง ยังไม่รวมภาษี</t>
        </is>
      </c>
    </row>
    <row r="3552">
      <c r="B3552" s="6" t="inlineStr">
        <is>
          <t>ลูกขัดสนิม  4.5" x 1/2  3M</t>
        </is>
      </c>
      <c r="C3552" s="8" t="inlineStr">
        <is>
          <t>40ลูก</t>
        </is>
      </c>
      <c r="D3552" s="9" t="n">
        <v>96</v>
      </c>
      <c r="H3552" s="9" t="n">
        <v>3840</v>
      </c>
      <c r="I3552" s="10" t="inlineStr">
        <is>
          <t>ทาเลนท์</t>
        </is>
      </c>
      <c r="J3552" s="161" t="n">
        <v>23616</v>
      </c>
      <c r="K3552" s="8" t="inlineStr">
        <is>
          <t>IV6410644</t>
        </is>
      </c>
      <c r="L3552" s="8" t="inlineStr">
        <is>
          <t>ราคาที่ลง ยังไม่รวมภาษี</t>
        </is>
      </c>
    </row>
    <row r="3553">
      <c r="B3553" s="6" t="inlineStr">
        <is>
          <t>ลูกขัดสนิม  4.5" x 1/2  3M</t>
        </is>
      </c>
      <c r="C3553" s="8" t="inlineStr">
        <is>
          <t>40ลูก</t>
        </is>
      </c>
      <c r="D3553" s="9" t="n">
        <v>96</v>
      </c>
      <c r="H3553" s="9" t="n">
        <v>3840</v>
      </c>
      <c r="I3553" s="10" t="inlineStr">
        <is>
          <t>ทาเลนท์</t>
        </is>
      </c>
      <c r="J3553" s="161" t="n">
        <v>23682</v>
      </c>
      <c r="K3553" s="8" t="inlineStr">
        <is>
          <t>IV6414395</t>
        </is>
      </c>
      <c r="L3553" s="8" t="inlineStr">
        <is>
          <t>ราคาที่ลง ยังไม่รวมภาษี</t>
        </is>
      </c>
    </row>
    <row r="3554">
      <c r="B3554" s="6" t="inlineStr">
        <is>
          <t>ลูกขัดสนิม  4.5" x 1/2  3M</t>
        </is>
      </c>
      <c r="C3554" s="8" t="inlineStr">
        <is>
          <t>40ลูก</t>
        </is>
      </c>
      <c r="D3554" s="9" t="n">
        <v>96</v>
      </c>
      <c r="H3554" s="9" t="n">
        <v>3840</v>
      </c>
      <c r="I3554" s="10" t="inlineStr">
        <is>
          <t>ทาเลนท์</t>
        </is>
      </c>
      <c r="J3554" s="161" t="n">
        <v>23801</v>
      </c>
      <c r="K3554" s="8" t="inlineStr">
        <is>
          <t>IV6503899</t>
        </is>
      </c>
      <c r="L3554" s="8" t="inlineStr">
        <is>
          <t>ราคาที่ลง ยังไม่รวมภาษี</t>
        </is>
      </c>
    </row>
    <row r="3555">
      <c r="B3555" s="6" t="inlineStr">
        <is>
          <t>ลูกขัดสนิม  4.5" x 1/2  3M</t>
        </is>
      </c>
      <c r="C3555" s="8" t="inlineStr">
        <is>
          <t>40ลูก</t>
        </is>
      </c>
      <c r="D3555" s="9" t="n">
        <v>105</v>
      </c>
      <c r="H3555" s="9" t="n">
        <v>4200</v>
      </c>
      <c r="I3555" s="10" t="inlineStr">
        <is>
          <t>ทาเลนท์</t>
        </is>
      </c>
      <c r="J3555" s="161" t="n">
        <v>23866</v>
      </c>
      <c r="K3555" s="8" t="inlineStr">
        <is>
          <t>IB3000172</t>
        </is>
      </c>
      <c r="L3555" s="8" t="inlineStr">
        <is>
          <t>ราคาที่ลง ยังไม่รวมภาษี</t>
        </is>
      </c>
    </row>
    <row r="3556">
      <c r="B3556" s="6" t="inlineStr">
        <is>
          <t>ลูกขัดสนิม  4.5" x 1/2  3M</t>
        </is>
      </c>
      <c r="C3556" s="8" t="inlineStr">
        <is>
          <t>40ลูก</t>
        </is>
      </c>
      <c r="D3556" s="9" t="n">
        <v>111</v>
      </c>
      <c r="H3556" s="9" t="n">
        <v>4440</v>
      </c>
      <c r="I3556" s="10" t="inlineStr">
        <is>
          <t>ทาเลนท์</t>
        </is>
      </c>
      <c r="J3556" s="161" t="n">
        <v>23995</v>
      </c>
      <c r="K3556" s="8" t="inlineStr">
        <is>
          <t>IV2203682</t>
        </is>
      </c>
      <c r="L3556" s="8" t="inlineStr">
        <is>
          <t>ราคาที่ลง ยังไม่รวมภาษี</t>
        </is>
      </c>
    </row>
    <row r="3557">
      <c r="B3557" s="6" t="inlineStr">
        <is>
          <t>ลูกขัดสนิม  4.5" x 1/2  3M</t>
        </is>
      </c>
      <c r="C3557" s="8" t="inlineStr">
        <is>
          <t>40ลูก</t>
        </is>
      </c>
      <c r="D3557" s="9" t="n">
        <v>111</v>
      </c>
      <c r="H3557" s="9" t="n">
        <v>4440</v>
      </c>
      <c r="I3557" s="10" t="inlineStr">
        <is>
          <t>ทาเลนท์</t>
        </is>
      </c>
      <c r="J3557" s="161" t="n">
        <v>24069</v>
      </c>
      <c r="K3557" s="8" t="inlineStr">
        <is>
          <t>IV2207094</t>
        </is>
      </c>
      <c r="L3557" s="8" t="inlineStr">
        <is>
          <t>ราคาที่ลง ยังไม่รวมภาษี</t>
        </is>
      </c>
    </row>
    <row r="3558">
      <c r="B3558" s="6" t="inlineStr">
        <is>
          <t>ลูกขัดสนิม  4.5" x 1/2  3M</t>
        </is>
      </c>
      <c r="C3558" s="8" t="inlineStr">
        <is>
          <t>40ลูก</t>
        </is>
      </c>
      <c r="D3558" s="9" t="n">
        <v>111</v>
      </c>
      <c r="H3558" s="9" t="n">
        <v>4440</v>
      </c>
      <c r="I3558" s="10" t="inlineStr">
        <is>
          <t>ทาเลนท์</t>
        </is>
      </c>
      <c r="J3558" s="161" t="n">
        <v>24110</v>
      </c>
      <c r="K3558" s="8" t="inlineStr">
        <is>
          <t>IV2209110</t>
        </is>
      </c>
      <c r="L3558" s="8" t="inlineStr">
        <is>
          <t>ราคาที่ลง ยังไม่รวมภาษี</t>
        </is>
      </c>
    </row>
    <row r="3559">
      <c r="B3559" s="6" t="inlineStr">
        <is>
          <t>ลูกขัดสนิม  4.5" x 1/2  3M</t>
        </is>
      </c>
      <c r="C3559" s="8" t="inlineStr">
        <is>
          <t>40ลูก</t>
        </is>
      </c>
      <c r="D3559" s="9" t="n">
        <v>111</v>
      </c>
      <c r="H3559" s="9" t="n">
        <v>4440</v>
      </c>
      <c r="I3559" s="10" t="inlineStr">
        <is>
          <t>ทาเลนท์</t>
        </is>
      </c>
      <c r="J3559" s="161" t="n">
        <v>24179</v>
      </c>
      <c r="K3559" s="8" t="inlineStr">
        <is>
          <t>IB3008531</t>
        </is>
      </c>
      <c r="L3559" s="8" t="inlineStr">
        <is>
          <t>ราคาที่ลง ยังไม่รวมภาษี</t>
        </is>
      </c>
    </row>
    <row r="3561">
      <c r="A3561" s="66" t="inlineStr">
        <is>
          <t>โปร 6กล่อง แถม 2กล่อง</t>
        </is>
      </c>
      <c r="B3561" s="40" t="inlineStr">
        <is>
          <t>ลูกขัดสนิม  4.5" 7/16" 13mm  ยี่ห้อ Tiger (1กล่อง = 12อัน)</t>
        </is>
      </c>
      <c r="C3561" s="36" t="inlineStr">
        <is>
          <t>96อัน</t>
        </is>
      </c>
      <c r="D3561" s="37">
        <f>SUM(H3561/96)</f>
        <v/>
      </c>
      <c r="E3561" s="37" t="n"/>
      <c r="F3561" s="36" t="n"/>
      <c r="G3561" s="38" t="n"/>
      <c r="H3561" s="37" t="n">
        <v>9360</v>
      </c>
      <c r="I3561" s="38" t="inlineStr">
        <is>
          <t>ออโต้เทรด</t>
        </is>
      </c>
      <c r="J3561" s="167" t="n">
        <v>24215</v>
      </c>
      <c r="K3561" s="36" t="inlineStr">
        <is>
          <t>IV1430628</t>
        </is>
      </c>
      <c r="L3561" s="8" t="inlineStr">
        <is>
          <t>ราคาที่ลง ยังไม่รวมภาษี</t>
        </is>
      </c>
    </row>
    <row r="3562">
      <c r="B3562" s="40" t="inlineStr">
        <is>
          <t>ลูกขัดสนิม  4.5" 7/16" 13mm  ยี่ห้อ Tiger (1กล่อง = 12อัน) **ในบิลระบุ20+5%แต่ลดจริง 24%</t>
        </is>
      </c>
      <c r="C3562" s="36" t="n">
        <v>120</v>
      </c>
      <c r="D3562" s="37" t="n">
        <v>130</v>
      </c>
      <c r="E3562" s="37" t="n"/>
      <c r="F3562" s="36" t="n">
        <v>24</v>
      </c>
      <c r="G3562" s="56" t="n"/>
      <c r="H3562" s="37">
        <f>SUM(D3562*C3562*0.76)</f>
        <v/>
      </c>
      <c r="I3562" s="38" t="inlineStr">
        <is>
          <t>ออโต้เทรด</t>
        </is>
      </c>
      <c r="J3562" s="167" t="n">
        <v>24215</v>
      </c>
      <c r="K3562" s="36" t="inlineStr">
        <is>
          <t>IV1430628</t>
        </is>
      </c>
      <c r="L3562" s="8" t="inlineStr">
        <is>
          <t>ราคาที่ลง ยังไม่รวมภาษี</t>
        </is>
      </c>
    </row>
    <row r="3563">
      <c r="A3563" s="79" t="inlineStr">
        <is>
          <t>โปร 8กล่อง แถม เครื่องขัดสนิม5นิ้วและคอปเปอร์1อัน</t>
        </is>
      </c>
      <c r="B3563" s="40" t="inlineStr">
        <is>
          <t xml:space="preserve">ลูกขัดสนิม  4.5" 7/16" 13mm  ยี่ห้อ Tiger (1กล่อง = 12อัน) </t>
        </is>
      </c>
      <c r="C3563" s="36" t="n">
        <v>96</v>
      </c>
      <c r="D3563" s="37" t="n">
        <v>130</v>
      </c>
      <c r="E3563" s="37" t="n"/>
      <c r="F3563" s="36" t="n">
        <v>20</v>
      </c>
      <c r="G3563" s="56" t="n"/>
      <c r="H3563" s="37">
        <f>SUM(D3563*C3563*0.8)</f>
        <v/>
      </c>
      <c r="I3563" s="38" t="inlineStr">
        <is>
          <t>ออโต้เทรด</t>
        </is>
      </c>
      <c r="J3563" s="167" t="n">
        <v>24623</v>
      </c>
      <c r="K3563" s="36" t="inlineStr">
        <is>
          <t>IV1449333</t>
        </is>
      </c>
      <c r="L3563" s="8" t="inlineStr">
        <is>
          <t>ราคาที่ลง ยังไม่รวมภาษี</t>
        </is>
      </c>
    </row>
    <row r="3566">
      <c r="A3566" s="66" t="inlineStr">
        <is>
          <t>สีอุตสาหกรรม</t>
        </is>
      </c>
      <c r="B3566" s="6" t="inlineStr">
        <is>
          <t>สีพ่นอุตสาหกรรม  ปีเตอร์  T244 (สีดำด้าน) กล.</t>
        </is>
      </c>
      <c r="C3566" s="8" t="inlineStr">
        <is>
          <t>2กล.</t>
        </is>
      </c>
      <c r="D3566" s="9" t="n">
        <v>425</v>
      </c>
      <c r="H3566" s="9" t="n">
        <v>850</v>
      </c>
      <c r="I3566" s="10" t="inlineStr">
        <is>
          <t>ไทยนคร</t>
        </is>
      </c>
      <c r="J3566" s="161" t="n">
        <v>22415</v>
      </c>
      <c r="L3566" s="6" t="n"/>
    </row>
    <row r="3567">
      <c r="B3567" s="6" t="inlineStr">
        <is>
          <t>สีพ่นอุตสาหกรรม  ปีเตอร์  T244 (สีดำด้าน) กล.</t>
        </is>
      </c>
      <c r="C3567" s="8" t="inlineStr">
        <is>
          <t>2กล.</t>
        </is>
      </c>
      <c r="D3567" s="9" t="n">
        <v>390</v>
      </c>
      <c r="H3567" s="9" t="n">
        <v>780</v>
      </c>
      <c r="I3567" s="10" t="inlineStr">
        <is>
          <t>ไทยนคร</t>
        </is>
      </c>
      <c r="J3567" s="161" t="n">
        <v>22758</v>
      </c>
    </row>
    <row r="3568">
      <c r="B3568" s="6" t="inlineStr">
        <is>
          <t>สีพ่นอุตสาหกรรม  ปีเตอร์  T244 (สีดำด้าน) กล.</t>
        </is>
      </c>
      <c r="C3568" s="8" t="inlineStr">
        <is>
          <t>2กล.</t>
        </is>
      </c>
      <c r="D3568" s="9" t="n">
        <v>390</v>
      </c>
      <c r="H3568" s="9" t="n">
        <v>780</v>
      </c>
      <c r="I3568" s="10" t="inlineStr">
        <is>
          <t>ไทยนคร</t>
        </is>
      </c>
      <c r="J3568" s="161" t="n">
        <v>23139</v>
      </c>
    </row>
    <row r="3569">
      <c r="B3569" s="6" t="inlineStr">
        <is>
          <t>สีพ่นอุตสาหกรรม  ปีเตอร์  T244 (สีดำด้าน) กล.</t>
        </is>
      </c>
      <c r="C3569" s="8" t="inlineStr">
        <is>
          <t>1กล.</t>
        </is>
      </c>
      <c r="D3569" s="9" t="n">
        <v>425</v>
      </c>
      <c r="H3569" s="9" t="n">
        <v>425</v>
      </c>
      <c r="I3569" s="10" t="inlineStr">
        <is>
          <t>ไทยนคร</t>
        </is>
      </c>
      <c r="J3569" s="161" t="n">
        <v>23215</v>
      </c>
    </row>
    <row r="3570">
      <c r="B3570" s="6" t="inlineStr">
        <is>
          <t>สีพ่นอุตสาหกรรม  ปีเตอร์  T244 (สีดำด้าน) กล.</t>
        </is>
      </c>
      <c r="C3570" s="8" t="inlineStr">
        <is>
          <t>2กล.</t>
        </is>
      </c>
      <c r="D3570" s="9" t="n">
        <v>425</v>
      </c>
      <c r="H3570" s="9" t="n">
        <v>850</v>
      </c>
      <c r="I3570" s="10" t="inlineStr">
        <is>
          <t>ไทยนคร</t>
        </is>
      </c>
      <c r="J3570" s="161" t="n">
        <v>22853</v>
      </c>
    </row>
    <row r="3571">
      <c r="B3571" s="6" t="inlineStr">
        <is>
          <t>สีพ่นอุตสาหกรรม  ปีเตอร์  T244 (สีดำด้าน) กล.</t>
        </is>
      </c>
      <c r="C3571" s="8" t="inlineStr">
        <is>
          <t>1กล.</t>
        </is>
      </c>
      <c r="D3571" s="9" t="n">
        <v>425</v>
      </c>
      <c r="H3571" s="9" t="n">
        <v>425</v>
      </c>
      <c r="I3571" s="10" t="inlineStr">
        <is>
          <t>ไทยนคร</t>
        </is>
      </c>
      <c r="J3571" s="161" t="n">
        <v>23299</v>
      </c>
    </row>
    <row r="3572">
      <c r="B3572" s="6" t="inlineStr">
        <is>
          <t>สีพ่นอุตสาหกรรม  ปีเตอร์  T244 (สีดำด้าน) กล.</t>
        </is>
      </c>
      <c r="C3572" s="8" t="inlineStr">
        <is>
          <t>2กล.</t>
        </is>
      </c>
      <c r="D3572" s="9" t="n">
        <v>425</v>
      </c>
      <c r="H3572" s="9" t="n">
        <v>850</v>
      </c>
      <c r="I3572" s="10" t="inlineStr">
        <is>
          <t>ไทยนคร</t>
        </is>
      </c>
      <c r="J3572" s="161" t="n">
        <v>23438</v>
      </c>
    </row>
    <row r="3573">
      <c r="B3573" s="6" t="inlineStr">
        <is>
          <t>สีพ่นอุตสาหกรรม  ปีเตอร์  T244 (สีดำด้าน) กล.</t>
        </is>
      </c>
      <c r="C3573" s="8" t="inlineStr">
        <is>
          <t>1กล.</t>
        </is>
      </c>
      <c r="D3573" s="9" t="n">
        <v>425</v>
      </c>
      <c r="H3573" s="9" t="n">
        <v>425</v>
      </c>
      <c r="I3573" s="10" t="inlineStr">
        <is>
          <t>ไทยนคร</t>
        </is>
      </c>
      <c r="J3573" s="161" t="n">
        <v>23533</v>
      </c>
      <c r="K3573" s="8" t="inlineStr">
        <is>
          <t>IV6406/0342</t>
        </is>
      </c>
    </row>
    <row r="3574">
      <c r="B3574" s="6" t="inlineStr">
        <is>
          <t>สีพ่นอุตสาหกรรม  ปีเตอร์  T244 (สีดำด้าน) กล.</t>
        </is>
      </c>
      <c r="C3574" s="8" t="inlineStr">
        <is>
          <t>1กล.</t>
        </is>
      </c>
      <c r="D3574" s="9" t="n">
        <v>425</v>
      </c>
      <c r="H3574" s="9" t="n">
        <v>425</v>
      </c>
      <c r="I3574" s="10" t="inlineStr">
        <is>
          <t>ไทยนคร</t>
        </is>
      </c>
      <c r="J3574" s="161" t="n">
        <v>23789</v>
      </c>
      <c r="K3574" s="8" t="inlineStr">
        <is>
          <t>INV22020634</t>
        </is>
      </c>
    </row>
    <row r="3575">
      <c r="B3575" s="6" t="inlineStr">
        <is>
          <t>สีพ่นอุตสาหกรรม  ปีเตอร์  T244 (สีดำด้าน) กล.</t>
        </is>
      </c>
      <c r="C3575" s="8" t="inlineStr">
        <is>
          <t>1กล.</t>
        </is>
      </c>
      <c r="D3575" s="9" t="n">
        <v>425</v>
      </c>
      <c r="H3575" s="9" t="n">
        <v>425</v>
      </c>
      <c r="I3575" s="10" t="inlineStr">
        <is>
          <t>ไทยนคร</t>
        </is>
      </c>
      <c r="J3575" s="161" t="n">
        <v>23865</v>
      </c>
      <c r="K3575" s="8" t="inlineStr">
        <is>
          <t>INV22050028</t>
        </is>
      </c>
    </row>
    <row r="3576">
      <c r="B3576" s="6" t="inlineStr">
        <is>
          <t>สีพ่นอุตสาหกรรม  ปีเตอร์  T244 (สีดำด้าน) กล.</t>
        </is>
      </c>
      <c r="C3576" s="8" t="inlineStr">
        <is>
          <t>1กล.</t>
        </is>
      </c>
      <c r="D3576" s="9" t="n">
        <v>425</v>
      </c>
      <c r="H3576" s="9" t="n">
        <v>425</v>
      </c>
      <c r="I3576" s="10" t="inlineStr">
        <is>
          <t>ไทยนคร</t>
        </is>
      </c>
      <c r="J3576" s="161" t="n">
        <v>24035</v>
      </c>
      <c r="K3576" s="8" t="inlineStr">
        <is>
          <t>INV22100716</t>
        </is>
      </c>
    </row>
    <row r="3577">
      <c r="B3577" s="6" t="inlineStr">
        <is>
          <t>สีพ่นอุตสาหกรรม  ปีเตอร์  T244 (สีดำด้าน) กล.</t>
        </is>
      </c>
      <c r="C3577" s="8" t="inlineStr">
        <is>
          <t>1กล.</t>
        </is>
      </c>
      <c r="D3577" s="9" t="n">
        <v>425</v>
      </c>
      <c r="H3577" s="9" t="n">
        <v>425</v>
      </c>
      <c r="I3577" s="10" t="inlineStr">
        <is>
          <t>ไทยนคร</t>
        </is>
      </c>
      <c r="J3577" s="161" t="n">
        <v>24183</v>
      </c>
      <c r="K3577" s="8" t="inlineStr">
        <is>
          <t>INV23030628</t>
        </is>
      </c>
    </row>
    <row r="3578">
      <c r="B3578" s="6" t="inlineStr">
        <is>
          <t>สีพ่นอุตสาหกรรม  ปีเตอร์  T244 (สีดำด้าน) กล.</t>
        </is>
      </c>
      <c r="C3578" s="8" t="inlineStr">
        <is>
          <t>1กล.</t>
        </is>
      </c>
      <c r="D3578" s="9" t="n">
        <v>425</v>
      </c>
      <c r="H3578" s="9" t="n">
        <v>425</v>
      </c>
      <c r="I3578" s="10" t="inlineStr">
        <is>
          <t>ไทยนคร</t>
        </is>
      </c>
      <c r="J3578" s="161" t="n">
        <v>24231</v>
      </c>
      <c r="K3578" s="8" t="inlineStr">
        <is>
          <t>INV23050155</t>
        </is>
      </c>
    </row>
    <row r="3579">
      <c r="B3579" s="6" t="inlineStr">
        <is>
          <t>สีพ่นอุตสาหกรรม  ปีเตอร์  T244 (สีดำด้าน) กล.</t>
        </is>
      </c>
      <c r="C3579" s="8" t="inlineStr">
        <is>
          <t>1กล.</t>
        </is>
      </c>
      <c r="D3579" s="9" t="n">
        <v>425</v>
      </c>
      <c r="H3579" s="9" t="n">
        <v>425</v>
      </c>
      <c r="I3579" s="10" t="inlineStr">
        <is>
          <t>ไทยนคร</t>
        </is>
      </c>
      <c r="J3579" s="161" t="n">
        <v>24334</v>
      </c>
      <c r="K3579" s="8" t="inlineStr">
        <is>
          <t>INV23080494</t>
        </is>
      </c>
    </row>
    <row r="3580">
      <c r="B3580" s="6" t="inlineStr">
        <is>
          <t>สีพ่นอุตสาหกรรม  ปีเตอร์  T244 (สีดำด้าน) กล.</t>
        </is>
      </c>
      <c r="C3580" s="8" t="inlineStr">
        <is>
          <t>1กล.</t>
        </is>
      </c>
      <c r="D3580" s="9" t="n">
        <v>425</v>
      </c>
      <c r="H3580" s="9" t="n">
        <v>425</v>
      </c>
      <c r="I3580" s="10" t="inlineStr">
        <is>
          <t>ไทยนคร</t>
        </is>
      </c>
      <c r="J3580" s="161" t="n">
        <v>24361</v>
      </c>
      <c r="K3580" s="8" t="inlineStr">
        <is>
          <t>INV23090410</t>
        </is>
      </c>
    </row>
    <row r="3581">
      <c r="B3581" s="6" t="inlineStr">
        <is>
          <t>สีพ่นอุตสาหกรรม  ปีเตอร์  T244 (สีดำด้าน) กล.</t>
        </is>
      </c>
      <c r="C3581" s="8" t="inlineStr">
        <is>
          <t>1กล.</t>
        </is>
      </c>
      <c r="D3581" s="9" t="n">
        <v>425</v>
      </c>
      <c r="H3581" s="9" t="n">
        <v>425</v>
      </c>
      <c r="I3581" s="10" t="inlineStr">
        <is>
          <t>ไทยนคร</t>
        </is>
      </c>
      <c r="J3581" s="161" t="n">
        <v>24422</v>
      </c>
      <c r="K3581" s="8" t="inlineStr">
        <is>
          <t>INV23110457</t>
        </is>
      </c>
    </row>
    <row r="3582">
      <c r="B3582" s="6" t="inlineStr">
        <is>
          <t>สีพ่นอุตสาหกรรม  ปีเตอร์  T244 (สีดำด้าน) กล.</t>
        </is>
      </c>
      <c r="C3582" s="8" t="inlineStr">
        <is>
          <t>1กล.</t>
        </is>
      </c>
      <c r="D3582" s="9" t="n">
        <v>425</v>
      </c>
      <c r="H3582" s="9" t="n">
        <v>425</v>
      </c>
      <c r="I3582" s="10" t="inlineStr">
        <is>
          <t>ไทยนคร</t>
        </is>
      </c>
      <c r="J3582" s="161" t="n">
        <v>24398</v>
      </c>
      <c r="K3582" s="8" t="inlineStr">
        <is>
          <t>INV23100640</t>
        </is>
      </c>
    </row>
    <row r="3583">
      <c r="B3583" s="6" t="inlineStr">
        <is>
          <t>สีพ่นอุตสาหกรรม  นาโกย่า 914 (สีดำด้าน) กล. (3.2 Kg.)</t>
        </is>
      </c>
      <c r="C3583" s="8" t="n">
        <v>1</v>
      </c>
      <c r="D3583" s="9" t="n">
        <v>380</v>
      </c>
      <c r="H3583" s="9">
        <f>SUM(C3583*D3583)</f>
        <v/>
      </c>
      <c r="I3583" s="10" t="inlineStr">
        <is>
          <t>ทาเลนท์</t>
        </is>
      </c>
      <c r="J3583" s="161" t="n">
        <v>24447</v>
      </c>
      <c r="K3583" s="8" t="inlineStr">
        <is>
          <t>IV2225024</t>
        </is>
      </c>
    </row>
    <row r="3584">
      <c r="B3584" s="6" t="inlineStr">
        <is>
          <t>สีพ่นอุตสาหกรรม  นาโกย่า 914 (สีดำด้าน) กล. (3.2 Kg.)</t>
        </is>
      </c>
      <c r="C3584" s="8" t="n">
        <v>4</v>
      </c>
      <c r="D3584" s="9" t="n">
        <v>380</v>
      </c>
      <c r="H3584" s="9">
        <f>SUM(C3584*D3584)</f>
        <v/>
      </c>
      <c r="I3584" s="10" t="inlineStr">
        <is>
          <t>ทาเลนท์</t>
        </is>
      </c>
      <c r="J3584" s="161" t="n">
        <v>24505</v>
      </c>
      <c r="K3584" s="8" t="inlineStr">
        <is>
          <t>IV2228112</t>
        </is>
      </c>
      <c r="L3584" s="8" t="inlineStr">
        <is>
          <t>ราคาไม่รวม VAT</t>
        </is>
      </c>
    </row>
    <row r="3585">
      <c r="B3585" s="6" t="inlineStr">
        <is>
          <t>สีพ่นอุตสาหกรรม  นาโกย่า 914 (สีดำด้าน) กล. (3.2 Kg.)</t>
        </is>
      </c>
      <c r="C3585" s="8" t="n">
        <v>4</v>
      </c>
      <c r="D3585" s="9" t="n">
        <v>380</v>
      </c>
      <c r="H3585" s="9">
        <f>SUM(C3585*D3585)</f>
        <v/>
      </c>
      <c r="I3585" s="10" t="inlineStr">
        <is>
          <t>ทาเลนท์</t>
        </is>
      </c>
      <c r="J3585" s="161" t="n">
        <v>24601</v>
      </c>
      <c r="K3585" s="8" t="inlineStr">
        <is>
          <t>IV2233217</t>
        </is>
      </c>
      <c r="L3585" s="8" t="inlineStr">
        <is>
          <t>ราคาไม่รวม VAT</t>
        </is>
      </c>
    </row>
    <row r="3586">
      <c r="B3586" s="6" t="inlineStr">
        <is>
          <t>สีพ่นอุตสาหกรรม  ปีเตอร์  T244 (สีดำด้าน) กล.</t>
        </is>
      </c>
      <c r="C3586" s="8" t="n">
        <v>1</v>
      </c>
      <c r="D3586" s="9" t="n">
        <v>425</v>
      </c>
      <c r="E3586" s="9">
        <f>SUM(C3586*D3586)</f>
        <v/>
      </c>
      <c r="G3586" s="10" t="inlineStr">
        <is>
          <t>ราคารวมVAT =</t>
        </is>
      </c>
      <c r="H3586" s="9">
        <f>SUM(E3586*O3586/N3586)</f>
        <v/>
      </c>
      <c r="I3586" s="10" t="inlineStr">
        <is>
          <t>ไทยนคร</t>
        </is>
      </c>
      <c r="J3586" s="161" t="n">
        <v>24996</v>
      </c>
      <c r="K3586" s="8" t="inlineStr">
        <is>
          <t>INV25060323</t>
        </is>
      </c>
      <c r="N3586" s="6" t="n">
        <v>100</v>
      </c>
      <c r="O3586" s="6" t="n">
        <v>107</v>
      </c>
    </row>
    <row r="3587">
      <c r="B3587" s="6" t="inlineStr">
        <is>
          <t>สีพ่นอุตสาหกรรม  นาโกย่า 914 (สีดำด้าน) กล. (3.2 Kg.)</t>
        </is>
      </c>
      <c r="C3587" s="8" t="n">
        <v>8</v>
      </c>
      <c r="D3587" s="9" t="n">
        <v>370</v>
      </c>
      <c r="E3587" s="9">
        <f>SUM(C3587*D3587)</f>
        <v/>
      </c>
      <c r="G3587" s="10" t="inlineStr">
        <is>
          <t>ราคารวมVAT =</t>
        </is>
      </c>
      <c r="H3587" s="9">
        <f>SUM(E3587*O3587/N3587)</f>
        <v/>
      </c>
      <c r="I3587" s="10" t="inlineStr">
        <is>
          <t>ทาเลนท์</t>
        </is>
      </c>
      <c r="J3587" s="161" t="n">
        <v>24996</v>
      </c>
      <c r="K3587" s="8" t="inlineStr">
        <is>
          <t>IV6809132</t>
        </is>
      </c>
      <c r="N3587" s="6" t="n">
        <v>100</v>
      </c>
      <c r="O3587" s="6" t="n">
        <v>107</v>
      </c>
    </row>
    <row r="3589">
      <c r="B3589" s="6" t="inlineStr">
        <is>
          <t>สีพ่นอุตสาหกรรม  ปีเตอร์  T214 (สีดำเงา) กล.</t>
        </is>
      </c>
      <c r="C3589" s="8" t="inlineStr">
        <is>
          <t>4กล.</t>
        </is>
      </c>
      <c r="D3589" s="9" t="n">
        <v>390</v>
      </c>
      <c r="H3589" s="9" t="n">
        <v>1560</v>
      </c>
      <c r="I3589" s="10" t="inlineStr">
        <is>
          <t>ไทยนคร</t>
        </is>
      </c>
      <c r="J3589" s="161" t="n">
        <v>22415</v>
      </c>
      <c r="L3589" s="6" t="n"/>
    </row>
    <row r="3590">
      <c r="B3590" s="6" t="inlineStr">
        <is>
          <t>สีพ่นอุตสาหกรรม  ปีเตอร์  T214 (สีดำเงา) กล.</t>
        </is>
      </c>
      <c r="C3590" s="8" t="inlineStr">
        <is>
          <t>2กล.</t>
        </is>
      </c>
      <c r="D3590" s="9" t="n">
        <v>390</v>
      </c>
      <c r="H3590" s="9" t="n">
        <v>780</v>
      </c>
      <c r="I3590" s="10" t="inlineStr">
        <is>
          <t>ไทยนคร</t>
        </is>
      </c>
      <c r="J3590" s="161" t="n">
        <v>23215</v>
      </c>
    </row>
    <row r="3591">
      <c r="B3591" s="6" t="inlineStr">
        <is>
          <t>สีพ่นอุตสาหกรรม  ปีเตอร์  T214 (สีดำเงา) กล.</t>
        </is>
      </c>
      <c r="C3591" s="8" t="inlineStr">
        <is>
          <t>1กล.</t>
        </is>
      </c>
      <c r="D3591" s="9" t="n">
        <v>390</v>
      </c>
      <c r="H3591" s="9" t="n">
        <v>390</v>
      </c>
      <c r="I3591" s="10" t="inlineStr">
        <is>
          <t>ไทยนคร</t>
        </is>
      </c>
      <c r="J3591" s="161" t="n">
        <v>23299</v>
      </c>
    </row>
    <row r="3592">
      <c r="B3592" s="6" t="inlineStr">
        <is>
          <t>สีพ่นอุตสาหกรรม  ปีเตอร์  T214 (สีดำเงา) กล.</t>
        </is>
      </c>
      <c r="C3592" s="8" t="inlineStr">
        <is>
          <t>1กล.</t>
        </is>
      </c>
      <c r="D3592" s="9" t="n">
        <v>390</v>
      </c>
      <c r="H3592" s="9" t="n">
        <v>390</v>
      </c>
      <c r="I3592" s="10" t="inlineStr">
        <is>
          <t>ไทยนคร</t>
        </is>
      </c>
      <c r="J3592" s="161" t="n">
        <v>23533</v>
      </c>
      <c r="K3592" s="8" t="inlineStr">
        <is>
          <t>IV6406/0342</t>
        </is>
      </c>
    </row>
    <row r="3593">
      <c r="B3593" s="6" t="inlineStr">
        <is>
          <t>สีพ่นอุตสาหกรรม  ปีเตอร์  T214 (สีดำเงา) กล.</t>
        </is>
      </c>
      <c r="C3593" s="8" t="inlineStr">
        <is>
          <t>1กล.</t>
        </is>
      </c>
      <c r="D3593" s="9" t="n">
        <v>390</v>
      </c>
      <c r="H3593" s="9" t="n">
        <v>390</v>
      </c>
      <c r="I3593" s="10" t="inlineStr">
        <is>
          <t>ไทยนคร</t>
        </is>
      </c>
      <c r="J3593" s="161" t="n">
        <v>23789</v>
      </c>
      <c r="K3593" s="8" t="inlineStr">
        <is>
          <t>INV22020634</t>
        </is>
      </c>
    </row>
    <row r="3594">
      <c r="B3594" s="6" t="inlineStr">
        <is>
          <t>สีพ่นอุตสาหกรรม  ปีเตอร์  T214 (สีดำเงา) กล.</t>
        </is>
      </c>
      <c r="C3594" s="8" t="inlineStr">
        <is>
          <t>1กล.</t>
        </is>
      </c>
      <c r="D3594" s="9" t="n">
        <v>390</v>
      </c>
      <c r="H3594" s="9" t="n">
        <v>390</v>
      </c>
      <c r="I3594" s="10" t="inlineStr">
        <is>
          <t>ไทยนคร</t>
        </is>
      </c>
      <c r="J3594" s="161" t="n">
        <v>23865</v>
      </c>
      <c r="K3594" s="8" t="inlineStr">
        <is>
          <t>INV22050028</t>
        </is>
      </c>
    </row>
    <row r="3595">
      <c r="B3595" s="6" t="inlineStr">
        <is>
          <t>สีพ่นอุตสาหกรรม  ปีเตอร์  T214 (สีดำเงา) กล.</t>
        </is>
      </c>
      <c r="C3595" s="8" t="inlineStr">
        <is>
          <t>1กล.</t>
        </is>
      </c>
      <c r="D3595" s="9" t="n">
        <v>390</v>
      </c>
      <c r="H3595" s="9" t="n">
        <v>390</v>
      </c>
      <c r="I3595" s="10" t="inlineStr">
        <is>
          <t>ไทยนคร</t>
        </is>
      </c>
      <c r="J3595" s="161" t="n">
        <v>24035</v>
      </c>
      <c r="K3595" s="8" t="inlineStr">
        <is>
          <t>INV22100716</t>
        </is>
      </c>
    </row>
    <row r="3596">
      <c r="B3596" s="6" t="inlineStr">
        <is>
          <t>สีพ่นอุตสาหกรรม  ปีเตอร์  T214 (สีดำเงา) กล.</t>
        </is>
      </c>
      <c r="C3596" s="8" t="inlineStr">
        <is>
          <t>1กล.</t>
        </is>
      </c>
      <c r="D3596" s="9" t="n">
        <v>390</v>
      </c>
      <c r="H3596" s="9" t="n">
        <v>390</v>
      </c>
      <c r="I3596" s="10" t="inlineStr">
        <is>
          <t>ไทยนคร</t>
        </is>
      </c>
      <c r="J3596" s="161" t="n">
        <v>24183</v>
      </c>
      <c r="K3596" s="8" t="inlineStr">
        <is>
          <t>INV23030628</t>
        </is>
      </c>
    </row>
    <row r="3597">
      <c r="B3597" s="6" t="inlineStr">
        <is>
          <t>สีพ่นอุตสาหกรรม  ปีเตอร์  T214 (สีดำเงา) กล.</t>
        </is>
      </c>
      <c r="C3597" s="8" t="inlineStr">
        <is>
          <t>1กล.</t>
        </is>
      </c>
      <c r="D3597" s="9" t="n">
        <v>390</v>
      </c>
      <c r="H3597" s="9" t="n">
        <v>390</v>
      </c>
      <c r="I3597" s="10" t="inlineStr">
        <is>
          <t>ไทยนคร</t>
        </is>
      </c>
      <c r="J3597" s="161" t="n">
        <v>24231</v>
      </c>
      <c r="K3597" s="8" t="inlineStr">
        <is>
          <t>INV23050155</t>
        </is>
      </c>
    </row>
    <row r="3598">
      <c r="B3598" s="6" t="inlineStr">
        <is>
          <t>สีพ่นอุตสาหกรรม  ปีเตอร์  T214 (สีดำเงา) กล.</t>
        </is>
      </c>
      <c r="C3598" s="8" t="inlineStr">
        <is>
          <t>1กล.</t>
        </is>
      </c>
      <c r="D3598" s="9" t="n">
        <v>390</v>
      </c>
      <c r="H3598" s="9" t="n">
        <v>390</v>
      </c>
      <c r="I3598" s="10" t="inlineStr">
        <is>
          <t>ไทยนคร</t>
        </is>
      </c>
      <c r="J3598" s="161" t="n">
        <v>24334</v>
      </c>
      <c r="K3598" s="8" t="inlineStr">
        <is>
          <t>INV23080494</t>
        </is>
      </c>
    </row>
    <row r="3599">
      <c r="B3599" s="6" t="inlineStr">
        <is>
          <t>สีพ่นอุตสาหกรรม  ปีเตอร์  T214 (สีดำเงา) กล.</t>
        </is>
      </c>
      <c r="C3599" s="8" t="inlineStr">
        <is>
          <t>1กล.</t>
        </is>
      </c>
      <c r="D3599" s="9" t="n">
        <v>390</v>
      </c>
      <c r="H3599" s="9" t="n">
        <v>390</v>
      </c>
      <c r="I3599" s="10" t="inlineStr">
        <is>
          <t>ไทยนคร</t>
        </is>
      </c>
      <c r="J3599" s="161" t="n">
        <v>24361</v>
      </c>
      <c r="K3599" s="8" t="inlineStr">
        <is>
          <t>INV23090410</t>
        </is>
      </c>
    </row>
    <row r="3600">
      <c r="B3600" s="6" t="inlineStr">
        <is>
          <t>สีพ่นอุตสาหกรรม  ปีเตอร์  T214 (สีดำเงา) กล.</t>
        </is>
      </c>
      <c r="C3600" s="8" t="inlineStr">
        <is>
          <t>1กล.</t>
        </is>
      </c>
      <c r="D3600" s="9" t="n">
        <v>390</v>
      </c>
      <c r="H3600" s="9" t="n">
        <v>390</v>
      </c>
      <c r="I3600" s="10" t="inlineStr">
        <is>
          <t>ไทยนคร</t>
        </is>
      </c>
      <c r="J3600" s="161" t="n">
        <v>24398</v>
      </c>
      <c r="K3600" s="8" t="inlineStr">
        <is>
          <t>INV23100640</t>
        </is>
      </c>
    </row>
    <row r="3601">
      <c r="B3601" s="6" t="inlineStr">
        <is>
          <t>สีพ่นอุตสาหกรรม  นาโกย่า 902 (สีดำเงา) กล. (3.2 Kg.)</t>
        </is>
      </c>
      <c r="C3601" s="8" t="n">
        <v>2</v>
      </c>
      <c r="D3601" s="9" t="n">
        <v>380</v>
      </c>
      <c r="H3601" s="9">
        <f>SUM(C3601*D3601)</f>
        <v/>
      </c>
      <c r="I3601" s="10" t="inlineStr">
        <is>
          <t>ทาเลนท์</t>
        </is>
      </c>
      <c r="J3601" s="161" t="n">
        <v>24447</v>
      </c>
      <c r="K3601" s="8" t="inlineStr">
        <is>
          <t>IV2225024</t>
        </is>
      </c>
    </row>
    <row r="3602">
      <c r="B3602" s="6" t="inlineStr">
        <is>
          <t>สีพ่นอุตสาหกรรม  นาโกย่า 902 (สีดำเงา) กล. (3.2 Kg.)</t>
        </is>
      </c>
      <c r="C3602" s="8" t="n">
        <v>4</v>
      </c>
      <c r="D3602" s="9" t="n">
        <v>380</v>
      </c>
      <c r="H3602" s="9">
        <f>SUM(C3602*D3602)</f>
        <v/>
      </c>
      <c r="I3602" s="10" t="inlineStr">
        <is>
          <t>ทาเลนท์</t>
        </is>
      </c>
      <c r="J3602" s="161" t="n">
        <v>24505</v>
      </c>
      <c r="K3602" s="8" t="inlineStr">
        <is>
          <t>IV2228112</t>
        </is>
      </c>
      <c r="L3602" s="8" t="inlineStr">
        <is>
          <t>ราคาไม่รวม VAT</t>
        </is>
      </c>
    </row>
    <row r="3603">
      <c r="B3603" s="6" t="inlineStr">
        <is>
          <t>สีพ่นอุตสาหกรรม  นาโกย่า 902 (สีดำเงา) กล. (3.2 Kg.)</t>
        </is>
      </c>
      <c r="C3603" s="8" t="n">
        <v>3</v>
      </c>
      <c r="D3603" s="9" t="n">
        <v>380</v>
      </c>
      <c r="H3603" s="9">
        <f>SUM(C3603*D3603)</f>
        <v/>
      </c>
      <c r="I3603" s="10" t="inlineStr">
        <is>
          <t>ทาเลนท์</t>
        </is>
      </c>
      <c r="J3603" s="161" t="n">
        <v>24601</v>
      </c>
      <c r="K3603" s="8" t="inlineStr">
        <is>
          <t>IV2233217</t>
        </is>
      </c>
      <c r="L3603" s="8" t="inlineStr">
        <is>
          <t>ราคาไม่รวม VAT</t>
        </is>
      </c>
    </row>
    <row r="3604">
      <c r="B3604" s="6" t="inlineStr">
        <is>
          <t>สีพ่นอุตสาหกรรม  ปีเตอร์  T214 (สีดำเงา) กล.</t>
        </is>
      </c>
      <c r="C3604" s="8" t="n">
        <v>1</v>
      </c>
      <c r="D3604" s="9" t="n">
        <v>395</v>
      </c>
      <c r="E3604" s="9">
        <f>SUM(C3604*D3604)</f>
        <v/>
      </c>
      <c r="G3604" s="10" t="inlineStr">
        <is>
          <t>ราคารวมVAT =</t>
        </is>
      </c>
      <c r="H3604" s="9">
        <f>SUM(E3604*O3604/N3604)</f>
        <v/>
      </c>
      <c r="I3604" s="10" t="inlineStr">
        <is>
          <t>ไทยนคร</t>
        </is>
      </c>
      <c r="J3604" s="161" t="n">
        <v>24996</v>
      </c>
      <c r="K3604" s="8" t="inlineStr">
        <is>
          <t>INV25060323</t>
        </is>
      </c>
      <c r="N3604" s="6" t="n">
        <v>100</v>
      </c>
      <c r="O3604" s="6" t="n">
        <v>107</v>
      </c>
    </row>
    <row r="3605">
      <c r="B3605" s="6" t="inlineStr">
        <is>
          <t>สีพ่นอุตสาหกรรม  นาโกย่า 902 (สีดำเงา) กล. (3.2 Kg.)</t>
        </is>
      </c>
      <c r="C3605" s="8" t="n">
        <v>8</v>
      </c>
      <c r="D3605" s="9" t="n">
        <v>370</v>
      </c>
      <c r="E3605" s="9">
        <f>SUM(C3605*D3605)</f>
        <v/>
      </c>
      <c r="G3605" s="10" t="inlineStr">
        <is>
          <t>ราคารวมVAT =</t>
        </is>
      </c>
      <c r="H3605" s="9">
        <f>SUM(E3605*O3605/N3605)</f>
        <v/>
      </c>
      <c r="I3605" s="10" t="inlineStr">
        <is>
          <t>ทาเลนท์</t>
        </is>
      </c>
      <c r="J3605" s="161" t="n">
        <v>24996</v>
      </c>
      <c r="K3605" s="8" t="inlineStr">
        <is>
          <t>IV6809132</t>
        </is>
      </c>
      <c r="N3605" s="6" t="n">
        <v>100</v>
      </c>
      <c r="O3605" s="6" t="n">
        <v>107</v>
      </c>
    </row>
    <row r="3607">
      <c r="B3607" s="6" t="inlineStr">
        <is>
          <t>สีพ่นอุตสาหกรรม HYBRID ขาวเงา S901 -- ใช้พ่นผนังห้องพ่นสี</t>
        </is>
      </c>
      <c r="C3607" s="8" t="n">
        <v>12</v>
      </c>
      <c r="D3607" s="9" t="n">
        <v>420</v>
      </c>
      <c r="E3607" s="9">
        <f>SUM(C3607*D3607)</f>
        <v/>
      </c>
      <c r="G3607" s="10" t="inlineStr">
        <is>
          <t>ราคารวมVAT =</t>
        </is>
      </c>
      <c r="H3607" s="9">
        <f>SUM(E3607*O3607/N3607)</f>
        <v/>
      </c>
      <c r="I3607" s="10" t="inlineStr">
        <is>
          <t>บจก. วีที คัลเลอร์ โปร</t>
        </is>
      </c>
      <c r="J3607" s="161" t="n">
        <v>25156</v>
      </c>
      <c r="K3607" s="8" t="inlineStr">
        <is>
          <t>IV6811111</t>
        </is>
      </c>
      <c r="N3607" s="6" t="n">
        <v>100</v>
      </c>
      <c r="O3607" s="6" t="n">
        <v>107</v>
      </c>
    </row>
    <row r="3609">
      <c r="B3609" s="6" t="inlineStr">
        <is>
          <t>น้ำยาทาผนังดักฝุ่นพ่นสี -- ใช้ทาผนังห้องพ่นสี</t>
        </is>
      </c>
      <c r="C3609" s="8" t="n">
        <v>3</v>
      </c>
      <c r="D3609" s="9" t="n">
        <v>1000</v>
      </c>
      <c r="E3609" s="9">
        <f>SUM(C3609*D3609)</f>
        <v/>
      </c>
      <c r="G3609" s="10" t="inlineStr">
        <is>
          <t>ราคารวมVAT =</t>
        </is>
      </c>
      <c r="H3609" s="9">
        <f>SUM(E3609*O3609/N3609)</f>
        <v/>
      </c>
      <c r="I3609" s="10" t="inlineStr">
        <is>
          <t>บจก. วีที คัลเลอร์ โปร</t>
        </is>
      </c>
      <c r="J3609" s="161" t="n">
        <v>25156</v>
      </c>
      <c r="K3609" s="8" t="inlineStr">
        <is>
          <t>IV6811111</t>
        </is>
      </c>
      <c r="N3609" s="6" t="n">
        <v>100</v>
      </c>
      <c r="O3609" s="6" t="n">
        <v>107</v>
      </c>
    </row>
    <row r="3611">
      <c r="A3611" s="66" t="inlineStr">
        <is>
          <t>สีสเปย์</t>
        </is>
      </c>
      <c r="B3611" s="6" t="inlineStr">
        <is>
          <t>สีดำด้าน 212 WIN</t>
        </is>
      </c>
      <c r="C3611" s="8" t="inlineStr">
        <is>
          <t>1โหล</t>
        </is>
      </c>
      <c r="D3611" s="9" t="n">
        <v>42.5</v>
      </c>
      <c r="H3611" s="9" t="n">
        <v>510</v>
      </c>
      <c r="I3611" s="10" t="inlineStr">
        <is>
          <t>ศรีสยาม</t>
        </is>
      </c>
      <c r="J3611" s="161" t="n">
        <v>22467</v>
      </c>
    </row>
    <row r="3612">
      <c r="B3612" s="6" t="inlineStr">
        <is>
          <t>สีดำด้าน 212 WIN</t>
        </is>
      </c>
      <c r="C3612" s="8" t="inlineStr">
        <is>
          <t>1โหล</t>
        </is>
      </c>
      <c r="D3612" s="9" t="n">
        <v>42.5</v>
      </c>
      <c r="H3612" s="9" t="n">
        <v>510</v>
      </c>
      <c r="I3612" s="10" t="inlineStr">
        <is>
          <t>ศรีสยาม</t>
        </is>
      </c>
      <c r="J3612" s="161" t="n">
        <v>22979</v>
      </c>
    </row>
    <row r="3613">
      <c r="B3613" s="6" t="inlineStr">
        <is>
          <t>สีดำด้าน 212 WIN</t>
        </is>
      </c>
      <c r="C3613" s="8" t="inlineStr">
        <is>
          <t>2โหล</t>
        </is>
      </c>
      <c r="D3613" s="9" t="n">
        <v>42.5</v>
      </c>
      <c r="H3613" s="9" t="n">
        <v>1020</v>
      </c>
      <c r="I3613" s="10" t="inlineStr">
        <is>
          <t>ศรีสยาม</t>
        </is>
      </c>
      <c r="J3613" s="161" t="n">
        <v>23029</v>
      </c>
    </row>
    <row r="3614">
      <c r="B3614" s="6" t="inlineStr">
        <is>
          <t>สีดำด้าน 212 WIN</t>
        </is>
      </c>
      <c r="C3614" s="8" t="inlineStr">
        <is>
          <t>1โหล</t>
        </is>
      </c>
      <c r="D3614" s="9" t="n">
        <v>40.83</v>
      </c>
      <c r="H3614" s="9" t="n">
        <v>490</v>
      </c>
      <c r="I3614" s="10" t="inlineStr">
        <is>
          <t>จิตต์อะไหล่</t>
        </is>
      </c>
      <c r="J3614" s="161" t="n">
        <v>23126</v>
      </c>
    </row>
    <row r="3615">
      <c r="B3615" s="6" t="inlineStr">
        <is>
          <t>สีดำด้าน 212 WIN</t>
        </is>
      </c>
      <c r="C3615" s="8" t="inlineStr">
        <is>
          <t>1โหล</t>
        </is>
      </c>
      <c r="D3615" s="9" t="n">
        <v>40.83</v>
      </c>
      <c r="H3615" s="9" t="n">
        <v>490</v>
      </c>
      <c r="I3615" s="10" t="inlineStr">
        <is>
          <t>จิตต์อะไหล่</t>
        </is>
      </c>
      <c r="J3615" s="161" t="n">
        <v>23206</v>
      </c>
    </row>
    <row r="3616">
      <c r="B3616" s="6" t="inlineStr">
        <is>
          <t>สีดำด้าน 212 WIN</t>
        </is>
      </c>
      <c r="C3616" s="8" t="inlineStr">
        <is>
          <t>1โหล</t>
        </is>
      </c>
      <c r="D3616" s="9" t="n">
        <v>40.83</v>
      </c>
      <c r="H3616" s="9" t="n">
        <v>490</v>
      </c>
      <c r="I3616" s="10" t="inlineStr">
        <is>
          <t>จิตต์อะไหล่</t>
        </is>
      </c>
      <c r="J3616" s="161" t="n">
        <v>23221</v>
      </c>
    </row>
    <row r="3617">
      <c r="B3617" s="6" t="inlineStr">
        <is>
          <t>สีดำด้าน 212 WIN</t>
        </is>
      </c>
      <c r="C3617" s="8" t="inlineStr">
        <is>
          <t>1โหล</t>
        </is>
      </c>
      <c r="D3617" s="9" t="n">
        <v>40.83</v>
      </c>
      <c r="H3617" s="9" t="n">
        <v>490</v>
      </c>
      <c r="I3617" s="10" t="inlineStr">
        <is>
          <t>จิตต์อะไหล่</t>
        </is>
      </c>
      <c r="J3617" s="161" t="n">
        <v>23240</v>
      </c>
    </row>
    <row r="3618">
      <c r="B3618" s="6" t="inlineStr">
        <is>
          <t>สีดำด้าน 212 WIN</t>
        </is>
      </c>
      <c r="C3618" s="8" t="inlineStr">
        <is>
          <t>1โหล</t>
        </is>
      </c>
      <c r="D3618" s="9" t="n">
        <v>40.83</v>
      </c>
      <c r="H3618" s="9" t="n">
        <v>490</v>
      </c>
      <c r="I3618" s="10" t="inlineStr">
        <is>
          <t>จิตต์อะไหล่</t>
        </is>
      </c>
      <c r="J3618" s="161" t="n">
        <v>23251</v>
      </c>
    </row>
    <row r="3619">
      <c r="B3619" s="6" t="inlineStr">
        <is>
          <t>สีดำด้าน 212 WIN</t>
        </is>
      </c>
      <c r="C3619" s="8" t="inlineStr">
        <is>
          <t>1โหล</t>
        </is>
      </c>
      <c r="D3619" s="9" t="n">
        <v>40.83</v>
      </c>
      <c r="H3619" s="9" t="n">
        <v>490</v>
      </c>
      <c r="I3619" s="10" t="inlineStr">
        <is>
          <t>จิตต์อะไหล่</t>
        </is>
      </c>
      <c r="J3619" s="161" t="n">
        <v>23277</v>
      </c>
    </row>
    <row r="3620">
      <c r="B3620" s="6" t="inlineStr">
        <is>
          <t>สีดำด้าน 212 WIN</t>
        </is>
      </c>
      <c r="C3620" s="8" t="inlineStr">
        <is>
          <t>1โหล</t>
        </is>
      </c>
      <c r="D3620" s="9" t="n">
        <v>40.83</v>
      </c>
      <c r="H3620" s="9" t="n">
        <v>490</v>
      </c>
      <c r="I3620" s="10" t="inlineStr">
        <is>
          <t>จิตต์อะไหล่</t>
        </is>
      </c>
      <c r="J3620" s="161" t="n">
        <v>23298</v>
      </c>
    </row>
    <row r="3621">
      <c r="B3621" s="6" t="inlineStr">
        <is>
          <t>สีดำด้าน 212 WIN</t>
        </is>
      </c>
      <c r="C3621" s="8" t="inlineStr">
        <is>
          <t>1โหล</t>
        </is>
      </c>
      <c r="D3621" s="9" t="n">
        <v>40.83</v>
      </c>
      <c r="H3621" s="9" t="n">
        <v>490</v>
      </c>
      <c r="I3621" s="10" t="inlineStr">
        <is>
          <t>จิตต์อะไหล่</t>
        </is>
      </c>
      <c r="J3621" s="161" t="n">
        <v>23312</v>
      </c>
    </row>
    <row r="3622">
      <c r="B3622" s="6" t="inlineStr">
        <is>
          <t>สีดำด้าน 212 WIN</t>
        </is>
      </c>
      <c r="C3622" s="8" t="inlineStr">
        <is>
          <t>1โหล</t>
        </is>
      </c>
      <c r="D3622" s="9" t="n">
        <v>40.83</v>
      </c>
      <c r="H3622" s="9" t="n">
        <v>490</v>
      </c>
      <c r="I3622" s="10" t="inlineStr">
        <is>
          <t>จิตต์อะไหล่</t>
        </is>
      </c>
      <c r="J3622" s="161" t="n">
        <v>23343</v>
      </c>
    </row>
    <row r="3623">
      <c r="B3623" s="6" t="inlineStr">
        <is>
          <t>สีดำด้าน 212 WIN</t>
        </is>
      </c>
      <c r="C3623" s="8" t="inlineStr">
        <is>
          <t>1โหล</t>
        </is>
      </c>
      <c r="D3623" s="9" t="n">
        <v>40.83</v>
      </c>
      <c r="H3623" s="9" t="n">
        <v>490</v>
      </c>
      <c r="I3623" s="10" t="inlineStr">
        <is>
          <t>จิตต์อะไหล่</t>
        </is>
      </c>
      <c r="J3623" s="161" t="n">
        <v>23352</v>
      </c>
    </row>
    <row r="3624">
      <c r="B3624" s="6" t="inlineStr">
        <is>
          <t>สีดำด้าน FOX No.4 (212)</t>
        </is>
      </c>
      <c r="C3624" s="8" t="inlineStr">
        <is>
          <t>108 กป.</t>
        </is>
      </c>
      <c r="D3624" s="9" t="n">
        <v>32</v>
      </c>
      <c r="H3624" s="9" t="n">
        <v>3456</v>
      </c>
      <c r="I3624" s="10" t="inlineStr">
        <is>
          <t>ทาเลนท์</t>
        </is>
      </c>
      <c r="J3624" s="161" t="n">
        <v>23354</v>
      </c>
    </row>
    <row r="3625">
      <c r="B3625" s="6" t="inlineStr">
        <is>
          <t>สีดำด้าน FOX No.4 (212)</t>
        </is>
      </c>
      <c r="C3625" s="8" t="inlineStr">
        <is>
          <t>24 กป.</t>
        </is>
      </c>
      <c r="D3625" s="9" t="n">
        <v>32</v>
      </c>
      <c r="H3625" s="9" t="n">
        <v>768</v>
      </c>
      <c r="I3625" s="10" t="inlineStr">
        <is>
          <t>ทาเลนท์</t>
        </is>
      </c>
      <c r="J3625" s="161" t="n">
        <v>23500</v>
      </c>
    </row>
    <row r="3626">
      <c r="B3626" s="6" t="inlineStr">
        <is>
          <t>สีดำด้าน TOA (912)</t>
        </is>
      </c>
      <c r="C3626" s="8" t="inlineStr">
        <is>
          <t>48 กป.</t>
        </is>
      </c>
      <c r="D3626" s="9" t="n">
        <v>32</v>
      </c>
      <c r="H3626" s="9" t="n">
        <v>1536</v>
      </c>
      <c r="I3626" s="10" t="inlineStr">
        <is>
          <t>ทาเลนท์</t>
        </is>
      </c>
      <c r="J3626" s="161" t="n">
        <v>23545</v>
      </c>
      <c r="K3626" s="8" t="inlineStr">
        <is>
          <t>IV6406631</t>
        </is>
      </c>
      <c r="L3626" s="8" t="inlineStr">
        <is>
          <t>ราคานี้ยังไม่รวม VAT 7%</t>
        </is>
      </c>
    </row>
    <row r="3627">
      <c r="B3627" s="6" t="inlineStr">
        <is>
          <t>สีดำด้าน FOX No.4 (212)</t>
        </is>
      </c>
      <c r="C3627" s="8" t="inlineStr">
        <is>
          <t>48 กป.</t>
        </is>
      </c>
      <c r="D3627" s="9" t="n">
        <v>32</v>
      </c>
      <c r="H3627" s="9" t="n">
        <v>1536</v>
      </c>
      <c r="I3627" s="10" t="inlineStr">
        <is>
          <t>ทาเลนท์</t>
        </is>
      </c>
      <c r="J3627" s="161" t="n">
        <v>23635</v>
      </c>
      <c r="K3627" s="8" t="inlineStr">
        <is>
          <t>IV6411764</t>
        </is>
      </c>
    </row>
    <row r="3628">
      <c r="B3628" s="6" t="inlineStr">
        <is>
          <t>สีดำด้าน FOX No.4 (212)</t>
        </is>
      </c>
      <c r="C3628" s="8" t="inlineStr">
        <is>
          <t>48 กป.</t>
        </is>
      </c>
      <c r="D3628" s="9" t="n">
        <v>32</v>
      </c>
      <c r="H3628" s="9" t="n">
        <v>1536</v>
      </c>
      <c r="I3628" s="10" t="inlineStr">
        <is>
          <t>ทาเลนท์</t>
        </is>
      </c>
      <c r="J3628" s="161" t="n">
        <v>23789</v>
      </c>
      <c r="K3628" s="8" t="inlineStr">
        <is>
          <t>IV6503189</t>
        </is>
      </c>
    </row>
    <row r="3629">
      <c r="B3629" s="6" t="inlineStr">
        <is>
          <t>สีดำด้าน FOX No.4 (212)</t>
        </is>
      </c>
      <c r="C3629" s="8" t="inlineStr">
        <is>
          <t>48 กป.</t>
        </is>
      </c>
      <c r="D3629" s="9" t="n">
        <v>32</v>
      </c>
      <c r="H3629" s="9" t="n">
        <v>1536</v>
      </c>
      <c r="I3629" s="10" t="inlineStr">
        <is>
          <t>ทาเลนท์</t>
        </is>
      </c>
      <c r="J3629" s="161" t="n">
        <v>23900</v>
      </c>
      <c r="K3629" s="8" t="inlineStr">
        <is>
          <t>IB3002119</t>
        </is>
      </c>
    </row>
    <row r="3630">
      <c r="B3630" s="6" t="inlineStr">
        <is>
          <t>สีดำด้าน FOX No.4 (212)</t>
        </is>
      </c>
      <c r="C3630" s="8" t="inlineStr">
        <is>
          <t>12 กป.</t>
        </is>
      </c>
      <c r="D3630" s="9" t="n">
        <v>32</v>
      </c>
      <c r="H3630" s="9" t="n">
        <v>384</v>
      </c>
      <c r="I3630" s="10" t="inlineStr">
        <is>
          <t>ทาเลนท์</t>
        </is>
      </c>
      <c r="J3630" s="161" t="n">
        <v>24004</v>
      </c>
      <c r="K3630" s="8" t="inlineStr">
        <is>
          <t>IV2204141</t>
        </is>
      </c>
    </row>
    <row r="3631">
      <c r="B3631" s="6" t="inlineStr">
        <is>
          <t>สีดำด้าน FOX No.4 (212)</t>
        </is>
      </c>
      <c r="C3631" s="8" t="inlineStr">
        <is>
          <t>36 กป.</t>
        </is>
      </c>
      <c r="D3631" s="9" t="n">
        <v>32</v>
      </c>
      <c r="H3631" s="9" t="n">
        <v>1152</v>
      </c>
      <c r="I3631" s="10" t="inlineStr">
        <is>
          <t>ทาเลนท์</t>
        </is>
      </c>
      <c r="J3631" s="161" t="n">
        <v>24005</v>
      </c>
      <c r="K3631" s="8" t="inlineStr">
        <is>
          <t>IV2204195</t>
        </is>
      </c>
    </row>
    <row r="3632">
      <c r="B3632" s="6" t="inlineStr">
        <is>
          <t>สีดำด้าน FOX No.4 (212)</t>
        </is>
      </c>
      <c r="C3632" s="8" t="inlineStr">
        <is>
          <t>60 กป.</t>
        </is>
      </c>
      <c r="D3632" s="9" t="n">
        <v>32</v>
      </c>
      <c r="H3632" s="9" t="n">
        <v>1920</v>
      </c>
      <c r="I3632" s="10" t="inlineStr">
        <is>
          <t>ทาเลนท์</t>
        </is>
      </c>
      <c r="J3632" s="161" t="n">
        <v>24082</v>
      </c>
      <c r="K3632" s="8" t="inlineStr">
        <is>
          <t>IV2207853</t>
        </is>
      </c>
    </row>
    <row r="3633">
      <c r="B3633" s="6" t="inlineStr">
        <is>
          <t>สีดำด้าน FOX No.4 (212)</t>
        </is>
      </c>
      <c r="C3633" s="8" t="inlineStr">
        <is>
          <t>24 กป.</t>
        </is>
      </c>
      <c r="D3633" s="9" t="n">
        <v>32</v>
      </c>
      <c r="H3633" s="9" t="n">
        <v>768</v>
      </c>
      <c r="I3633" s="10" t="inlineStr">
        <is>
          <t>ทาเลนท์</t>
        </is>
      </c>
      <c r="J3633" s="161" t="n">
        <v>24153</v>
      </c>
      <c r="K3633" s="8" t="inlineStr">
        <is>
          <t>IB3006977</t>
        </is>
      </c>
    </row>
    <row r="3634">
      <c r="B3634" s="6" t="inlineStr">
        <is>
          <t>สีดำด้าน FOX No.4 (212)</t>
        </is>
      </c>
      <c r="C3634" s="8" t="inlineStr">
        <is>
          <t>60 กป.</t>
        </is>
      </c>
      <c r="D3634" s="9" t="n">
        <v>32</v>
      </c>
      <c r="H3634" s="9" t="n">
        <v>1920</v>
      </c>
      <c r="I3634" s="10" t="inlineStr">
        <is>
          <t>ทาเลนท์</t>
        </is>
      </c>
      <c r="J3634" s="161" t="n">
        <v>24229</v>
      </c>
      <c r="K3634" s="8" t="inlineStr">
        <is>
          <t>IV2211226</t>
        </is>
      </c>
    </row>
    <row r="3635">
      <c r="B3635" s="6" t="inlineStr">
        <is>
          <t>สีดำด้าน FOX No.4 (212)</t>
        </is>
      </c>
      <c r="C3635" s="8" t="n">
        <v>60</v>
      </c>
      <c r="D3635" s="9" t="n">
        <v>32</v>
      </c>
      <c r="H3635" s="9">
        <f>SUM(D3635*C3635)</f>
        <v/>
      </c>
      <c r="I3635" s="10" t="inlineStr">
        <is>
          <t>ทาเลนท์</t>
        </is>
      </c>
      <c r="J3635" s="161" t="n">
        <v>24302</v>
      </c>
      <c r="K3635" s="8" t="inlineStr">
        <is>
          <t>IV2216248</t>
        </is>
      </c>
    </row>
    <row r="3636">
      <c r="B3636" s="6" t="inlineStr">
        <is>
          <t>สีดำด้าน FOX No.4 (212)</t>
        </is>
      </c>
      <c r="C3636" s="8" t="n">
        <v>48</v>
      </c>
      <c r="D3636" s="9" t="n">
        <v>32</v>
      </c>
      <c r="H3636" s="9">
        <f>SUM(D3636*C3636)</f>
        <v/>
      </c>
      <c r="I3636" s="10" t="inlineStr">
        <is>
          <t>ทาเลนท์</t>
        </is>
      </c>
      <c r="J3636" s="161" t="n">
        <v>24390</v>
      </c>
      <c r="K3636" s="8" t="inlineStr">
        <is>
          <t>IV2221763</t>
        </is>
      </c>
    </row>
    <row r="3637">
      <c r="B3637" s="6" t="inlineStr">
        <is>
          <t>สีดำด้าน FOX No.4 (212)</t>
        </is>
      </c>
      <c r="C3637" s="8" t="n">
        <v>72</v>
      </c>
      <c r="D3637" s="9" t="n">
        <v>32</v>
      </c>
      <c r="H3637" s="9">
        <f>SUM(D3637*C3637)</f>
        <v/>
      </c>
      <c r="I3637" s="10" t="inlineStr">
        <is>
          <t>ทาเลนท์</t>
        </is>
      </c>
      <c r="J3637" s="161" t="n">
        <v>24488</v>
      </c>
      <c r="K3637" s="8" t="inlineStr">
        <is>
          <t>IV2227023</t>
        </is>
      </c>
    </row>
    <row r="3638">
      <c r="B3638" s="6" t="inlineStr">
        <is>
          <t>สีดำด้าน FOX No.4 (212)</t>
        </is>
      </c>
      <c r="C3638" s="8" t="n">
        <v>48</v>
      </c>
      <c r="D3638" s="9" t="n">
        <v>32</v>
      </c>
      <c r="H3638" s="9">
        <f>SUM(D3638*C3638)</f>
        <v/>
      </c>
      <c r="I3638" s="10" t="inlineStr">
        <is>
          <t>ทาเลนท์</t>
        </is>
      </c>
      <c r="J3638" s="161" t="n">
        <v>24617</v>
      </c>
      <c r="K3638" s="8" t="inlineStr">
        <is>
          <t>IV2234107</t>
        </is>
      </c>
    </row>
    <row r="3639">
      <c r="B3639" s="6" t="inlineStr">
        <is>
          <t>สีดำด้าน FOX No.4 (212)</t>
        </is>
      </c>
      <c r="C3639" s="8" t="n">
        <v>48</v>
      </c>
      <c r="D3639" s="9" t="n">
        <v>32</v>
      </c>
      <c r="H3639" s="9">
        <f>SUM(D3639*C3639)</f>
        <v/>
      </c>
      <c r="I3639" s="10" t="inlineStr">
        <is>
          <t>ทาเลนท์</t>
        </is>
      </c>
      <c r="J3639" s="161" t="n">
        <v>24760</v>
      </c>
      <c r="K3639" s="8" t="inlineStr">
        <is>
          <t>IV2242407</t>
        </is>
      </c>
      <c r="L3639" s="8" t="inlineStr">
        <is>
          <t>กล่องละ 12 กป.</t>
        </is>
      </c>
    </row>
    <row r="3640">
      <c r="B3640" s="6" t="inlineStr">
        <is>
          <t>สีดำด้าน FOX No.4 (212)</t>
        </is>
      </c>
      <c r="C3640" s="8" t="n">
        <v>36</v>
      </c>
      <c r="D3640" s="9" t="n">
        <v>32</v>
      </c>
      <c r="H3640" s="9">
        <f>SUM(D3640*C3640)</f>
        <v/>
      </c>
      <c r="I3640" s="10" t="inlineStr">
        <is>
          <t>ทาเลนท์</t>
        </is>
      </c>
      <c r="J3640" s="161" t="n">
        <v>24872</v>
      </c>
      <c r="K3640" s="8" t="inlineStr">
        <is>
          <t>IV6801996</t>
        </is>
      </c>
      <c r="L3640" s="8" t="inlineStr">
        <is>
          <t>กล่องละ 12 กป.</t>
        </is>
      </c>
    </row>
    <row r="3641">
      <c r="B3641" s="6" t="inlineStr">
        <is>
          <t>สีดำด้าน FOX No.4 (212)</t>
        </is>
      </c>
      <c r="C3641" s="8" t="n">
        <v>48</v>
      </c>
      <c r="D3641" s="9" t="n">
        <v>32</v>
      </c>
      <c r="E3641" s="9">
        <f>SUM(D3641*C3641)</f>
        <v/>
      </c>
      <c r="F3641" s="8" t="n">
        <v>0.07000000000000001</v>
      </c>
      <c r="G3641" s="10" t="inlineStr">
        <is>
          <t>รวม VAT =</t>
        </is>
      </c>
      <c r="H3641" s="9">
        <f>SUM(E3641+N3641)</f>
        <v/>
      </c>
      <c r="I3641" s="10" t="inlineStr">
        <is>
          <t>ทาเลนท์</t>
        </is>
      </c>
      <c r="J3641" s="161" t="n">
        <v>25037</v>
      </c>
      <c r="K3641" s="8" t="inlineStr">
        <is>
          <t>IV6811579</t>
        </is>
      </c>
      <c r="L3641" s="8" t="inlineStr">
        <is>
          <t>กล่องละ 12 กป.</t>
        </is>
      </c>
      <c r="N3641" s="6">
        <f>SUM(E3641*F3641)</f>
        <v/>
      </c>
    </row>
    <row r="3642">
      <c r="B3642" s="6" t="inlineStr">
        <is>
          <t>สีดำด้าน FOX No.4 (212)</t>
        </is>
      </c>
      <c r="C3642" s="8" t="n">
        <v>48</v>
      </c>
      <c r="D3642" s="9" t="n">
        <v>32</v>
      </c>
      <c r="E3642" s="9">
        <f>SUM(D3642*C3642)</f>
        <v/>
      </c>
      <c r="F3642" s="8" t="n">
        <v>0.07000000000000001</v>
      </c>
      <c r="G3642" s="10" t="inlineStr">
        <is>
          <t>รวม VAT =</t>
        </is>
      </c>
      <c r="H3642" s="9">
        <f>SUM(E3642+N3642)</f>
        <v/>
      </c>
      <c r="I3642" s="10" t="inlineStr">
        <is>
          <t>ทาเลนท์</t>
        </is>
      </c>
      <c r="J3642" s="161" t="n">
        <v>25169</v>
      </c>
      <c r="K3642" s="8" t="inlineStr">
        <is>
          <t>IV6819334</t>
        </is>
      </c>
      <c r="L3642" s="8" t="inlineStr">
        <is>
          <t>กล่องละ 12 กป.</t>
        </is>
      </c>
      <c r="N3642" s="6">
        <f>SUM(E3642*F3642)</f>
        <v/>
      </c>
    </row>
    <row r="3644">
      <c r="B3644" s="6" t="inlineStr">
        <is>
          <t>สีดำเงา 210 WIN</t>
        </is>
      </c>
      <c r="C3644" s="8" t="inlineStr">
        <is>
          <t>1โหล</t>
        </is>
      </c>
      <c r="D3644" s="9" t="n">
        <v>40.83</v>
      </c>
      <c r="H3644" s="9" t="n">
        <v>490</v>
      </c>
      <c r="I3644" s="10" t="inlineStr">
        <is>
          <t>จิตต์อะไหล่</t>
        </is>
      </c>
      <c r="J3644" s="161" t="n">
        <v>23126</v>
      </c>
    </row>
    <row r="3645">
      <c r="B3645" s="6" t="inlineStr">
        <is>
          <t>สีดำเงา 210 WIN</t>
        </is>
      </c>
      <c r="C3645" s="8" t="inlineStr">
        <is>
          <t>2โหล</t>
        </is>
      </c>
      <c r="D3645" s="9" t="n">
        <v>40.83</v>
      </c>
      <c r="H3645" s="9" t="n">
        <v>980</v>
      </c>
      <c r="I3645" s="10" t="inlineStr">
        <is>
          <t>จิตต์อะไหล่</t>
        </is>
      </c>
      <c r="J3645" s="161" t="n">
        <v>23170</v>
      </c>
    </row>
    <row r="3646">
      <c r="B3646" s="6" t="inlineStr">
        <is>
          <t>สีดำเงา 210 WIN</t>
        </is>
      </c>
      <c r="C3646" s="8" t="inlineStr">
        <is>
          <t>2โหล</t>
        </is>
      </c>
      <c r="D3646" s="9" t="n">
        <v>40.83</v>
      </c>
      <c r="H3646" s="9" t="n">
        <v>980</v>
      </c>
      <c r="I3646" s="10" t="inlineStr">
        <is>
          <t>จิตต์อะไหล่</t>
        </is>
      </c>
      <c r="J3646" s="161" t="n">
        <v>23185</v>
      </c>
    </row>
    <row r="3647">
      <c r="B3647" s="6" t="inlineStr">
        <is>
          <t>สีดำเงา 210 WIN</t>
        </is>
      </c>
      <c r="C3647" s="8" t="inlineStr">
        <is>
          <t>1โหล</t>
        </is>
      </c>
      <c r="D3647" s="9" t="n">
        <v>40.83</v>
      </c>
      <c r="H3647" s="9" t="n">
        <v>490</v>
      </c>
      <c r="I3647" s="10" t="inlineStr">
        <is>
          <t>จิตต์อะไหล่</t>
        </is>
      </c>
      <c r="J3647" s="161" t="n">
        <v>23206</v>
      </c>
    </row>
    <row r="3648">
      <c r="B3648" s="6" t="inlineStr">
        <is>
          <t>สีดำเงา 210 WIN</t>
        </is>
      </c>
      <c r="C3648" s="8" t="inlineStr">
        <is>
          <t>1โหล</t>
        </is>
      </c>
      <c r="D3648" s="9" t="n">
        <v>40.83</v>
      </c>
      <c r="H3648" s="9" t="n">
        <v>490</v>
      </c>
      <c r="I3648" s="10" t="inlineStr">
        <is>
          <t>จิตต์อะไหล่</t>
        </is>
      </c>
      <c r="J3648" s="161" t="n">
        <v>23221</v>
      </c>
    </row>
    <row r="3649">
      <c r="B3649" s="6" t="inlineStr">
        <is>
          <t>สีดำเงา 210 WIN</t>
        </is>
      </c>
      <c r="C3649" s="8" t="inlineStr">
        <is>
          <t>1โหล</t>
        </is>
      </c>
      <c r="D3649" s="9" t="n">
        <v>40.83</v>
      </c>
      <c r="H3649" s="9" t="n">
        <v>490</v>
      </c>
      <c r="I3649" s="10" t="inlineStr">
        <is>
          <t>จิตต์อะไหล่</t>
        </is>
      </c>
      <c r="J3649" s="161" t="n">
        <v>23240</v>
      </c>
    </row>
    <row r="3650">
      <c r="B3650" s="6" t="inlineStr">
        <is>
          <t>สีดำเงา 210 WIN</t>
        </is>
      </c>
      <c r="C3650" s="8" t="inlineStr">
        <is>
          <t>1โหล</t>
        </is>
      </c>
      <c r="D3650" s="9" t="n">
        <v>40.83</v>
      </c>
      <c r="H3650" s="9" t="n">
        <v>490</v>
      </c>
      <c r="I3650" s="10" t="inlineStr">
        <is>
          <t>จิตต์อะไหล่</t>
        </is>
      </c>
      <c r="J3650" s="161" t="n">
        <v>23251</v>
      </c>
    </row>
    <row r="3651">
      <c r="B3651" s="6" t="inlineStr">
        <is>
          <t>สีดำเงา 210 WIN</t>
        </is>
      </c>
      <c r="C3651" s="8" t="inlineStr">
        <is>
          <t>1โหล</t>
        </is>
      </c>
      <c r="D3651" s="9" t="n">
        <v>40.83</v>
      </c>
      <c r="H3651" s="9" t="n">
        <v>490</v>
      </c>
      <c r="I3651" s="10" t="inlineStr">
        <is>
          <t>จิตต์อะไหล่</t>
        </is>
      </c>
      <c r="J3651" s="161" t="n">
        <v>23277</v>
      </c>
    </row>
    <row r="3652">
      <c r="B3652" s="6" t="inlineStr">
        <is>
          <t>สีดำเงา 210 WIN</t>
        </is>
      </c>
      <c r="C3652" s="8" t="inlineStr">
        <is>
          <t>1โหล</t>
        </is>
      </c>
      <c r="D3652" s="9" t="n">
        <v>40.83</v>
      </c>
      <c r="H3652" s="9" t="n">
        <v>490</v>
      </c>
      <c r="I3652" s="10" t="inlineStr">
        <is>
          <t>จิตต์อะไหล่</t>
        </is>
      </c>
      <c r="J3652" s="161" t="n">
        <v>23298</v>
      </c>
    </row>
    <row r="3653">
      <c r="B3653" s="6" t="inlineStr">
        <is>
          <t>สีดำเงา 210 WIN</t>
        </is>
      </c>
      <c r="C3653" s="8" t="inlineStr">
        <is>
          <t>1โหล</t>
        </is>
      </c>
      <c r="D3653" s="9" t="n">
        <v>40.83</v>
      </c>
      <c r="H3653" s="9" t="n">
        <v>490</v>
      </c>
      <c r="I3653" s="10" t="inlineStr">
        <is>
          <t>จิตต์อะไหล่</t>
        </is>
      </c>
      <c r="J3653" s="161" t="n">
        <v>23332</v>
      </c>
    </row>
    <row r="3654">
      <c r="B3654" s="6" t="inlineStr">
        <is>
          <t>สีดำเงา 210 WIN</t>
        </is>
      </c>
      <c r="C3654" s="8" t="inlineStr">
        <is>
          <t>1โหล</t>
        </is>
      </c>
      <c r="D3654" s="9" t="n">
        <v>40.83</v>
      </c>
      <c r="H3654" s="9" t="n">
        <v>490</v>
      </c>
      <c r="I3654" s="10" t="inlineStr">
        <is>
          <t>จิตต์อะไหล่</t>
        </is>
      </c>
      <c r="J3654" s="161" t="n">
        <v>23342</v>
      </c>
    </row>
    <row r="3655">
      <c r="B3655" s="6" t="inlineStr">
        <is>
          <t>สีดำเงา FOX No.39 (210)</t>
        </is>
      </c>
      <c r="C3655" s="8" t="inlineStr">
        <is>
          <t>72กป.</t>
        </is>
      </c>
      <c r="D3655" s="9" t="n">
        <v>32</v>
      </c>
      <c r="H3655" s="9" t="n">
        <v>2304</v>
      </c>
      <c r="I3655" s="10" t="inlineStr">
        <is>
          <t>ทาเลนท์</t>
        </is>
      </c>
      <c r="J3655" s="161" t="n">
        <v>23415</v>
      </c>
    </row>
    <row r="3656">
      <c r="B3656" s="6" t="inlineStr">
        <is>
          <t>สีดำเงา FOX No.39 (210)</t>
        </is>
      </c>
      <c r="C3656" s="8" t="inlineStr">
        <is>
          <t>24กป.</t>
        </is>
      </c>
      <c r="D3656" s="9" t="n">
        <v>32</v>
      </c>
      <c r="H3656" s="9" t="n">
        <v>768</v>
      </c>
      <c r="I3656" s="10" t="inlineStr">
        <is>
          <t>ทาเลนท์</t>
        </is>
      </c>
      <c r="J3656" s="161" t="n">
        <v>23500</v>
      </c>
    </row>
    <row r="3657">
      <c r="B3657" s="6" t="inlineStr">
        <is>
          <t>สีดำเงา FOX No.39 (210)</t>
        </is>
      </c>
      <c r="C3657" s="8" t="inlineStr">
        <is>
          <t>32กป.</t>
        </is>
      </c>
      <c r="D3657" s="9" t="n">
        <v>32</v>
      </c>
      <c r="H3657" s="9" t="n">
        <v>1536</v>
      </c>
      <c r="I3657" s="10" t="inlineStr">
        <is>
          <t>ทาเลนท์</t>
        </is>
      </c>
      <c r="J3657" s="161" t="n">
        <v>23789</v>
      </c>
      <c r="K3657" s="8" t="inlineStr">
        <is>
          <t>IV6503189</t>
        </is>
      </c>
    </row>
    <row r="3658">
      <c r="B3658" s="6" t="inlineStr">
        <is>
          <t>สีดำเงา FOX No.39 (210)</t>
        </is>
      </c>
      <c r="C3658" s="8" t="inlineStr">
        <is>
          <t>48กป.</t>
        </is>
      </c>
      <c r="D3658" s="9" t="n">
        <v>32</v>
      </c>
      <c r="H3658" s="9" t="n">
        <v>1536</v>
      </c>
      <c r="I3658" s="10" t="inlineStr">
        <is>
          <t>ทาเลนท์</t>
        </is>
      </c>
      <c r="J3658" s="161" t="n">
        <v>23900</v>
      </c>
      <c r="K3658" s="8" t="inlineStr">
        <is>
          <t>IB3002119</t>
        </is>
      </c>
    </row>
    <row r="3659">
      <c r="B3659" s="6" t="inlineStr">
        <is>
          <t>สีดำเงา FOX No.39 (210)</t>
        </is>
      </c>
      <c r="C3659" s="8" t="inlineStr">
        <is>
          <t>24กป.</t>
        </is>
      </c>
      <c r="D3659" s="9" t="n">
        <v>32</v>
      </c>
      <c r="H3659" s="9" t="n">
        <v>768</v>
      </c>
      <c r="I3659" s="10" t="inlineStr">
        <is>
          <t>ทาเลนท์</t>
        </is>
      </c>
      <c r="J3659" s="161" t="n">
        <v>24004</v>
      </c>
      <c r="K3659" s="8" t="inlineStr">
        <is>
          <t>IV2204141</t>
        </is>
      </c>
    </row>
    <row r="3660">
      <c r="B3660" s="6" t="inlineStr">
        <is>
          <t>สีดำเงา FOX No.39 (210)</t>
        </is>
      </c>
      <c r="C3660" s="8" t="inlineStr">
        <is>
          <t>24กป.</t>
        </is>
      </c>
      <c r="D3660" s="9" t="n">
        <v>32</v>
      </c>
      <c r="H3660" s="9" t="n">
        <v>768</v>
      </c>
      <c r="I3660" s="10" t="inlineStr">
        <is>
          <t>ทาเลนท์</t>
        </is>
      </c>
      <c r="J3660" s="161" t="n">
        <v>24082</v>
      </c>
      <c r="K3660" s="8" t="inlineStr">
        <is>
          <t>IV2207853</t>
        </is>
      </c>
    </row>
    <row r="3661">
      <c r="B3661" s="6" t="inlineStr">
        <is>
          <t>สีดำเงา FOX No.39 (210)</t>
        </is>
      </c>
      <c r="C3661" s="8" t="inlineStr">
        <is>
          <t>24กป.</t>
        </is>
      </c>
      <c r="D3661" s="9" t="n">
        <v>32</v>
      </c>
      <c r="H3661" s="9" t="n">
        <v>768</v>
      </c>
      <c r="I3661" s="10" t="inlineStr">
        <is>
          <t>ทาเลนท์</t>
        </is>
      </c>
      <c r="J3661" s="161" t="n">
        <v>24153</v>
      </c>
      <c r="K3661" s="8" t="inlineStr">
        <is>
          <t>IB3006977</t>
        </is>
      </c>
    </row>
    <row r="3662">
      <c r="B3662" s="6" t="inlineStr">
        <is>
          <t>สีดำเงา FOX No.39 (210)</t>
        </is>
      </c>
      <c r="C3662" s="8" t="inlineStr">
        <is>
          <t>24กป.</t>
        </is>
      </c>
      <c r="D3662" s="9" t="n">
        <v>32</v>
      </c>
      <c r="H3662" s="9" t="n">
        <v>768</v>
      </c>
      <c r="I3662" s="10" t="inlineStr">
        <is>
          <t>ทาเลนท์</t>
        </is>
      </c>
      <c r="J3662" s="161" t="n">
        <v>24229</v>
      </c>
      <c r="K3662" s="8" t="inlineStr">
        <is>
          <t>IV2211226</t>
        </is>
      </c>
    </row>
    <row r="3663">
      <c r="B3663" s="6" t="inlineStr">
        <is>
          <t>สีดำเงา FOX No.39 (210)</t>
        </is>
      </c>
      <c r="C3663" s="8" t="n">
        <v>24</v>
      </c>
      <c r="D3663" s="9" t="n">
        <v>32</v>
      </c>
      <c r="H3663" s="9">
        <f>SUM(D3663*C3663)</f>
        <v/>
      </c>
      <c r="I3663" s="10" t="inlineStr">
        <is>
          <t>ทาเลนท์</t>
        </is>
      </c>
      <c r="J3663" s="161" t="n">
        <v>24390</v>
      </c>
      <c r="K3663" s="8" t="inlineStr">
        <is>
          <t>IV2221763</t>
        </is>
      </c>
    </row>
    <row r="3664">
      <c r="B3664" s="6" t="inlineStr">
        <is>
          <t>สีดำเงา FOX No.39 (210)</t>
        </is>
      </c>
      <c r="C3664" s="8" t="n">
        <v>24</v>
      </c>
      <c r="D3664" s="9" t="n">
        <v>32</v>
      </c>
      <c r="H3664" s="9">
        <f>SUM(D3664*C3664)</f>
        <v/>
      </c>
      <c r="I3664" s="10" t="inlineStr">
        <is>
          <t>ทาเลนท์</t>
        </is>
      </c>
      <c r="J3664" s="161" t="n">
        <v>24488</v>
      </c>
      <c r="K3664" s="8" t="inlineStr">
        <is>
          <t>IV2227023</t>
        </is>
      </c>
    </row>
    <row r="3665">
      <c r="B3665" s="6" t="inlineStr">
        <is>
          <t>สีดำเงา FOX No.39 (210)</t>
        </is>
      </c>
      <c r="C3665" s="8" t="n">
        <v>48</v>
      </c>
      <c r="D3665" s="9" t="n">
        <v>32</v>
      </c>
      <c r="H3665" s="9">
        <f>SUM(D3665*C3665)</f>
        <v/>
      </c>
      <c r="I3665" s="10" t="inlineStr">
        <is>
          <t>ทาเลนท์</t>
        </is>
      </c>
      <c r="J3665" s="161" t="n">
        <v>24760</v>
      </c>
      <c r="K3665" s="8" t="inlineStr">
        <is>
          <t>IV2242407</t>
        </is>
      </c>
    </row>
    <row r="3666">
      <c r="B3666" s="6" t="inlineStr">
        <is>
          <t>สีดำเงา FOX No.39 (210)</t>
        </is>
      </c>
      <c r="C3666" s="8" t="n">
        <v>48</v>
      </c>
      <c r="D3666" s="9" t="n">
        <v>32</v>
      </c>
      <c r="H3666" s="9">
        <f>SUM(D3666*C3666)</f>
        <v/>
      </c>
      <c r="I3666" s="10" t="inlineStr">
        <is>
          <t>ทาเลนท์</t>
        </is>
      </c>
      <c r="J3666" s="161" t="n">
        <v>24872</v>
      </c>
      <c r="K3666" s="8" t="inlineStr">
        <is>
          <t>IV6801996</t>
        </is>
      </c>
    </row>
    <row r="3667">
      <c r="B3667" s="6" t="inlineStr">
        <is>
          <t>สีดำเงา FOX No.39 (210)</t>
        </is>
      </c>
      <c r="C3667" s="8" t="n">
        <v>48</v>
      </c>
      <c r="D3667" s="9" t="n">
        <v>32</v>
      </c>
      <c r="E3667" s="9">
        <f>SUM(D3667*C3667)</f>
        <v/>
      </c>
      <c r="F3667" s="8" t="n">
        <v>0.07000000000000001</v>
      </c>
      <c r="G3667" s="10" t="inlineStr">
        <is>
          <t>รวม VAT =</t>
        </is>
      </c>
      <c r="H3667" s="9">
        <f>SUM(E3667+N3667)</f>
        <v/>
      </c>
      <c r="I3667" s="10" t="inlineStr">
        <is>
          <t>ทาเลนท์</t>
        </is>
      </c>
      <c r="J3667" s="161" t="n">
        <v>25037</v>
      </c>
      <c r="K3667" s="8" t="inlineStr">
        <is>
          <t>IV6811579</t>
        </is>
      </c>
      <c r="L3667" s="8" t="inlineStr">
        <is>
          <t>กล่องละ 12 กป.</t>
        </is>
      </c>
      <c r="N3667" s="6">
        <f>SUM(E3667*F3667)</f>
        <v/>
      </c>
    </row>
    <row r="3669">
      <c r="B3669" s="6" t="inlineStr">
        <is>
          <t>สีบรอนซ์เงิน 300 WIN</t>
        </is>
      </c>
      <c r="C3669" s="8" t="inlineStr">
        <is>
          <t>1โหล</t>
        </is>
      </c>
      <c r="D3669" s="9" t="n">
        <v>42.5</v>
      </c>
      <c r="H3669" s="9" t="n">
        <v>510</v>
      </c>
      <c r="I3669" s="10" t="inlineStr">
        <is>
          <t>ศรีสยาม</t>
        </is>
      </c>
      <c r="J3669" s="161" t="n">
        <v>22979</v>
      </c>
    </row>
    <row r="3670">
      <c r="B3670" s="6" t="inlineStr">
        <is>
          <t>สีบรอนซ์เงิน 300 WIN</t>
        </is>
      </c>
      <c r="C3670" s="8" t="inlineStr">
        <is>
          <t>1โหล</t>
        </is>
      </c>
      <c r="D3670" s="9" t="n">
        <v>40.83</v>
      </c>
      <c r="H3670" s="9" t="n">
        <v>490</v>
      </c>
      <c r="I3670" s="10" t="inlineStr">
        <is>
          <t>ศรีสยาม</t>
        </is>
      </c>
      <c r="J3670" s="161" t="n">
        <v>23074</v>
      </c>
    </row>
    <row r="3671">
      <c r="B3671" s="6" t="inlineStr">
        <is>
          <t>สีบรอนซ์เงิน 300 WIN</t>
        </is>
      </c>
      <c r="C3671" s="8" t="inlineStr">
        <is>
          <t>1โหล</t>
        </is>
      </c>
      <c r="D3671" s="9" t="n">
        <v>40.83</v>
      </c>
      <c r="H3671" s="9" t="n">
        <v>490</v>
      </c>
      <c r="I3671" s="10" t="inlineStr">
        <is>
          <t>ศรีสยาม</t>
        </is>
      </c>
      <c r="J3671" s="161" t="n">
        <v>23156</v>
      </c>
    </row>
    <row r="3672">
      <c r="B3672" s="6" t="inlineStr">
        <is>
          <t>สีบรอนซ์เงิน 300 WIN</t>
        </is>
      </c>
      <c r="C3672" s="8" t="inlineStr">
        <is>
          <t>1โหล</t>
        </is>
      </c>
      <c r="D3672" s="9" t="n">
        <v>40.83</v>
      </c>
      <c r="H3672" s="9" t="n">
        <v>490</v>
      </c>
      <c r="I3672" s="10" t="inlineStr">
        <is>
          <t>ศรีสยาม</t>
        </is>
      </c>
      <c r="J3672" s="161" t="n">
        <v>23185</v>
      </c>
    </row>
    <row r="3673">
      <c r="B3673" s="6" t="inlineStr">
        <is>
          <t>สีบรอนซ์เงิน 300 WIN</t>
        </is>
      </c>
      <c r="C3673" s="8" t="inlineStr">
        <is>
          <t>1โหล</t>
        </is>
      </c>
      <c r="D3673" s="9" t="n">
        <v>40.83</v>
      </c>
      <c r="H3673" s="9" t="n">
        <v>490</v>
      </c>
      <c r="I3673" s="10" t="inlineStr">
        <is>
          <t>ศรีสยาม</t>
        </is>
      </c>
      <c r="J3673" s="161" t="n">
        <v>23206</v>
      </c>
    </row>
    <row r="3674">
      <c r="B3674" s="6" t="inlineStr">
        <is>
          <t>สีบรอนซ์เงิน 300 WIN</t>
        </is>
      </c>
      <c r="C3674" s="8" t="inlineStr">
        <is>
          <t>1โหล</t>
        </is>
      </c>
      <c r="D3674" s="9" t="n">
        <v>40.83</v>
      </c>
      <c r="H3674" s="9" t="n">
        <v>490</v>
      </c>
      <c r="I3674" s="10" t="inlineStr">
        <is>
          <t>จิตต์อะไหล่</t>
        </is>
      </c>
      <c r="J3674" s="161" t="n">
        <v>23242</v>
      </c>
    </row>
    <row r="3675">
      <c r="B3675" s="6" t="inlineStr">
        <is>
          <t>สีบรอนซ์เงิน 300 WIN</t>
        </is>
      </c>
      <c r="C3675" s="8" t="inlineStr">
        <is>
          <t>1โหล</t>
        </is>
      </c>
      <c r="D3675" s="9" t="n">
        <v>40.83</v>
      </c>
      <c r="H3675" s="9" t="n">
        <v>490</v>
      </c>
      <c r="I3675" s="10" t="inlineStr">
        <is>
          <t>ศรีสยาม</t>
        </is>
      </c>
      <c r="J3675" s="161" t="n">
        <v>23266</v>
      </c>
    </row>
    <row r="3676">
      <c r="B3676" s="6" t="inlineStr">
        <is>
          <t>สีบรอนซ์เงิน 300 WIN</t>
        </is>
      </c>
      <c r="C3676" s="8" t="inlineStr">
        <is>
          <t>1โหล</t>
        </is>
      </c>
      <c r="D3676" s="9" t="n">
        <v>40.83</v>
      </c>
      <c r="H3676" s="9" t="n">
        <v>490</v>
      </c>
      <c r="I3676" s="10" t="inlineStr">
        <is>
          <t>จิตต์อะไหล่</t>
        </is>
      </c>
      <c r="J3676" s="161" t="n">
        <v>23297</v>
      </c>
    </row>
    <row r="3677">
      <c r="B3677" s="6" t="inlineStr">
        <is>
          <t>สีบรอนซ์เงิน 300 WIN</t>
        </is>
      </c>
      <c r="C3677" s="8" t="inlineStr">
        <is>
          <t>1โหล</t>
        </is>
      </c>
      <c r="D3677" s="9" t="n">
        <v>40.83</v>
      </c>
      <c r="H3677" s="9" t="n">
        <v>490</v>
      </c>
      <c r="I3677" s="10" t="inlineStr">
        <is>
          <t>ศรีสยาม</t>
        </is>
      </c>
      <c r="J3677" s="161" t="n">
        <v>23301</v>
      </c>
    </row>
    <row r="3678">
      <c r="B3678" s="6" t="inlineStr">
        <is>
          <t>สีบรอนซ์เงิน 300 WIN</t>
        </is>
      </c>
      <c r="C3678" s="8" t="inlineStr">
        <is>
          <t>1โหล</t>
        </is>
      </c>
      <c r="D3678" s="9" t="n">
        <v>40.83</v>
      </c>
      <c r="H3678" s="9" t="n">
        <v>490</v>
      </c>
      <c r="I3678" s="10" t="inlineStr">
        <is>
          <t>ศรีสยาม</t>
        </is>
      </c>
      <c r="J3678" s="161" t="n">
        <v>23347</v>
      </c>
    </row>
    <row r="3679">
      <c r="B3679" s="6" t="inlineStr">
        <is>
          <t>สีบรอนซ์เงิน FOX No.36 (300)</t>
        </is>
      </c>
      <c r="C3679" s="8" t="inlineStr">
        <is>
          <t>36 กป.</t>
        </is>
      </c>
      <c r="D3679" s="9" t="n">
        <v>32</v>
      </c>
      <c r="H3679" s="9" t="n">
        <v>1152</v>
      </c>
      <c r="I3679" s="10" t="inlineStr">
        <is>
          <t>ทาเลนท์</t>
        </is>
      </c>
      <c r="J3679" s="161" t="n">
        <v>23354</v>
      </c>
    </row>
    <row r="3680">
      <c r="B3680" s="6" t="inlineStr">
        <is>
          <t>สีบรอนซ์เงิน FOX No.36 (300)</t>
        </is>
      </c>
      <c r="C3680" s="8" t="inlineStr">
        <is>
          <t>60 กป.</t>
        </is>
      </c>
      <c r="D3680" s="9" t="n">
        <v>32</v>
      </c>
      <c r="H3680" s="9" t="n">
        <v>1920</v>
      </c>
      <c r="I3680" s="10" t="inlineStr">
        <is>
          <t>ทาเลนท์</t>
        </is>
      </c>
      <c r="J3680" s="161" t="n">
        <v>23415</v>
      </c>
    </row>
    <row r="3681">
      <c r="B3681" s="6" t="inlineStr">
        <is>
          <t>สีบรอนซ์เงิน FOX No.36 (300)</t>
        </is>
      </c>
      <c r="C3681" s="8" t="inlineStr">
        <is>
          <t>12 กป.</t>
        </is>
      </c>
      <c r="D3681" s="9" t="n">
        <v>32</v>
      </c>
      <c r="H3681" s="9" t="n">
        <v>384</v>
      </c>
      <c r="I3681" s="10" t="inlineStr">
        <is>
          <t>ทาเลนท์</t>
        </is>
      </c>
      <c r="J3681" s="161" t="n">
        <v>23418</v>
      </c>
    </row>
    <row r="3682">
      <c r="B3682" s="6" t="inlineStr">
        <is>
          <t>สีบรอนซ์เงิน FOX No.36 (300)</t>
        </is>
      </c>
      <c r="C3682" s="8" t="inlineStr">
        <is>
          <t>24 กป.</t>
        </is>
      </c>
      <c r="D3682" s="9" t="n">
        <v>32</v>
      </c>
      <c r="H3682" s="9" t="n">
        <v>768</v>
      </c>
      <c r="I3682" s="10" t="inlineStr">
        <is>
          <t>ทาเลนท์</t>
        </is>
      </c>
      <c r="J3682" s="161" t="n">
        <v>23500</v>
      </c>
    </row>
    <row r="3683">
      <c r="B3683" s="6" t="inlineStr">
        <is>
          <t>สีบรอนซ์เงิน FOX No.36 (300)</t>
        </is>
      </c>
      <c r="C3683" s="8" t="inlineStr">
        <is>
          <t>48 กป.</t>
        </is>
      </c>
      <c r="D3683" s="9" t="n">
        <v>32</v>
      </c>
      <c r="H3683" s="9" t="n">
        <v>1536</v>
      </c>
      <c r="I3683" s="10" t="inlineStr">
        <is>
          <t>ทาเลนท์</t>
        </is>
      </c>
      <c r="J3683" s="161" t="n">
        <v>23635</v>
      </c>
      <c r="K3683" s="8" t="inlineStr">
        <is>
          <t>IV6411764</t>
        </is>
      </c>
    </row>
    <row r="3684">
      <c r="B3684" s="6" t="inlineStr">
        <is>
          <t>สีบรอนซ์เงิน FOX No.36 (300)</t>
        </is>
      </c>
      <c r="C3684" s="8" t="inlineStr">
        <is>
          <t>48 กป.</t>
        </is>
      </c>
      <c r="D3684" s="9" t="n">
        <v>32</v>
      </c>
      <c r="H3684" s="9" t="n">
        <v>1536</v>
      </c>
      <c r="I3684" s="10" t="inlineStr">
        <is>
          <t>ทาเลนท์</t>
        </is>
      </c>
      <c r="J3684" s="161" t="n">
        <v>23789</v>
      </c>
      <c r="K3684" s="8" t="inlineStr">
        <is>
          <t>IV6503189</t>
        </is>
      </c>
    </row>
    <row r="3685">
      <c r="B3685" s="6" t="inlineStr">
        <is>
          <t>สีบรอนซ์เงิน FOX No.36 (300)</t>
        </is>
      </c>
      <c r="C3685" s="8" t="inlineStr">
        <is>
          <t>48 กป.</t>
        </is>
      </c>
      <c r="D3685" s="9" t="n">
        <v>32</v>
      </c>
      <c r="H3685" s="9" t="n">
        <v>1536</v>
      </c>
      <c r="I3685" s="10" t="inlineStr">
        <is>
          <t>ทาเลนท์</t>
        </is>
      </c>
      <c r="J3685" s="161" t="n">
        <v>23900</v>
      </c>
      <c r="K3685" s="8" t="inlineStr">
        <is>
          <t>IB3002119</t>
        </is>
      </c>
    </row>
    <row r="3686">
      <c r="B3686" s="6" t="inlineStr">
        <is>
          <t>สีบรอนซ์เงิน FOX No.36 (300)</t>
        </is>
      </c>
      <c r="C3686" s="8" t="inlineStr">
        <is>
          <t>48 กป.</t>
        </is>
      </c>
      <c r="D3686" s="9" t="n">
        <v>32</v>
      </c>
      <c r="H3686" s="9" t="n">
        <v>1536</v>
      </c>
      <c r="I3686" s="10" t="inlineStr">
        <is>
          <t>ทาเลนท์</t>
        </is>
      </c>
      <c r="J3686" s="161" t="n">
        <v>24082</v>
      </c>
      <c r="K3686" s="8" t="inlineStr">
        <is>
          <t>IV2207853</t>
        </is>
      </c>
    </row>
    <row r="3687">
      <c r="B3687" s="6" t="inlineStr">
        <is>
          <t>สีบรอนซ์เงิน FOX No.36 (300)</t>
        </is>
      </c>
      <c r="C3687" s="8" t="inlineStr">
        <is>
          <t>24 กป.</t>
        </is>
      </c>
      <c r="D3687" s="9" t="n">
        <v>32</v>
      </c>
      <c r="H3687" s="9" t="n">
        <v>768</v>
      </c>
      <c r="I3687" s="10" t="inlineStr">
        <is>
          <t>ทาเลนท์</t>
        </is>
      </c>
      <c r="J3687" s="161" t="n">
        <v>24153</v>
      </c>
      <c r="K3687" s="8" t="inlineStr">
        <is>
          <t>IB3006977</t>
        </is>
      </c>
    </row>
    <row r="3688">
      <c r="B3688" s="6" t="inlineStr">
        <is>
          <t>สีบรอนซ์เงิน FOX No.36 (300)</t>
        </is>
      </c>
      <c r="C3688" s="8" t="inlineStr">
        <is>
          <t>24 กป.</t>
        </is>
      </c>
      <c r="D3688" s="9" t="n">
        <v>32</v>
      </c>
      <c r="H3688" s="9" t="n">
        <v>768</v>
      </c>
      <c r="I3688" s="10" t="inlineStr">
        <is>
          <t>ทาเลนท์</t>
        </is>
      </c>
      <c r="J3688" s="161" t="n">
        <v>24229</v>
      </c>
      <c r="K3688" s="8" t="inlineStr">
        <is>
          <t>IV2211226</t>
        </is>
      </c>
    </row>
    <row r="3689">
      <c r="B3689" s="6" t="inlineStr">
        <is>
          <t>สีบรอนซ์เงิน FOX No.36 (300)</t>
        </is>
      </c>
      <c r="C3689" s="8" t="n">
        <v>60</v>
      </c>
      <c r="D3689" s="9" t="n">
        <v>32</v>
      </c>
      <c r="H3689" s="9">
        <f>SUM(D3689*C3689)</f>
        <v/>
      </c>
      <c r="I3689" s="10" t="inlineStr">
        <is>
          <t>ทาเลนท์</t>
        </is>
      </c>
      <c r="J3689" s="161" t="n">
        <v>24302</v>
      </c>
      <c r="K3689" s="8" t="inlineStr">
        <is>
          <t>IV2216248</t>
        </is>
      </c>
    </row>
    <row r="3690">
      <c r="B3690" s="6" t="inlineStr">
        <is>
          <t>สีบรอนซ์เงิน FOX No.36 (300)</t>
        </is>
      </c>
      <c r="C3690" s="8" t="n">
        <v>24</v>
      </c>
      <c r="D3690" s="9" t="n">
        <v>32</v>
      </c>
      <c r="H3690" s="9">
        <f>SUM(D3690*C3690)</f>
        <v/>
      </c>
      <c r="I3690" s="10" t="inlineStr">
        <is>
          <t>ทาเลนท์</t>
        </is>
      </c>
      <c r="J3690" s="161" t="n">
        <v>24390</v>
      </c>
      <c r="K3690" s="8" t="inlineStr">
        <is>
          <t>IV2221763</t>
        </is>
      </c>
    </row>
    <row r="3691">
      <c r="B3691" s="6" t="inlineStr">
        <is>
          <t>สีบรอนซ์เงิน FOX No.36 (300)</t>
        </is>
      </c>
      <c r="C3691" s="8" t="n">
        <v>60</v>
      </c>
      <c r="D3691" s="9" t="n">
        <v>32</v>
      </c>
      <c r="H3691" s="9">
        <f>SUM(D3691*C3691)</f>
        <v/>
      </c>
      <c r="I3691" s="10" t="inlineStr">
        <is>
          <t>ทาเลนท์</t>
        </is>
      </c>
      <c r="J3691" s="161" t="n">
        <v>24488</v>
      </c>
      <c r="K3691" s="8" t="inlineStr">
        <is>
          <t>IV2227023</t>
        </is>
      </c>
    </row>
    <row r="3692">
      <c r="B3692" s="6" t="inlineStr">
        <is>
          <t>สีบรอนซ์เงิน FOX No.36 (300)</t>
        </is>
      </c>
      <c r="C3692" s="8" t="n">
        <v>24</v>
      </c>
      <c r="D3692" s="9" t="n">
        <v>32</v>
      </c>
      <c r="H3692" s="9">
        <f>SUM(D3692*C3692)</f>
        <v/>
      </c>
      <c r="I3692" s="10" t="inlineStr">
        <is>
          <t>ทาเลนท์</t>
        </is>
      </c>
      <c r="J3692" s="161" t="n">
        <v>24617</v>
      </c>
      <c r="K3692" s="8" t="inlineStr">
        <is>
          <t>IV2234107</t>
        </is>
      </c>
    </row>
    <row r="3693">
      <c r="B3693" s="6" t="inlineStr">
        <is>
          <t>สีบรอนซ์เงิน FOX No.36 (300)</t>
        </is>
      </c>
      <c r="C3693" s="8" t="n">
        <v>48</v>
      </c>
      <c r="D3693" s="9" t="n">
        <v>32</v>
      </c>
      <c r="H3693" s="9">
        <f>SUM(D3693*C3693)</f>
        <v/>
      </c>
      <c r="I3693" s="10" t="inlineStr">
        <is>
          <t>ทาเลนท์</t>
        </is>
      </c>
      <c r="J3693" s="161" t="n">
        <v>24760</v>
      </c>
      <c r="K3693" s="8" t="inlineStr">
        <is>
          <t>IV2242407</t>
        </is>
      </c>
    </row>
    <row r="3694">
      <c r="B3694" s="6" t="inlineStr">
        <is>
          <t>สีบรอนซ์เงิน FOX No.36 (300)</t>
        </is>
      </c>
      <c r="C3694" s="8" t="n">
        <v>60</v>
      </c>
      <c r="D3694" s="9" t="n">
        <v>32</v>
      </c>
      <c r="H3694" s="9">
        <f>SUM(D3694*C3694)</f>
        <v/>
      </c>
      <c r="I3694" s="10" t="inlineStr">
        <is>
          <t>ทาเลนท์</t>
        </is>
      </c>
      <c r="J3694" s="161" t="n">
        <v>24872</v>
      </c>
      <c r="K3694" s="8" t="inlineStr">
        <is>
          <t>IV6801996</t>
        </is>
      </c>
    </row>
    <row r="3695">
      <c r="B3695" s="6" t="inlineStr">
        <is>
          <t>สีบรอนซ์เงิน FOX No.36 (300)</t>
        </is>
      </c>
      <c r="C3695" s="8" t="n">
        <v>48</v>
      </c>
      <c r="D3695" s="9" t="n">
        <v>32</v>
      </c>
      <c r="E3695" s="9">
        <f>SUM(D3695*C3695)</f>
        <v/>
      </c>
      <c r="F3695" s="8" t="n">
        <v>0.07000000000000001</v>
      </c>
      <c r="G3695" s="10" t="inlineStr">
        <is>
          <t>รวม VAT =</t>
        </is>
      </c>
      <c r="H3695" s="9">
        <f>SUM(E3695+N3695)</f>
        <v/>
      </c>
      <c r="I3695" s="10" t="inlineStr">
        <is>
          <t>ทาเลนท์</t>
        </is>
      </c>
      <c r="J3695" s="161" t="n">
        <v>25037</v>
      </c>
      <c r="K3695" s="8" t="inlineStr">
        <is>
          <t>IV6811579</t>
        </is>
      </c>
      <c r="L3695" s="8" t="inlineStr">
        <is>
          <t>กล่องละ 12 กป.</t>
        </is>
      </c>
      <c r="N3695" s="6">
        <f>SUM(E3695*F3695)</f>
        <v/>
      </c>
    </row>
    <row r="3697">
      <c r="B3697" s="6" t="inlineStr">
        <is>
          <t>สีเทาสว่าง 221 WIN</t>
        </is>
      </c>
      <c r="C3697" s="8" t="inlineStr">
        <is>
          <t>12กป.</t>
        </is>
      </c>
      <c r="D3697" s="9" t="n">
        <v>40.83</v>
      </c>
      <c r="H3697" s="9" t="n">
        <v>490</v>
      </c>
      <c r="I3697" s="10" t="inlineStr">
        <is>
          <t>ศรีสยาม</t>
        </is>
      </c>
      <c r="J3697" s="161" t="n">
        <v>23074</v>
      </c>
    </row>
    <row r="3699">
      <c r="B3699" s="6" t="inlineStr">
        <is>
          <t>สีแดง 211 WIN</t>
        </is>
      </c>
      <c r="C3699" s="8" t="inlineStr">
        <is>
          <t>1กป.</t>
        </is>
      </c>
      <c r="D3699" s="9" t="n">
        <v>46</v>
      </c>
      <c r="H3699" s="9" t="n">
        <v>46</v>
      </c>
      <c r="I3699" s="10" t="inlineStr">
        <is>
          <t>ศรีสยาม</t>
        </is>
      </c>
      <c r="J3699" s="161" t="n">
        <v>23275</v>
      </c>
    </row>
    <row r="3701">
      <c r="A3701" s="66" t="inlineStr">
        <is>
          <t>น้ำยาลงล้อ</t>
        </is>
      </c>
      <c r="B3701" s="6" t="inlineStr">
        <is>
          <t>น้ำยาลงล้อ</t>
        </is>
      </c>
      <c r="C3701" s="8" t="inlineStr">
        <is>
          <t>4กล.</t>
        </is>
      </c>
      <c r="D3701" s="9" t="n">
        <v>250</v>
      </c>
      <c r="H3701" s="9" t="n">
        <v>1000</v>
      </c>
      <c r="I3701" s="10" t="inlineStr">
        <is>
          <t>ฝากแม่ซื้อ</t>
        </is>
      </c>
      <c r="J3701" s="161" t="n">
        <v>22556</v>
      </c>
    </row>
    <row r="3702">
      <c r="B3702" s="6" t="inlineStr">
        <is>
          <t>น้ำยาลงล้อ</t>
        </is>
      </c>
      <c r="C3702" s="8" t="inlineStr">
        <is>
          <t>4กล.</t>
        </is>
      </c>
      <c r="D3702" s="9" t="n">
        <v>250</v>
      </c>
      <c r="H3702" s="9" t="n">
        <v>1000</v>
      </c>
      <c r="I3702" s="10" t="inlineStr">
        <is>
          <t>ฝากแม่ซื้อ</t>
        </is>
      </c>
      <c r="J3702" s="161" t="n">
        <v>22849</v>
      </c>
    </row>
    <row r="3703">
      <c r="B3703" s="6" t="inlineStr">
        <is>
          <t>น้ำยาลงล้อ</t>
        </is>
      </c>
      <c r="C3703" s="8" t="inlineStr">
        <is>
          <t>4กล.</t>
        </is>
      </c>
      <c r="D3703" s="9" t="n">
        <v>250</v>
      </c>
      <c r="H3703" s="9" t="n">
        <v>1000</v>
      </c>
      <c r="I3703" s="10" t="inlineStr">
        <is>
          <t>ฝากแม่ซื้อ</t>
        </is>
      </c>
      <c r="J3703" s="161" t="n">
        <v>23478</v>
      </c>
    </row>
    <row r="3704">
      <c r="B3704" s="6" t="inlineStr">
        <is>
          <t>น้ำยาลงล้อ</t>
        </is>
      </c>
      <c r="C3704" s="8" t="n">
        <v>2</v>
      </c>
      <c r="D3704" s="9" t="n">
        <v>290</v>
      </c>
      <c r="H3704" s="9">
        <f>SUM(D3704*C3704)</f>
        <v/>
      </c>
      <c r="I3704" s="10" t="inlineStr">
        <is>
          <t>ฝากแม่ซื้อ</t>
        </is>
      </c>
      <c r="J3704" s="161" t="n">
        <v>24400</v>
      </c>
    </row>
    <row r="3706">
      <c r="A3706" s="66" t="inlineStr">
        <is>
          <t>น้ำยาลงเบาะ</t>
        </is>
      </c>
      <c r="B3706" s="6" t="inlineStr">
        <is>
          <t>น้ำยาลงเบาะ</t>
        </is>
      </c>
      <c r="C3706" s="8" t="inlineStr">
        <is>
          <t>8กล.</t>
        </is>
      </c>
      <c r="D3706" s="9" t="n">
        <v>250</v>
      </c>
      <c r="H3706" s="9" t="n">
        <v>2000</v>
      </c>
      <c r="I3706" s="10" t="inlineStr">
        <is>
          <t>ฝากแม่ซื้อ</t>
        </is>
      </c>
      <c r="J3706" s="161" t="n">
        <v>22556</v>
      </c>
    </row>
    <row r="3707">
      <c r="B3707" s="6" t="inlineStr">
        <is>
          <t>น้ำยาลงเบาะ</t>
        </is>
      </c>
      <c r="C3707" s="8" t="inlineStr">
        <is>
          <t>4กล.</t>
        </is>
      </c>
      <c r="D3707" s="9" t="n">
        <v>250</v>
      </c>
      <c r="H3707" s="9" t="n">
        <v>1000</v>
      </c>
      <c r="I3707" s="10" t="inlineStr">
        <is>
          <t>ฝากแม่ซื้อ</t>
        </is>
      </c>
      <c r="J3707" s="161" t="n">
        <v>23478</v>
      </c>
    </row>
    <row r="3708">
      <c r="B3708" s="6" t="inlineStr">
        <is>
          <t>น้ำยาลงเบาะ</t>
        </is>
      </c>
      <c r="C3708" s="8" t="inlineStr">
        <is>
          <t>4กล.</t>
        </is>
      </c>
      <c r="D3708" s="9" t="n">
        <v>250</v>
      </c>
      <c r="H3708" s="9" t="n">
        <v>1000</v>
      </c>
      <c r="I3708" s="10" t="inlineStr">
        <is>
          <t>ฝากแม่ซื้อ</t>
        </is>
      </c>
      <c r="J3708" s="161" t="n">
        <v>23854</v>
      </c>
    </row>
    <row r="3710">
      <c r="A3710" s="66" t="inlineStr">
        <is>
          <t>น้ำยาเช็ดคราบ</t>
        </is>
      </c>
      <c r="B3710" s="6" t="inlineStr">
        <is>
          <t xml:space="preserve">น้ำยาเช็ดคราบ Matrix  3L </t>
        </is>
      </c>
      <c r="C3710" s="8" t="inlineStr">
        <is>
          <t>18 กล.</t>
        </is>
      </c>
      <c r="D3710" s="9" t="n">
        <v>290</v>
      </c>
      <c r="H3710" s="9" t="n">
        <v>5220</v>
      </c>
      <c r="I3710" s="10" t="inlineStr">
        <is>
          <t>ทรัพย์สินไทย</t>
        </is>
      </c>
      <c r="J3710" s="161" t="n">
        <v>22790</v>
      </c>
      <c r="L3710" s="8" t="inlineStr">
        <is>
          <t>ราคาที่ลง ยังไม่รวมภาษี</t>
        </is>
      </c>
    </row>
    <row r="3711">
      <c r="A3711" s="70" t="n"/>
      <c r="B3711" s="6" t="inlineStr">
        <is>
          <t xml:space="preserve">น้ำยาเช็ดคราบ Matrix  3L </t>
        </is>
      </c>
      <c r="C3711" s="8" t="inlineStr">
        <is>
          <t>36 กล.</t>
        </is>
      </c>
      <c r="D3711" s="9" t="n">
        <v>290</v>
      </c>
      <c r="H3711" s="9" t="n">
        <v>10440</v>
      </c>
      <c r="I3711" s="10" t="inlineStr">
        <is>
          <t>ทรัพย์สินไทย</t>
        </is>
      </c>
      <c r="J3711" s="161" t="n">
        <v>22821</v>
      </c>
      <c r="L3711" s="8" t="inlineStr">
        <is>
          <t>ราคาที่ลง ยังไม่รวมภาษี</t>
        </is>
      </c>
    </row>
    <row r="3712">
      <c r="B3712" s="6" t="inlineStr">
        <is>
          <t xml:space="preserve">น้ำยาเช็ดคราบ Matrix  3L </t>
        </is>
      </c>
      <c r="C3712" s="8" t="inlineStr">
        <is>
          <t>36 กล.</t>
        </is>
      </c>
      <c r="D3712" s="9" t="n">
        <v>290</v>
      </c>
      <c r="H3712" s="9" t="n">
        <v>10440</v>
      </c>
      <c r="I3712" s="10" t="inlineStr">
        <is>
          <t>ทรัพย์สินไทย</t>
        </is>
      </c>
      <c r="J3712" s="161" t="n">
        <v>22851</v>
      </c>
      <c r="L3712" s="8" t="inlineStr">
        <is>
          <t>ราคาที่ลง ยังไม่รวมภาษี</t>
        </is>
      </c>
    </row>
    <row r="3713">
      <c r="B3713" s="6" t="inlineStr">
        <is>
          <t xml:space="preserve">น้ำยาเช็ดคราบ Matrix  3L </t>
        </is>
      </c>
      <c r="C3713" s="8" t="inlineStr">
        <is>
          <t>36 กล.</t>
        </is>
      </c>
      <c r="D3713" s="9" t="n">
        <v>290</v>
      </c>
      <c r="H3713" s="9" t="n">
        <v>10440</v>
      </c>
      <c r="I3713" s="10" t="inlineStr">
        <is>
          <t>ทรัพย์สินไทย</t>
        </is>
      </c>
      <c r="J3713" s="161" t="n">
        <v>22884</v>
      </c>
      <c r="L3713" s="8" t="inlineStr">
        <is>
          <t>ราคาที่ลง ยังไม่รวมภาษี</t>
        </is>
      </c>
    </row>
    <row r="3714">
      <c r="B3714" s="6" t="inlineStr">
        <is>
          <t xml:space="preserve">น้ำยาเช็ดคราบ Matrix  3L </t>
        </is>
      </c>
      <c r="C3714" s="8" t="inlineStr">
        <is>
          <t>36 กล.</t>
        </is>
      </c>
      <c r="D3714" s="9" t="n">
        <v>290</v>
      </c>
      <c r="H3714" s="9" t="n">
        <v>10440</v>
      </c>
      <c r="I3714" s="10" t="inlineStr">
        <is>
          <t>ทรัพย์สินไทย</t>
        </is>
      </c>
      <c r="J3714" s="161" t="n">
        <v>22913</v>
      </c>
      <c r="L3714" s="8" t="inlineStr">
        <is>
          <t>ราคาที่ลง ยังไม่รวมภาษี</t>
        </is>
      </c>
    </row>
    <row r="3715">
      <c r="B3715" s="6" t="inlineStr">
        <is>
          <t xml:space="preserve">น้ำยาเช็ดคราบ Matrix  3L </t>
        </is>
      </c>
      <c r="C3715" s="8" t="inlineStr">
        <is>
          <t>36 กล.</t>
        </is>
      </c>
      <c r="D3715" s="9" t="n">
        <v>290</v>
      </c>
      <c r="H3715" s="9" t="n">
        <v>10440</v>
      </c>
      <c r="I3715" s="10" t="inlineStr">
        <is>
          <t>ทรัพย์สินไทย</t>
        </is>
      </c>
      <c r="J3715" s="161" t="n">
        <v>23038</v>
      </c>
      <c r="L3715" s="8" t="inlineStr">
        <is>
          <t>ราคาที่ลง ยังไม่รวมภาษี</t>
        </is>
      </c>
    </row>
    <row r="3716">
      <c r="B3716" s="6" t="inlineStr">
        <is>
          <t xml:space="preserve">น้ำยาเช็ดคราบ Matrix  3L </t>
        </is>
      </c>
      <c r="C3716" s="8" t="inlineStr">
        <is>
          <t>30 กล.</t>
        </is>
      </c>
      <c r="D3716" s="9" t="n">
        <v>290</v>
      </c>
      <c r="H3716" s="9" t="n">
        <v>8700</v>
      </c>
      <c r="I3716" s="10" t="inlineStr">
        <is>
          <t>ทรัพย์สินไทย</t>
        </is>
      </c>
      <c r="J3716" s="161" t="n">
        <v>23062</v>
      </c>
      <c r="L3716" s="8" t="inlineStr">
        <is>
          <t>ราคาที่ลง ยังไม่รวมภาษี</t>
        </is>
      </c>
    </row>
    <row r="3717">
      <c r="B3717" s="6" t="inlineStr">
        <is>
          <t xml:space="preserve">น้ำยาเช็ดคราบ Matrix  3L </t>
        </is>
      </c>
      <c r="C3717" s="8" t="inlineStr">
        <is>
          <t>36 กล.</t>
        </is>
      </c>
      <c r="D3717" s="9" t="n">
        <v>290</v>
      </c>
      <c r="H3717" s="9" t="n">
        <v>10440</v>
      </c>
      <c r="I3717" s="10" t="inlineStr">
        <is>
          <t>ทรัพย์สินไทย</t>
        </is>
      </c>
      <c r="J3717" s="161" t="n">
        <v>23094</v>
      </c>
      <c r="L3717" s="8" t="inlineStr">
        <is>
          <t>ราคาที่ลง ยังไม่รวมภาษี</t>
        </is>
      </c>
    </row>
    <row r="3718">
      <c r="B3718" s="6" t="inlineStr">
        <is>
          <t xml:space="preserve">น้ำยาเช็ดคราบ Matrix  3L </t>
        </is>
      </c>
      <c r="C3718" s="8" t="inlineStr">
        <is>
          <t>30 กล.</t>
        </is>
      </c>
      <c r="D3718" s="9" t="n">
        <v>290</v>
      </c>
      <c r="H3718" s="9" t="n">
        <v>8700</v>
      </c>
      <c r="I3718" s="10" t="inlineStr">
        <is>
          <t>ทรัพย์สินไทย</t>
        </is>
      </c>
      <c r="J3718" s="161" t="n">
        <v>23124</v>
      </c>
      <c r="L3718" s="8" t="inlineStr">
        <is>
          <t>ราคาที่ลง ยังไม่รวมภาษี</t>
        </is>
      </c>
    </row>
    <row r="3719">
      <c r="B3719" s="6" t="inlineStr">
        <is>
          <t xml:space="preserve">น้ำยาเช็ดคราบ Matrix  3L </t>
        </is>
      </c>
      <c r="C3719" s="8" t="inlineStr">
        <is>
          <t>36 กล.</t>
        </is>
      </c>
      <c r="D3719" s="9" t="n">
        <v>290</v>
      </c>
      <c r="H3719" s="9" t="n">
        <v>10440</v>
      </c>
      <c r="I3719" s="10" t="inlineStr">
        <is>
          <t>ทรัพย์สินไทย</t>
        </is>
      </c>
      <c r="J3719" s="161" t="n">
        <v>23187</v>
      </c>
      <c r="L3719" s="8" t="inlineStr">
        <is>
          <t>ราคาที่ลง ยังไม่รวมภาษี</t>
        </is>
      </c>
    </row>
    <row r="3720">
      <c r="B3720" s="6" t="inlineStr">
        <is>
          <t xml:space="preserve">น้ำยาเช็ดคราบ Matrix  3L </t>
        </is>
      </c>
      <c r="C3720" s="8" t="inlineStr">
        <is>
          <t>6 กล.</t>
        </is>
      </c>
      <c r="D3720" s="9" t="n">
        <v>290</v>
      </c>
      <c r="H3720" s="9" t="n">
        <v>1740</v>
      </c>
      <c r="I3720" s="10" t="inlineStr">
        <is>
          <t>ทรัพย์สินไทย</t>
        </is>
      </c>
      <c r="J3720" s="161" t="n">
        <v>23221</v>
      </c>
      <c r="L3720" s="8" t="inlineStr">
        <is>
          <t>ราคาที่ลง ยังไม่รวมภาษี</t>
        </is>
      </c>
    </row>
    <row r="3721">
      <c r="B3721" s="6" t="inlineStr">
        <is>
          <t xml:space="preserve">น้ำยาเช็ดคราบ Matrix  3L </t>
        </is>
      </c>
      <c r="C3721" s="8" t="inlineStr">
        <is>
          <t>30 กล.</t>
        </is>
      </c>
      <c r="D3721" s="9" t="n">
        <v>290</v>
      </c>
      <c r="H3721" s="9" t="n">
        <v>8700</v>
      </c>
      <c r="I3721" s="10" t="inlineStr">
        <is>
          <t>ทรัพย์สินไทย</t>
        </is>
      </c>
      <c r="J3721" s="161" t="n">
        <v>23216</v>
      </c>
      <c r="L3721" s="8" t="inlineStr">
        <is>
          <t>ราคาที่ลง ยังไม่รวมภาษี</t>
        </is>
      </c>
    </row>
    <row r="3722">
      <c r="B3722" s="6" t="inlineStr">
        <is>
          <t xml:space="preserve">น้ำยาเช็ดคราบ Matrix  3L </t>
        </is>
      </c>
      <c r="C3722" s="8" t="inlineStr">
        <is>
          <t>36 กล.</t>
        </is>
      </c>
      <c r="D3722" s="9" t="n">
        <v>290</v>
      </c>
      <c r="H3722" s="9" t="n">
        <v>10440</v>
      </c>
      <c r="I3722" s="10" t="inlineStr">
        <is>
          <t>ทรัพย์สินไทย</t>
        </is>
      </c>
      <c r="J3722" s="161" t="n">
        <v>23247</v>
      </c>
      <c r="L3722" s="8" t="inlineStr">
        <is>
          <t>ราคาที่ลง ยังไม่รวมภาษี</t>
        </is>
      </c>
    </row>
    <row r="3723">
      <c r="B3723" s="6" t="inlineStr">
        <is>
          <t xml:space="preserve">น้ำยาเช็ดคราบ Matrix  3L </t>
        </is>
      </c>
      <c r="C3723" s="8" t="inlineStr">
        <is>
          <t>36 กล.</t>
        </is>
      </c>
      <c r="D3723" s="9" t="n">
        <v>290</v>
      </c>
      <c r="H3723" s="9" t="n">
        <v>10440</v>
      </c>
      <c r="I3723" s="10" t="inlineStr">
        <is>
          <t>ทรัพย์สินไทย</t>
        </is>
      </c>
      <c r="J3723" s="161" t="n">
        <v>23305</v>
      </c>
      <c r="L3723" s="8" t="inlineStr">
        <is>
          <t>ราคาที่ลง ยังไม่รวมภาษี</t>
        </is>
      </c>
    </row>
    <row r="3724">
      <c r="B3724" s="6" t="inlineStr">
        <is>
          <t xml:space="preserve">น้ำยาเช็ดคราบ Matrix  3L </t>
        </is>
      </c>
      <c r="C3724" s="8" t="inlineStr">
        <is>
          <t>42 กล.</t>
        </is>
      </c>
      <c r="D3724" s="9" t="n">
        <v>290</v>
      </c>
      <c r="H3724" s="9" t="n">
        <v>12180</v>
      </c>
      <c r="I3724" s="10" t="inlineStr">
        <is>
          <t>ทรัพย์สินไทย</t>
        </is>
      </c>
      <c r="J3724" s="161" t="n">
        <v>23337</v>
      </c>
      <c r="L3724" s="8" t="inlineStr">
        <is>
          <t>ราคาที่ลง ยังไม่รวมภาษี</t>
        </is>
      </c>
    </row>
    <row r="3725">
      <c r="B3725" s="6" t="inlineStr">
        <is>
          <t xml:space="preserve">น้ำยาเช็ดคราบ Matrix  3L </t>
        </is>
      </c>
      <c r="C3725" s="8" t="inlineStr">
        <is>
          <t>36 กล.</t>
        </is>
      </c>
      <c r="D3725" s="9" t="n">
        <v>290</v>
      </c>
      <c r="H3725" s="9" t="n">
        <v>10440</v>
      </c>
      <c r="I3725" s="10" t="inlineStr">
        <is>
          <t>ทรัพย์สินไทย</t>
        </is>
      </c>
      <c r="J3725" s="161" t="n">
        <v>23340</v>
      </c>
      <c r="L3725" s="8" t="inlineStr">
        <is>
          <t>ราคาที่ลง ยังไม่รวมภาษี</t>
        </is>
      </c>
    </row>
    <row r="3726">
      <c r="B3726" s="6" t="inlineStr">
        <is>
          <t xml:space="preserve">น้ำยาเช็ดคราบ Matrix  3L </t>
        </is>
      </c>
      <c r="C3726" s="8" t="inlineStr">
        <is>
          <t>36 กล.</t>
        </is>
      </c>
      <c r="D3726" s="9" t="n">
        <v>290</v>
      </c>
      <c r="H3726" s="9" t="n">
        <v>10440</v>
      </c>
      <c r="I3726" s="10" t="inlineStr">
        <is>
          <t>ทรัพย์สินไทย</t>
        </is>
      </c>
      <c r="J3726" s="161" t="n">
        <v>23366</v>
      </c>
      <c r="L3726" s="8" t="inlineStr">
        <is>
          <t>ราคาที่ลง ยังไม่รวมภาษี</t>
        </is>
      </c>
    </row>
    <row r="3727">
      <c r="B3727" s="6" t="inlineStr">
        <is>
          <t xml:space="preserve">น้ำยาเช็ดคราบ Matrix  3L </t>
        </is>
      </c>
      <c r="C3727" s="8" t="inlineStr">
        <is>
          <t>24 กล.</t>
        </is>
      </c>
      <c r="D3727" s="9" t="n">
        <v>290</v>
      </c>
      <c r="H3727" s="9" t="n">
        <v>6960</v>
      </c>
      <c r="I3727" s="10" t="inlineStr">
        <is>
          <t>ทรัพย์สินไทย</t>
        </is>
      </c>
      <c r="J3727" s="161" t="n">
        <v>23629</v>
      </c>
      <c r="L3727" s="8" t="inlineStr">
        <is>
          <t>ราคาที่ลง ยังไม่รวมภาษี</t>
        </is>
      </c>
    </row>
    <row r="3728">
      <c r="B3728" s="6" t="inlineStr">
        <is>
          <t xml:space="preserve">น้ำยาเช็ดคราบ Matrix  3L </t>
        </is>
      </c>
      <c r="C3728" s="8" t="inlineStr">
        <is>
          <t>36 กล.</t>
        </is>
      </c>
      <c r="D3728" s="9" t="n">
        <v>300</v>
      </c>
      <c r="H3728" s="9" t="n">
        <v>10800</v>
      </c>
      <c r="I3728" s="10" t="inlineStr">
        <is>
          <t>ทรัพย์สินไทย</t>
        </is>
      </c>
      <c r="J3728" s="161" t="n">
        <v>23710</v>
      </c>
      <c r="K3728" s="8" t="inlineStr">
        <is>
          <t>IV6411367</t>
        </is>
      </c>
      <c r="L3728" s="8" t="inlineStr">
        <is>
          <t>ราคาที่ลง ยังไม่รวมภาษี</t>
        </is>
      </c>
    </row>
    <row r="3729">
      <c r="B3729" s="6" t="inlineStr">
        <is>
          <t xml:space="preserve">น้ำยาเช็ดคราบ Matrix  3L </t>
        </is>
      </c>
      <c r="C3729" s="8" t="inlineStr">
        <is>
          <t>24 กล.</t>
        </is>
      </c>
      <c r="D3729" s="9" t="n">
        <v>300</v>
      </c>
      <c r="H3729" s="9" t="n">
        <v>7200</v>
      </c>
      <c r="I3729" s="10" t="inlineStr">
        <is>
          <t>ทรัพย์สินไทย</t>
        </is>
      </c>
      <c r="J3729" s="161" t="n">
        <v>23860</v>
      </c>
      <c r="K3729" s="8" t="inlineStr">
        <is>
          <t>IV6504246</t>
        </is>
      </c>
      <c r="L3729" s="8" t="inlineStr">
        <is>
          <t>ราคาที่ลง ยังไม่รวมภาษี</t>
        </is>
      </c>
    </row>
    <row r="3731">
      <c r="A3731" s="67" t="inlineStr">
        <is>
          <t>1ลัง = 6กล.</t>
        </is>
      </c>
      <c r="B3731" s="6" t="inlineStr">
        <is>
          <t xml:space="preserve">น้ำยาเช็ดคราบ HUTSON 3L </t>
        </is>
      </c>
      <c r="C3731" s="8" t="inlineStr">
        <is>
          <t>1 กล.</t>
        </is>
      </c>
      <c r="D3731" s="9" t="n">
        <v>195</v>
      </c>
      <c r="H3731" s="9" t="n">
        <v>195</v>
      </c>
      <c r="I3731" s="10" t="inlineStr">
        <is>
          <t>ทาเลนท์</t>
        </is>
      </c>
      <c r="J3731" s="161" t="n">
        <v>23380</v>
      </c>
      <c r="L3731" s="8" t="inlineStr">
        <is>
          <t>ราคาที่ลง ยังไม่รวมภาษี</t>
        </is>
      </c>
    </row>
    <row r="3732">
      <c r="B3732" s="6" t="inlineStr">
        <is>
          <t xml:space="preserve">น้ำยาเช็ดคราบ HUTSON 3L </t>
        </is>
      </c>
      <c r="C3732" s="8" t="inlineStr">
        <is>
          <t>24 กล.</t>
        </is>
      </c>
      <c r="D3732" s="9" t="n">
        <v>190</v>
      </c>
      <c r="H3732" s="9" t="n">
        <v>4560</v>
      </c>
      <c r="I3732" s="10" t="inlineStr">
        <is>
          <t>ทาเลนท์</t>
        </is>
      </c>
      <c r="J3732" s="161" t="n">
        <v>23390</v>
      </c>
      <c r="L3732" s="8" t="inlineStr">
        <is>
          <t>ราคาที่ลง ยังไม่รวมภาษี</t>
        </is>
      </c>
    </row>
    <row r="3733">
      <c r="B3733" s="6" t="inlineStr">
        <is>
          <t xml:space="preserve">น้ำยาเช็ดคราบ HUTSON 3L </t>
        </is>
      </c>
      <c r="C3733" s="8" t="inlineStr">
        <is>
          <t>24 กล.</t>
        </is>
      </c>
      <c r="D3733" s="9" t="n">
        <v>190</v>
      </c>
      <c r="H3733" s="9" t="n">
        <v>4560</v>
      </c>
      <c r="I3733" s="10" t="inlineStr">
        <is>
          <t>ทาเลนท์</t>
        </is>
      </c>
      <c r="J3733" s="161" t="n">
        <v>23409</v>
      </c>
      <c r="L3733" s="8" t="inlineStr">
        <is>
          <t>ราคาที่ลง ยังไม่รวมภาษี</t>
        </is>
      </c>
    </row>
    <row r="3734">
      <c r="B3734" s="6" t="inlineStr">
        <is>
          <t xml:space="preserve">น้ำยาเช็ดคราบ HUTSON 3L </t>
        </is>
      </c>
      <c r="C3734" s="8" t="inlineStr">
        <is>
          <t>24 กล.</t>
        </is>
      </c>
      <c r="D3734" s="9" t="n">
        <v>190</v>
      </c>
      <c r="H3734" s="9" t="n">
        <v>4560</v>
      </c>
      <c r="I3734" s="10" t="inlineStr">
        <is>
          <t>ทาเลนท์</t>
        </is>
      </c>
      <c r="J3734" s="161" t="n">
        <v>23429</v>
      </c>
      <c r="L3734" s="8" t="inlineStr">
        <is>
          <t>ราคาที่ลง ยังไม่รวมภาษี</t>
        </is>
      </c>
    </row>
    <row r="3735">
      <c r="B3735" s="6" t="inlineStr">
        <is>
          <t xml:space="preserve">น้ำยาเช็ดคราบ HUTSON 3L </t>
        </is>
      </c>
      <c r="C3735" s="8" t="inlineStr">
        <is>
          <t>24 กล.</t>
        </is>
      </c>
      <c r="D3735" s="9" t="n">
        <v>190</v>
      </c>
      <c r="H3735" s="9" t="n">
        <v>4560</v>
      </c>
      <c r="I3735" s="10" t="inlineStr">
        <is>
          <t>ทาเลนท์</t>
        </is>
      </c>
      <c r="J3735" s="161" t="n">
        <v>23455</v>
      </c>
      <c r="L3735" s="8" t="inlineStr">
        <is>
          <t>ราคาที่ลง ยังไม่รวมภาษี</t>
        </is>
      </c>
    </row>
    <row r="3736">
      <c r="B3736" s="6" t="inlineStr">
        <is>
          <t xml:space="preserve">น้ำยาเช็ดคราบ HUTSON 3L </t>
        </is>
      </c>
      <c r="C3736" s="8" t="inlineStr">
        <is>
          <t>36 กล.</t>
        </is>
      </c>
      <c r="D3736" s="9" t="n">
        <v>190</v>
      </c>
      <c r="H3736" s="9" t="n">
        <v>6840</v>
      </c>
      <c r="I3736" s="10" t="inlineStr">
        <is>
          <t>ทาเลนท์</t>
        </is>
      </c>
      <c r="J3736" s="161" t="n">
        <v>23521</v>
      </c>
      <c r="L3736" s="8" t="inlineStr">
        <is>
          <t>ราคาที่ลง ยังไม่รวมภาษี</t>
        </is>
      </c>
    </row>
    <row r="3737">
      <c r="B3737" s="6" t="inlineStr">
        <is>
          <t xml:space="preserve">น้ำยาเช็ดคราบ HUTSON 3L </t>
        </is>
      </c>
      <c r="C3737" s="8" t="inlineStr">
        <is>
          <t>36 กล.</t>
        </is>
      </c>
      <c r="D3737" s="9" t="n">
        <v>190</v>
      </c>
      <c r="H3737" s="9" t="n">
        <v>6840</v>
      </c>
      <c r="I3737" s="10" t="inlineStr">
        <is>
          <t>ทาเลนท์</t>
        </is>
      </c>
      <c r="J3737" s="161" t="n">
        <v>23613</v>
      </c>
      <c r="L3737" s="8" t="inlineStr">
        <is>
          <t>ราคาที่ลง ยังไม่รวมภาษี</t>
        </is>
      </c>
    </row>
    <row r="3738">
      <c r="B3738" s="6" t="inlineStr">
        <is>
          <t xml:space="preserve">น้ำยาเช็ดคราบ HUTSON 3L </t>
        </is>
      </c>
      <c r="C3738" s="8" t="inlineStr">
        <is>
          <t>24 กล.</t>
        </is>
      </c>
      <c r="D3738" s="9" t="n">
        <v>190</v>
      </c>
      <c r="H3738" s="9" t="n">
        <v>4560</v>
      </c>
      <c r="I3738" s="10" t="inlineStr">
        <is>
          <t>ทาเลนท์</t>
        </is>
      </c>
      <c r="J3738" s="161" t="n">
        <v>23562</v>
      </c>
      <c r="K3738" s="8" t="inlineStr">
        <is>
          <t>IV6407743</t>
        </is>
      </c>
      <c r="L3738" s="8" t="inlineStr">
        <is>
          <t>ราคาที่ลง ยังไม่รวมภาษี</t>
        </is>
      </c>
    </row>
    <row r="3739">
      <c r="B3739" s="6" t="inlineStr">
        <is>
          <t xml:space="preserve">น้ำยาเช็ดคราบ HUTSON 3L </t>
        </is>
      </c>
      <c r="C3739" s="8" t="inlineStr">
        <is>
          <t>36 กล.</t>
        </is>
      </c>
      <c r="D3739" s="9" t="n">
        <v>190</v>
      </c>
      <c r="H3739" s="9" t="n">
        <v>6840</v>
      </c>
      <c r="I3739" s="10" t="inlineStr">
        <is>
          <t>ทาเลนท์</t>
        </is>
      </c>
      <c r="J3739" s="161" t="n">
        <v>23708</v>
      </c>
      <c r="K3739" s="8" t="inlineStr">
        <is>
          <t>IV6416224</t>
        </is>
      </c>
      <c r="L3739" s="8" t="inlineStr">
        <is>
          <t>ราคาที่ลง ยังไม่รวมภาษี</t>
        </is>
      </c>
    </row>
    <row r="3740">
      <c r="B3740" s="6" t="inlineStr">
        <is>
          <t xml:space="preserve">น้ำยาเช็ดคราบ HUTSON 3L </t>
        </is>
      </c>
      <c r="C3740" s="8" t="inlineStr">
        <is>
          <t>24 กล.</t>
        </is>
      </c>
      <c r="D3740" s="9" t="n">
        <v>190</v>
      </c>
      <c r="H3740" s="9" t="n">
        <v>4560</v>
      </c>
      <c r="I3740" s="10" t="inlineStr">
        <is>
          <t>ทาเลนท์</t>
        </is>
      </c>
      <c r="J3740" s="161" t="n">
        <v>23812</v>
      </c>
      <c r="K3740" s="8" t="inlineStr">
        <is>
          <t>IV6504806</t>
        </is>
      </c>
      <c r="L3740" s="8" t="inlineStr">
        <is>
          <t>ราคาที่ลง ยังไม่รวมภาษี</t>
        </is>
      </c>
    </row>
    <row r="3741">
      <c r="B3741" s="6" t="inlineStr">
        <is>
          <t xml:space="preserve">น้ำยาเช็ดคราบ HUTSON 3L </t>
        </is>
      </c>
      <c r="C3741" s="8" t="inlineStr">
        <is>
          <t>12 กล.</t>
        </is>
      </c>
      <c r="D3741" s="9" t="n">
        <v>190</v>
      </c>
      <c r="H3741" s="9" t="n">
        <v>2280</v>
      </c>
      <c r="I3741" s="10" t="inlineStr">
        <is>
          <t>ทาเลนท์</t>
        </is>
      </c>
      <c r="J3741" s="161" t="n">
        <v>23865</v>
      </c>
      <c r="K3741" s="8" t="inlineStr">
        <is>
          <t>IB3000095</t>
        </is>
      </c>
      <c r="L3741" s="8" t="inlineStr">
        <is>
          <t>ราคาที่ลง ยังไม่รวมภาษี</t>
        </is>
      </c>
    </row>
    <row r="3742">
      <c r="B3742" s="6" t="inlineStr">
        <is>
          <t xml:space="preserve">น้ำยาเช็ดคราบ HUTSON 3L </t>
        </is>
      </c>
      <c r="C3742" s="8" t="inlineStr">
        <is>
          <t>48 กล.</t>
        </is>
      </c>
      <c r="D3742" s="9" t="n">
        <v>190</v>
      </c>
      <c r="H3742" s="9" t="n">
        <v>9120</v>
      </c>
      <c r="I3742" s="10" t="inlineStr">
        <is>
          <t>ทาเลนท์</t>
        </is>
      </c>
      <c r="J3742" s="161" t="n">
        <v>23911</v>
      </c>
      <c r="K3742" s="8" t="inlineStr">
        <is>
          <t>IB3002779</t>
        </is>
      </c>
      <c r="L3742" s="8" t="inlineStr">
        <is>
          <t>ราคาที่ลง ยังไม่รวมภาษี</t>
        </is>
      </c>
    </row>
    <row r="3743">
      <c r="B3743" s="6" t="inlineStr">
        <is>
          <t xml:space="preserve">น้ำยาเช็ดคราบ HUTSON 3L </t>
        </is>
      </c>
      <c r="C3743" s="8" t="inlineStr">
        <is>
          <t>36 กล.</t>
        </is>
      </c>
      <c r="D3743" s="9" t="n">
        <v>190</v>
      </c>
      <c r="H3743" s="9" t="n">
        <v>6840</v>
      </c>
      <c r="I3743" s="10" t="inlineStr">
        <is>
          <t>ทาเลนท์</t>
        </is>
      </c>
      <c r="J3743" s="161" t="n">
        <v>24019</v>
      </c>
      <c r="K3743" s="8" t="inlineStr">
        <is>
          <t>IV2204973</t>
        </is>
      </c>
      <c r="L3743" s="8" t="inlineStr">
        <is>
          <t>ราคาที่ลง ยังไม่รวมภาษี</t>
        </is>
      </c>
    </row>
    <row r="3744">
      <c r="B3744" s="6" t="inlineStr">
        <is>
          <t xml:space="preserve">น้ำยาเช็ดคราบ HUTSON 3L </t>
        </is>
      </c>
      <c r="C3744" s="8" t="inlineStr">
        <is>
          <t>24 กล.</t>
        </is>
      </c>
      <c r="D3744" s="9" t="n">
        <v>190</v>
      </c>
      <c r="H3744" s="9" t="n">
        <v>4560</v>
      </c>
      <c r="I3744" s="10" t="inlineStr">
        <is>
          <t>ทาเลนท์</t>
        </is>
      </c>
      <c r="J3744" s="161" t="n">
        <v>24126</v>
      </c>
      <c r="K3744" s="8" t="inlineStr">
        <is>
          <t>IB3005285</t>
        </is>
      </c>
      <c r="L3744" s="8" t="inlineStr">
        <is>
          <t>ราคาที่ลง ยังไม่รวมภาษี</t>
        </is>
      </c>
    </row>
    <row r="3745">
      <c r="B3745" s="6" t="inlineStr">
        <is>
          <t xml:space="preserve">น้ำยาเช็ดคราบ HUTSON 3L </t>
        </is>
      </c>
      <c r="C3745" s="8" t="inlineStr">
        <is>
          <t>36 กล.</t>
        </is>
      </c>
      <c r="D3745" s="9" t="n">
        <v>190</v>
      </c>
      <c r="H3745" s="9" t="n">
        <v>6840</v>
      </c>
      <c r="I3745" s="10" t="inlineStr">
        <is>
          <t>ทาเลนท์</t>
        </is>
      </c>
      <c r="J3745" s="161" t="n">
        <v>24168</v>
      </c>
      <c r="K3745" s="8" t="inlineStr">
        <is>
          <t>IB3007951</t>
        </is>
      </c>
      <c r="L3745" s="8" t="inlineStr">
        <is>
          <t>ราคาที่ลง ยังไม่รวมภาษี</t>
        </is>
      </c>
    </row>
    <row r="3746">
      <c r="B3746" s="6" t="inlineStr">
        <is>
          <t xml:space="preserve">น้ำยาเช็ดคราบ HUTSON 3L </t>
        </is>
      </c>
      <c r="C3746" s="8" t="inlineStr">
        <is>
          <t>36 กล.</t>
        </is>
      </c>
      <c r="D3746" s="9" t="n">
        <v>190</v>
      </c>
      <c r="H3746" s="9" t="n">
        <v>6840</v>
      </c>
      <c r="I3746" s="10" t="inlineStr">
        <is>
          <t>ทาเลนท์</t>
        </is>
      </c>
      <c r="J3746" s="161" t="n">
        <v>24258</v>
      </c>
      <c r="K3746" s="8" t="inlineStr">
        <is>
          <t>IV2213077</t>
        </is>
      </c>
      <c r="L3746" s="8" t="inlineStr">
        <is>
          <t>ราคาที่ลง ยังไม่รวมภาษี</t>
        </is>
      </c>
    </row>
    <row r="3747">
      <c r="B3747" s="6" t="inlineStr">
        <is>
          <t xml:space="preserve">น้ำยาเช็ดคราบ HUTSON 3L </t>
        </is>
      </c>
      <c r="C3747" s="8" t="inlineStr">
        <is>
          <t>48 กล.</t>
        </is>
      </c>
      <c r="D3747" s="9" t="n">
        <v>190</v>
      </c>
      <c r="H3747" s="9" t="n">
        <v>9120</v>
      </c>
      <c r="I3747" s="10" t="inlineStr">
        <is>
          <t>ทาเลนท์</t>
        </is>
      </c>
      <c r="J3747" s="161" t="n">
        <v>24273</v>
      </c>
      <c r="K3747" s="8" t="inlineStr">
        <is>
          <t>IV2214252</t>
        </is>
      </c>
      <c r="L3747" s="8" t="inlineStr">
        <is>
          <t>ราคาที่ลง ยังไม่รวมภาษี</t>
        </is>
      </c>
    </row>
    <row r="3748">
      <c r="B3748" s="6" t="inlineStr">
        <is>
          <t xml:space="preserve">น้ำยาเช็ดคราบ HUTSON 3L </t>
        </is>
      </c>
      <c r="C3748" s="8" t="n">
        <v>24</v>
      </c>
      <c r="D3748" s="9" t="n">
        <v>190</v>
      </c>
      <c r="H3748" s="9">
        <f>SUM(D3748*C3748)</f>
        <v/>
      </c>
      <c r="I3748" s="10" t="inlineStr">
        <is>
          <t>ทาเลนท์</t>
        </is>
      </c>
      <c r="J3748" s="161" t="n">
        <v>24371</v>
      </c>
      <c r="K3748" s="8" t="inlineStr">
        <is>
          <t>IV2220473</t>
        </is>
      </c>
      <c r="L3748" s="8" t="inlineStr">
        <is>
          <t>ราคาที่ลง ยังไม่รวมภาษี</t>
        </is>
      </c>
    </row>
    <row r="3749">
      <c r="B3749" s="6" t="inlineStr">
        <is>
          <t xml:space="preserve">น้ำยาเช็ดคราบ HUTSON 3L </t>
        </is>
      </c>
      <c r="C3749" s="8" t="n">
        <v>24</v>
      </c>
      <c r="D3749" s="9" t="n">
        <v>190</v>
      </c>
      <c r="H3749" s="9">
        <f>SUM(D3749*C3749)</f>
        <v/>
      </c>
      <c r="I3749" s="10" t="inlineStr">
        <is>
          <t>ทาเลนท์</t>
        </is>
      </c>
      <c r="J3749" s="161" t="n">
        <v>24390</v>
      </c>
      <c r="K3749" s="8" t="inlineStr">
        <is>
          <t>IV2221763</t>
        </is>
      </c>
      <c r="L3749" s="8" t="inlineStr">
        <is>
          <t>ราคาที่ลง ยังไม่รวมภาษี</t>
        </is>
      </c>
    </row>
    <row r="3750">
      <c r="B3750" s="6" t="inlineStr">
        <is>
          <t xml:space="preserve">น้ำยาเช็ดคราบ HUTSON 3L </t>
        </is>
      </c>
      <c r="C3750" s="8" t="n">
        <v>36</v>
      </c>
      <c r="D3750" s="9" t="n">
        <v>190</v>
      </c>
      <c r="H3750" s="9">
        <f>SUM(D3750*C3750)</f>
        <v/>
      </c>
      <c r="I3750" s="10" t="inlineStr">
        <is>
          <t>ทาเลนท์</t>
        </is>
      </c>
      <c r="J3750" s="161" t="n">
        <v>24460</v>
      </c>
      <c r="K3750" s="8" t="inlineStr">
        <is>
          <t>IV2225888</t>
        </is>
      </c>
      <c r="L3750" s="8" t="inlineStr">
        <is>
          <t>ราคาที่ลง ยังไม่รวมภาษี</t>
        </is>
      </c>
    </row>
    <row r="3751">
      <c r="B3751" s="6" t="inlineStr">
        <is>
          <t xml:space="preserve">น้ำยาเช็ดคราบ HUTSON 3L </t>
        </is>
      </c>
      <c r="C3751" s="8" t="n">
        <v>42</v>
      </c>
      <c r="D3751" s="9" t="n">
        <v>190</v>
      </c>
      <c r="H3751" s="9">
        <f>SUM(D3751*C3751)</f>
        <v/>
      </c>
      <c r="I3751" s="10" t="inlineStr">
        <is>
          <t>ทาเลนท์</t>
        </is>
      </c>
      <c r="J3751" s="161" t="n">
        <v>24558</v>
      </c>
      <c r="K3751" s="8" t="inlineStr">
        <is>
          <t>IV2231150</t>
        </is>
      </c>
      <c r="L3751" s="8" t="inlineStr">
        <is>
          <t>ราคาที่ลง ยังไม่รวมภาษี</t>
        </is>
      </c>
    </row>
    <row r="3752">
      <c r="B3752" s="6" t="inlineStr">
        <is>
          <t xml:space="preserve">น้ำยาเช็ดคราบ HUTSON 3L </t>
        </is>
      </c>
      <c r="C3752" s="8" t="n">
        <v>36</v>
      </c>
      <c r="D3752" s="9" t="n">
        <v>190</v>
      </c>
      <c r="H3752" s="9">
        <f>SUM(D3752*C3752)</f>
        <v/>
      </c>
      <c r="I3752" s="10" t="inlineStr">
        <is>
          <t>ทาเลนท์</t>
        </is>
      </c>
      <c r="J3752" s="161" t="n">
        <v>24657</v>
      </c>
      <c r="K3752" s="8" t="inlineStr">
        <is>
          <t>IV2236517</t>
        </is>
      </c>
      <c r="L3752" s="8" t="inlineStr">
        <is>
          <t>ราคาที่ลง ยังไม่รวมภาษี</t>
        </is>
      </c>
    </row>
    <row r="3753">
      <c r="B3753" s="6" t="inlineStr">
        <is>
          <t xml:space="preserve">น้ำยาเช็ดคราบ HUTSON 3L </t>
        </is>
      </c>
      <c r="C3753" s="8" t="n">
        <v>36</v>
      </c>
      <c r="D3753" s="9" t="n">
        <v>190</v>
      </c>
      <c r="H3753" s="9">
        <f>SUM(D3753*C3753)</f>
        <v/>
      </c>
      <c r="I3753" s="10" t="inlineStr">
        <is>
          <t>ทาเลนท์</t>
        </is>
      </c>
      <c r="J3753" s="161" t="n">
        <v>24728</v>
      </c>
      <c r="K3753" s="8" t="inlineStr">
        <is>
          <t>IV2240627</t>
        </is>
      </c>
      <c r="L3753" s="8" t="inlineStr">
        <is>
          <t>ราคาที่ลง ยังไม่รวมภาษี</t>
        </is>
      </c>
    </row>
    <row r="3754">
      <c r="B3754" s="6" t="inlineStr">
        <is>
          <t xml:space="preserve">น้ำยาเช็ดคราบ HUTSON 3L </t>
        </is>
      </c>
      <c r="C3754" s="8" t="n">
        <v>24</v>
      </c>
      <c r="D3754" s="9" t="n">
        <v>190</v>
      </c>
      <c r="H3754" s="9">
        <f>SUM(D3754*C3754)</f>
        <v/>
      </c>
      <c r="I3754" s="10" t="inlineStr">
        <is>
          <t>ทาเลนท์</t>
        </is>
      </c>
      <c r="J3754" s="161" t="n">
        <v>24760</v>
      </c>
      <c r="K3754" s="8" t="inlineStr">
        <is>
          <t>IV2242407</t>
        </is>
      </c>
      <c r="L3754" s="8" t="inlineStr">
        <is>
          <t>ราคาที่ลง ยังไม่รวมภาษี</t>
        </is>
      </c>
    </row>
    <row r="3755">
      <c r="B3755" s="6" t="inlineStr">
        <is>
          <t xml:space="preserve">น้ำยาเช็ดคราบ HUTSON 3L </t>
        </is>
      </c>
      <c r="C3755" s="8" t="n">
        <v>36</v>
      </c>
      <c r="D3755" s="9" t="n">
        <v>190</v>
      </c>
      <c r="H3755" s="9">
        <f>SUM(D3755*C3755)</f>
        <v/>
      </c>
      <c r="I3755" s="10" t="inlineStr">
        <is>
          <t>ทาเลนท์</t>
        </is>
      </c>
      <c r="J3755" s="161" t="n">
        <v>24846</v>
      </c>
      <c r="K3755" s="8" t="inlineStr">
        <is>
          <t>IV6800504</t>
        </is>
      </c>
      <c r="L3755" s="8" t="inlineStr">
        <is>
          <t>ราคาที่ลง ยังไม่รวมภาษี</t>
        </is>
      </c>
    </row>
    <row r="3756">
      <c r="B3756" s="6" t="inlineStr">
        <is>
          <t xml:space="preserve">น้ำยาเช็ดคราบ HUTSON 3L </t>
        </is>
      </c>
      <c r="C3756" s="8" t="n">
        <v>48</v>
      </c>
      <c r="D3756" s="9" t="n">
        <v>190</v>
      </c>
      <c r="E3756" s="9">
        <f>SUM(D3756*C3756)</f>
        <v/>
      </c>
      <c r="F3756" s="8" t="n">
        <v>0.07000000000000001</v>
      </c>
      <c r="G3756" s="10" t="inlineStr">
        <is>
          <t>รวม VAT =</t>
        </is>
      </c>
      <c r="H3756" s="9">
        <f>SUM(E3756+N3756)</f>
        <v/>
      </c>
      <c r="I3756" s="10" t="inlineStr">
        <is>
          <t>ทาเลนท์</t>
        </is>
      </c>
      <c r="J3756" s="161" t="n">
        <v>25014</v>
      </c>
      <c r="K3756" s="8" t="inlineStr">
        <is>
          <t>IV6810093</t>
        </is>
      </c>
      <c r="N3756" s="6">
        <f>SUM(E3756*F3756)</f>
        <v/>
      </c>
    </row>
    <row r="3757">
      <c r="A3757" s="70" t="n"/>
      <c r="B3757" s="6" t="inlineStr">
        <is>
          <t>น้ำยาเช็ดคราบ HYBRID 3.5L</t>
        </is>
      </c>
      <c r="C3757" s="8" t="n">
        <v>36</v>
      </c>
      <c r="D3757" s="9" t="n">
        <v>200</v>
      </c>
      <c r="E3757" s="9">
        <f>SUM(C3757*D3757)</f>
        <v/>
      </c>
      <c r="H3757" s="9">
        <f>SUM(E3757*107/100)</f>
        <v/>
      </c>
      <c r="I3757" s="10" t="inlineStr">
        <is>
          <t>บจก. วีที คัลเลอร์ โปร</t>
        </is>
      </c>
      <c r="J3757" s="161" t="n">
        <v>25122</v>
      </c>
      <c r="K3757" s="8" t="inlineStr">
        <is>
          <t>IV6810079</t>
        </is>
      </c>
      <c r="L3757" s="8" t="inlineStr">
        <is>
          <t>ราคาที่ลง ยังไม่รวมภาษี</t>
        </is>
      </c>
    </row>
    <row r="3759">
      <c r="A3759" s="67" t="inlineStr">
        <is>
          <t>1ลัง = 6กล.</t>
        </is>
      </c>
      <c r="B3759" s="6" t="inlineStr">
        <is>
          <t xml:space="preserve">น้ำยาเช็ดคราบ NAX NIPPON PAINT 4L </t>
        </is>
      </c>
      <c r="C3759" s="8" t="inlineStr">
        <is>
          <t>6กล.</t>
        </is>
      </c>
      <c r="D3759" s="9" t="n">
        <v>390</v>
      </c>
      <c r="H3759" s="9" t="n">
        <v>2340</v>
      </c>
      <c r="I3759" s="10" t="inlineStr">
        <is>
          <t>บมจ. วีที คัลเลอร์ โปร</t>
        </is>
      </c>
      <c r="J3759" s="161" t="n">
        <v>23939</v>
      </c>
      <c r="K3759" s="8" t="inlineStr">
        <is>
          <t>IV095-65</t>
        </is>
      </c>
      <c r="L3759" s="8" t="inlineStr">
        <is>
          <t>ราคาที่ลง ยังไม่รวมภาษี</t>
        </is>
      </c>
    </row>
    <row r="3760">
      <c r="B3760" s="6" t="inlineStr">
        <is>
          <t xml:space="preserve">น้ำยาเช็ดคราบ NAX NIPPON PAINT 4L </t>
        </is>
      </c>
      <c r="C3760" s="8" t="inlineStr">
        <is>
          <t>12กล.</t>
        </is>
      </c>
      <c r="D3760" s="9" t="n">
        <v>390</v>
      </c>
      <c r="H3760" s="9" t="n">
        <v>4680</v>
      </c>
      <c r="I3760" s="10" t="inlineStr">
        <is>
          <t>บมจ. วีที คัลเลอร์ โปร</t>
        </is>
      </c>
      <c r="J3760" s="161" t="n">
        <v>23943</v>
      </c>
      <c r="K3760" s="8" t="inlineStr">
        <is>
          <t>IV099-65</t>
        </is>
      </c>
      <c r="L3760" s="8" t="inlineStr">
        <is>
          <t>ราคาที่ลง ยังไม่รวมภาษี</t>
        </is>
      </c>
    </row>
    <row r="3761">
      <c r="B3761" s="6" t="inlineStr">
        <is>
          <t xml:space="preserve">น้ำยาเช็ดคราบ NAX NIPPON PAINT 4L </t>
        </is>
      </c>
      <c r="C3761" s="8" t="inlineStr">
        <is>
          <t>36กล.</t>
        </is>
      </c>
      <c r="D3761" s="9" t="n">
        <v>390</v>
      </c>
      <c r="H3761" s="9" t="n">
        <v>14040</v>
      </c>
      <c r="I3761" s="10" t="inlineStr">
        <is>
          <t>บมจ. วีที คัลเลอร์ โปร</t>
        </is>
      </c>
      <c r="J3761" s="161" t="n">
        <v>24018</v>
      </c>
      <c r="K3761" s="8" t="inlineStr">
        <is>
          <t>IV198-65</t>
        </is>
      </c>
      <c r="L3761" s="8" t="inlineStr">
        <is>
          <t>ราคาที่ลง ยังไม่รวมภาษี</t>
        </is>
      </c>
    </row>
    <row r="3762">
      <c r="B3762" s="6" t="inlineStr">
        <is>
          <t xml:space="preserve">น้ำยาเช็ดคราบ NAX NIPPON PAINT 4L </t>
        </is>
      </c>
      <c r="C3762" s="8" t="inlineStr">
        <is>
          <t>36กล.</t>
        </is>
      </c>
      <c r="D3762" s="9" t="n">
        <v>390</v>
      </c>
      <c r="H3762" s="9" t="n">
        <v>14040</v>
      </c>
      <c r="I3762" s="10" t="inlineStr">
        <is>
          <t>บมจ. วีที คัลเลอร์ โปร</t>
        </is>
      </c>
      <c r="J3762" s="161" t="n">
        <v>24176</v>
      </c>
      <c r="K3762" s="8" t="inlineStr">
        <is>
          <t>IV150-66</t>
        </is>
      </c>
      <c r="L3762" s="8" t="inlineStr">
        <is>
          <t>ราคาที่ลง ยังไม่รวมภาษี</t>
        </is>
      </c>
    </row>
    <row r="3763">
      <c r="B3763" s="6" t="inlineStr">
        <is>
          <t xml:space="preserve">น้ำยาเช็ดคราบ NAX NIPPON PAINT 4L </t>
        </is>
      </c>
      <c r="C3763" s="8" t="inlineStr">
        <is>
          <t>36กล.</t>
        </is>
      </c>
      <c r="D3763" s="9" t="n">
        <v>390</v>
      </c>
      <c r="H3763" s="9" t="n">
        <v>14040</v>
      </c>
      <c r="I3763" s="10" t="inlineStr">
        <is>
          <t>บมจ. วีที คัลเลอร์ โปร</t>
        </is>
      </c>
      <c r="J3763" s="161" t="n">
        <v>24272</v>
      </c>
      <c r="K3763" s="8" t="inlineStr">
        <is>
          <t>IV336-66</t>
        </is>
      </c>
      <c r="L3763" s="8" t="inlineStr">
        <is>
          <t>ราคาที่ลง ยังไม่รวมภาษี</t>
        </is>
      </c>
    </row>
    <row r="3764">
      <c r="B3764" s="6" t="inlineStr">
        <is>
          <t xml:space="preserve">น้ำยาเช็ดคราบ NAX NIPPON PAINT 4L </t>
        </is>
      </c>
      <c r="C3764" s="8" t="n">
        <v>36</v>
      </c>
      <c r="D3764" s="9" t="n">
        <v>350</v>
      </c>
      <c r="H3764" s="9">
        <f>SUM(D3764*C3764)</f>
        <v/>
      </c>
      <c r="I3764" s="10" t="inlineStr">
        <is>
          <t>บมจ. วีที คัลเลอร์ โปร</t>
        </is>
      </c>
      <c r="J3764" s="161" t="n">
        <v>24460</v>
      </c>
      <c r="K3764" s="8" t="inlineStr">
        <is>
          <t>IV756-66</t>
        </is>
      </c>
      <c r="L3764" s="8" t="inlineStr">
        <is>
          <t>ราคาที่ลง ยังไม่รวมภาษี</t>
        </is>
      </c>
    </row>
    <row r="3765">
      <c r="B3765" s="6" t="inlineStr">
        <is>
          <t xml:space="preserve">น้ำยาเช็ดคราบ NAX NIPPON PAINT 4L </t>
        </is>
      </c>
      <c r="C3765" s="8" t="n">
        <v>30</v>
      </c>
      <c r="D3765" s="9" t="n">
        <v>350</v>
      </c>
      <c r="H3765" s="9">
        <f>SUM(D3765*C3765)</f>
        <v/>
      </c>
      <c r="I3765" s="10" t="inlineStr">
        <is>
          <t>บมจ. วีที คัลเลอร์ โปร</t>
        </is>
      </c>
      <c r="J3765" s="161" t="n">
        <v>24584</v>
      </c>
      <c r="K3765" s="8" t="inlineStr">
        <is>
          <t>IV6704072</t>
        </is>
      </c>
      <c r="L3765" s="8" t="inlineStr">
        <is>
          <t>ราคาที่ลง ยังไม่รวมภาษี</t>
        </is>
      </c>
    </row>
    <row r="3766">
      <c r="B3766" s="6" t="inlineStr">
        <is>
          <t xml:space="preserve">น้ำยาเช็ดคราบ NAX NIPPON PAINT 4L </t>
        </is>
      </c>
      <c r="C3766" s="8" t="n">
        <v>20</v>
      </c>
      <c r="D3766" s="9" t="n">
        <v>350</v>
      </c>
      <c r="E3766" s="9">
        <f>SUM(C3766*D3766)</f>
        <v/>
      </c>
      <c r="H3766" s="9">
        <f>SUM(E3766*O3766/N3766)</f>
        <v/>
      </c>
      <c r="I3766" s="10" t="inlineStr">
        <is>
          <t>บมจ. วีที คัลเลอร์ โปร</t>
        </is>
      </c>
      <c r="J3766" s="161" t="n">
        <v>24936</v>
      </c>
      <c r="K3766" s="8" t="inlineStr">
        <is>
          <t>IV6804059</t>
        </is>
      </c>
      <c r="L3766" s="8" t="inlineStr">
        <is>
          <t>ราคาที่ลง ยังไม่รวมภาษี</t>
        </is>
      </c>
      <c r="N3766" s="6" t="n">
        <v>100</v>
      </c>
      <c r="O3766" s="6" t="n">
        <v>107</v>
      </c>
    </row>
    <row r="3767">
      <c r="B3767" s="6" t="inlineStr">
        <is>
          <t xml:space="preserve">น้ำยาเช็ดคราบ NAX NIPPON PAINT 4L </t>
        </is>
      </c>
      <c r="C3767" s="8" t="n">
        <v>20</v>
      </c>
      <c r="D3767" s="9" t="n">
        <v>350</v>
      </c>
      <c r="E3767" s="9">
        <f>SUM(C3767*D3767)</f>
        <v/>
      </c>
      <c r="H3767" s="9">
        <f>SUM(E3767*O3767/N3767)</f>
        <v/>
      </c>
      <c r="I3767" s="10" t="inlineStr">
        <is>
          <t>บมจ. วีที คัลเลอร์ โปร</t>
        </is>
      </c>
      <c r="J3767" s="161" t="n">
        <v>25014</v>
      </c>
      <c r="K3767" s="8" t="inlineStr">
        <is>
          <t>IV6806162</t>
        </is>
      </c>
      <c r="L3767" s="8" t="inlineStr">
        <is>
          <t>ราคาที่ลง ยังไม่รวมภาษี</t>
        </is>
      </c>
      <c r="N3767" s="6" t="n">
        <v>100</v>
      </c>
      <c r="O3767" s="6" t="n">
        <v>107</v>
      </c>
    </row>
    <row r="3768">
      <c r="A3768" s="70" t="n"/>
      <c r="B3768" s="6" t="inlineStr">
        <is>
          <t xml:space="preserve">น้ำยาเช็ดคราบ NAX NIPPON PAINT 4L </t>
        </is>
      </c>
      <c r="C3768" s="8" t="n">
        <v>24</v>
      </c>
      <c r="D3768" s="9" t="n">
        <v>350</v>
      </c>
      <c r="E3768" s="9">
        <f>SUM(C3768*D3768)</f>
        <v/>
      </c>
      <c r="H3768" s="9">
        <f>SUM(E3768*107/100)</f>
        <v/>
      </c>
      <c r="I3768" s="10" t="inlineStr">
        <is>
          <t>บจก. วีที คัลเลอร์ โปร</t>
        </is>
      </c>
      <c r="J3768" s="161" t="n">
        <v>25122</v>
      </c>
      <c r="K3768" s="8" t="inlineStr">
        <is>
          <t>IV6810077</t>
        </is>
      </c>
      <c r="L3768" s="8" t="inlineStr">
        <is>
          <t>ราคาที่ลง ยังไม่รวมภาษี</t>
        </is>
      </c>
    </row>
    <row r="3770">
      <c r="A3770" s="66" t="inlineStr">
        <is>
          <t>ผ้าเหนียว</t>
        </is>
      </c>
      <c r="B3770" s="6" t="inlineStr">
        <is>
          <t>ผ้าเหนียว เทคโค้ท</t>
        </is>
      </c>
      <c r="C3770" s="8" t="inlineStr">
        <is>
          <t>24ผืน</t>
        </is>
      </c>
      <c r="D3770" s="9" t="n">
        <v>30</v>
      </c>
      <c r="H3770" s="9" t="n">
        <v>720</v>
      </c>
      <c r="I3770" s="10" t="inlineStr">
        <is>
          <t>ทาเลนท์</t>
        </is>
      </c>
      <c r="J3770" s="161" t="n">
        <v>23866</v>
      </c>
      <c r="K3770" s="8" t="inlineStr">
        <is>
          <t>IB3000130</t>
        </is>
      </c>
      <c r="L3770" s="8" t="inlineStr">
        <is>
          <t>ราคาที่ลง ยังไม่รวมภาษี</t>
        </is>
      </c>
    </row>
    <row r="3771">
      <c r="B3771" s="6" t="inlineStr">
        <is>
          <t>ผ้าเหนียว 812 3M</t>
        </is>
      </c>
      <c r="C3771" s="8" t="inlineStr">
        <is>
          <t>24ผืน</t>
        </is>
      </c>
      <c r="D3771" s="9" t="n">
        <v>30</v>
      </c>
      <c r="H3771" s="9" t="n">
        <v>720</v>
      </c>
      <c r="I3771" s="10" t="inlineStr">
        <is>
          <t>ทาเลนท์</t>
        </is>
      </c>
      <c r="J3771" s="161" t="n">
        <v>24069</v>
      </c>
      <c r="K3771" s="8" t="inlineStr">
        <is>
          <t>IV2207094</t>
        </is>
      </c>
      <c r="L3771" s="8" t="inlineStr">
        <is>
          <t>ราคาที่ลง ยังไม่รวมภาษี</t>
        </is>
      </c>
    </row>
    <row r="3772">
      <c r="B3772" s="6" t="inlineStr">
        <is>
          <t>ผ้าเหนียว เทคโค้ท</t>
        </is>
      </c>
      <c r="C3772" s="8" t="inlineStr">
        <is>
          <t>12ผืน</t>
        </is>
      </c>
      <c r="D3772" s="9" t="n">
        <v>30</v>
      </c>
      <c r="H3772" s="9" t="n">
        <v>360</v>
      </c>
      <c r="I3772" s="10" t="inlineStr">
        <is>
          <t>ทาเลนท์</t>
        </is>
      </c>
      <c r="J3772" s="161" t="n">
        <v>24273</v>
      </c>
      <c r="K3772" s="8" t="inlineStr">
        <is>
          <t>IV2214252</t>
        </is>
      </c>
      <c r="L3772" s="8" t="inlineStr">
        <is>
          <t>ราคาที่ลง ยังไม่รวมภาษี</t>
        </is>
      </c>
    </row>
    <row r="3773">
      <c r="B3773" s="6" t="inlineStr">
        <is>
          <t>ผ้าเหนียว เทคโค้ท</t>
        </is>
      </c>
      <c r="C3773" s="8" t="n">
        <v>24</v>
      </c>
      <c r="D3773" s="9" t="n">
        <v>30</v>
      </c>
      <c r="H3773" s="9">
        <f>SUM(D3773*C3773)</f>
        <v/>
      </c>
      <c r="I3773" s="10" t="inlineStr">
        <is>
          <t>ทาเลนท์</t>
        </is>
      </c>
      <c r="J3773" s="161" t="n">
        <v>24777</v>
      </c>
      <c r="K3773" s="8" t="inlineStr">
        <is>
          <t>IV2222917</t>
        </is>
      </c>
      <c r="L3773" s="8" t="inlineStr">
        <is>
          <t>ราคาที่ลง ยังไม่รวมภาษี</t>
        </is>
      </c>
    </row>
    <row r="3774">
      <c r="B3774" s="6" t="inlineStr">
        <is>
          <t>ผ้าเหนียว เทคโค้ท</t>
        </is>
      </c>
      <c r="C3774" s="8" t="n">
        <v>12</v>
      </c>
      <c r="D3774" s="9" t="n">
        <v>30</v>
      </c>
      <c r="H3774" s="9">
        <f>SUM(D3774*C3774)</f>
        <v/>
      </c>
      <c r="I3774" s="10" t="inlineStr">
        <is>
          <t>ทาเลนท์</t>
        </is>
      </c>
      <c r="J3774" s="161" t="n">
        <v>24505</v>
      </c>
      <c r="K3774" s="8" t="inlineStr">
        <is>
          <t>IV2228112</t>
        </is>
      </c>
      <c r="L3774" s="8" t="inlineStr">
        <is>
          <t>ราคาที่ลง ยังไม่รวมภาษี</t>
        </is>
      </c>
    </row>
    <row r="3775">
      <c r="B3775" s="6" t="inlineStr">
        <is>
          <t>ผ้าเหนียว เทคโค้ท</t>
        </is>
      </c>
      <c r="C3775" s="8" t="n">
        <v>12</v>
      </c>
      <c r="D3775" s="9" t="n">
        <v>30</v>
      </c>
      <c r="H3775" s="9">
        <f>SUM(D3775*C3775)</f>
        <v/>
      </c>
      <c r="I3775" s="10" t="inlineStr">
        <is>
          <t>ทาเลนท์</t>
        </is>
      </c>
      <c r="J3775" s="161" t="n">
        <v>24760</v>
      </c>
      <c r="K3775" s="8" t="inlineStr">
        <is>
          <t>IV2242407</t>
        </is>
      </c>
      <c r="L3775" s="8" t="inlineStr">
        <is>
          <t>ราคาที่ลง ยังไม่รวมภาษี</t>
        </is>
      </c>
    </row>
    <row r="3776">
      <c r="B3776" s="6" t="inlineStr">
        <is>
          <t>ผ้าเหนียว เทคโค้ท</t>
        </is>
      </c>
      <c r="C3776" s="8" t="n">
        <v>12</v>
      </c>
      <c r="D3776" s="9" t="n">
        <v>30</v>
      </c>
      <c r="H3776" s="9">
        <f>SUM(D3776*C3776)</f>
        <v/>
      </c>
      <c r="I3776" s="10" t="inlineStr">
        <is>
          <t>ทาเลนท์</t>
        </is>
      </c>
      <c r="J3776" s="161" t="n">
        <v>24871</v>
      </c>
      <c r="K3776" s="8" t="inlineStr">
        <is>
          <t>IV6801896</t>
        </is>
      </c>
      <c r="L3776" s="8" t="inlineStr">
        <is>
          <t>ราคาที่ลง ยังไม่รวมภาษี</t>
        </is>
      </c>
    </row>
    <row r="3777">
      <c r="A3777" s="70" t="n"/>
      <c r="B3777" s="6" t="inlineStr">
        <is>
          <t>ผ้าเหนียว เทคโค้ท</t>
        </is>
      </c>
      <c r="C3777" s="8" t="n">
        <v>24</v>
      </c>
      <c r="D3777" s="9" t="n">
        <v>30</v>
      </c>
      <c r="E3777" s="9">
        <f>SUM(C3777*D3777)</f>
        <v/>
      </c>
      <c r="H3777" s="9">
        <f>SUM(E3777*107/100)</f>
        <v/>
      </c>
      <c r="I3777" s="10" t="inlineStr">
        <is>
          <t>ทาเลนท์</t>
        </is>
      </c>
      <c r="J3777" s="161" t="n">
        <v>25127</v>
      </c>
      <c r="K3777" s="8" t="inlineStr">
        <is>
          <t>IV6816789</t>
        </is>
      </c>
      <c r="L3777" s="8" t="inlineStr">
        <is>
          <t>ราคาที่ลง ยังไม่รวมภาษี</t>
        </is>
      </c>
    </row>
    <row r="3779">
      <c r="A3779" s="66" t="inlineStr">
        <is>
          <t>กระชอนกรองสี</t>
        </is>
      </c>
      <c r="B3779" s="6" t="inlineStr">
        <is>
          <t>กระชอนกรองสี</t>
        </is>
      </c>
      <c r="C3779" s="8" t="inlineStr">
        <is>
          <t>50อัน</t>
        </is>
      </c>
      <c r="D3779" s="9" t="n">
        <v>7</v>
      </c>
      <c r="H3779" s="9" t="n">
        <v>350</v>
      </c>
      <c r="I3779" s="10" t="inlineStr">
        <is>
          <t>ทาเลนท์</t>
        </is>
      </c>
      <c r="J3779" s="161" t="n">
        <v>22857</v>
      </c>
      <c r="L3779" s="8" t="inlineStr">
        <is>
          <t>ราคาที่ลง ยังไม่รวมภาษี</t>
        </is>
      </c>
    </row>
    <row r="3780">
      <c r="A3780" s="70" t="n"/>
      <c r="B3780" s="6" t="inlineStr">
        <is>
          <t>กระชอนกรองสี</t>
        </is>
      </c>
      <c r="C3780" s="8" t="inlineStr">
        <is>
          <t>50อัน</t>
        </is>
      </c>
      <c r="D3780" s="9" t="n">
        <v>7</v>
      </c>
      <c r="H3780" s="9" t="n">
        <v>350</v>
      </c>
      <c r="I3780" s="10" t="inlineStr">
        <is>
          <t>ทาเลนท์</t>
        </is>
      </c>
      <c r="J3780" s="161" t="n">
        <v>22892</v>
      </c>
      <c r="L3780" s="8" t="inlineStr">
        <is>
          <t>ราคาที่ลง ยังไม่รวมภาษี</t>
        </is>
      </c>
    </row>
    <row r="3781">
      <c r="A3781" s="70" t="n"/>
      <c r="B3781" s="6" t="inlineStr">
        <is>
          <t>กระชอนกรองสี</t>
        </is>
      </c>
      <c r="C3781" s="8" t="inlineStr">
        <is>
          <t>50อัน</t>
        </is>
      </c>
      <c r="D3781" s="9" t="n">
        <v>7</v>
      </c>
      <c r="H3781" s="9" t="n">
        <v>350</v>
      </c>
      <c r="I3781" s="10" t="inlineStr">
        <is>
          <t>ทาเลนท์</t>
        </is>
      </c>
      <c r="J3781" s="161" t="n">
        <v>22941</v>
      </c>
      <c r="L3781" s="8" t="inlineStr">
        <is>
          <t>ราคาที่ลง ยังไม่รวมภาษี</t>
        </is>
      </c>
    </row>
    <row r="3782">
      <c r="A3782" s="70" t="n"/>
      <c r="B3782" s="6" t="inlineStr">
        <is>
          <t>กระชอนกรองสี</t>
        </is>
      </c>
      <c r="C3782" s="8" t="inlineStr">
        <is>
          <t>50อัน</t>
        </is>
      </c>
      <c r="D3782" s="9" t="n">
        <v>7</v>
      </c>
      <c r="H3782" s="9" t="n">
        <v>350</v>
      </c>
      <c r="I3782" s="10" t="inlineStr">
        <is>
          <t>ทาเลนท์</t>
        </is>
      </c>
      <c r="J3782" s="161" t="n">
        <v>22977</v>
      </c>
      <c r="L3782" s="8" t="inlineStr">
        <is>
          <t>ราคาที่ลง ยังไม่รวมภาษี</t>
        </is>
      </c>
    </row>
    <row r="3783">
      <c r="A3783" s="70" t="n"/>
      <c r="B3783" s="6" t="inlineStr">
        <is>
          <t>กระชอนกรองสี</t>
        </is>
      </c>
      <c r="C3783" s="8" t="inlineStr">
        <is>
          <t>50อัน</t>
        </is>
      </c>
      <c r="D3783" s="9" t="n">
        <v>7</v>
      </c>
      <c r="H3783" s="9" t="n">
        <v>350</v>
      </c>
      <c r="I3783" s="10" t="inlineStr">
        <is>
          <t>ทาเลนท์</t>
        </is>
      </c>
      <c r="J3783" s="161" t="n">
        <v>23062</v>
      </c>
      <c r="L3783" s="8" t="inlineStr">
        <is>
          <t>ราคาที่ลง ยังไม่รวมภาษี</t>
        </is>
      </c>
    </row>
    <row r="3784">
      <c r="A3784" s="70" t="n"/>
      <c r="B3784" s="6" t="inlineStr">
        <is>
          <t>กระชอนกรองสี</t>
        </is>
      </c>
      <c r="C3784" s="8" t="inlineStr">
        <is>
          <t>50อัน</t>
        </is>
      </c>
      <c r="D3784" s="9" t="n">
        <v>7</v>
      </c>
      <c r="H3784" s="9" t="n">
        <v>350</v>
      </c>
      <c r="I3784" s="10" t="inlineStr">
        <is>
          <t>ทาเลนท์</t>
        </is>
      </c>
      <c r="J3784" s="161" t="n">
        <v>23094</v>
      </c>
      <c r="L3784" s="8" t="inlineStr">
        <is>
          <t>ราคาที่ลง ยังไม่รวมภาษี</t>
        </is>
      </c>
    </row>
    <row r="3785">
      <c r="A3785" s="70" t="n"/>
      <c r="B3785" s="6" t="inlineStr">
        <is>
          <t>กระชอนกรองสี</t>
        </is>
      </c>
      <c r="C3785" s="8" t="inlineStr">
        <is>
          <t>50อัน</t>
        </is>
      </c>
      <c r="D3785" s="9" t="n">
        <v>7</v>
      </c>
      <c r="H3785" s="9" t="n">
        <v>350</v>
      </c>
      <c r="I3785" s="10" t="inlineStr">
        <is>
          <t>ทาเลนท์</t>
        </is>
      </c>
      <c r="J3785" s="161" t="n">
        <v>23158</v>
      </c>
      <c r="L3785" s="8" t="inlineStr">
        <is>
          <t>ราคาที่ลง ยังไม่รวมภาษี</t>
        </is>
      </c>
    </row>
    <row r="3786">
      <c r="A3786" s="70" t="n"/>
      <c r="B3786" s="6" t="inlineStr">
        <is>
          <t>กระชอนกรองสี</t>
        </is>
      </c>
      <c r="C3786" s="8" t="inlineStr">
        <is>
          <t>50อัน</t>
        </is>
      </c>
      <c r="D3786" s="9" t="n">
        <v>7</v>
      </c>
      <c r="H3786" s="9" t="n">
        <v>350</v>
      </c>
      <c r="I3786" s="10" t="inlineStr">
        <is>
          <t>ทาเลนท์</t>
        </is>
      </c>
      <c r="J3786" s="161" t="n">
        <v>23200</v>
      </c>
      <c r="L3786" s="8" t="inlineStr">
        <is>
          <t>ราคาที่ลง ยังไม่รวมภาษี</t>
        </is>
      </c>
    </row>
    <row r="3787">
      <c r="A3787" s="70" t="n"/>
      <c r="B3787" s="6" t="inlineStr">
        <is>
          <t>กระชอนกรองสี</t>
        </is>
      </c>
      <c r="C3787" s="8" t="inlineStr">
        <is>
          <t>50อัน</t>
        </is>
      </c>
      <c r="D3787" s="9" t="n">
        <v>7</v>
      </c>
      <c r="H3787" s="9" t="n">
        <v>350</v>
      </c>
      <c r="I3787" s="10" t="inlineStr">
        <is>
          <t>ทาเลนท์</t>
        </is>
      </c>
      <c r="J3787" s="161" t="n">
        <v>23272</v>
      </c>
      <c r="L3787" s="8" t="inlineStr">
        <is>
          <t>ราคาที่ลง ยังไม่รวมภาษี</t>
        </is>
      </c>
    </row>
    <row r="3788">
      <c r="A3788" s="70" t="n"/>
      <c r="B3788" s="6" t="inlineStr">
        <is>
          <t>กระชอนกรองสี</t>
        </is>
      </c>
      <c r="C3788" s="8" t="inlineStr">
        <is>
          <t>50อัน</t>
        </is>
      </c>
      <c r="D3788" s="9" t="n">
        <v>7</v>
      </c>
      <c r="H3788" s="9" t="n">
        <v>350</v>
      </c>
      <c r="I3788" s="10" t="inlineStr">
        <is>
          <t>ทาเลนท์</t>
        </is>
      </c>
      <c r="J3788" s="161" t="n">
        <v>23390</v>
      </c>
      <c r="L3788" s="8" t="inlineStr">
        <is>
          <t>ราคาที่ลง ยังไม่รวมภาษี</t>
        </is>
      </c>
    </row>
    <row r="3789">
      <c r="A3789" s="70" t="n"/>
      <c r="B3789" s="6" t="inlineStr">
        <is>
          <t>กระชอนกรองสี</t>
        </is>
      </c>
      <c r="C3789" s="8" t="inlineStr">
        <is>
          <t>36อัน</t>
        </is>
      </c>
      <c r="D3789" s="9" t="n">
        <v>7</v>
      </c>
      <c r="H3789" s="9" t="n">
        <v>252</v>
      </c>
      <c r="I3789" s="10" t="inlineStr">
        <is>
          <t>ทาเลนท์</t>
        </is>
      </c>
      <c r="J3789" s="161" t="n">
        <v>23429</v>
      </c>
      <c r="L3789" s="8" t="inlineStr">
        <is>
          <t>ราคาที่ลง ยังไม่รวมภาษี</t>
        </is>
      </c>
    </row>
    <row r="3790">
      <c r="A3790" s="70" t="n"/>
      <c r="B3790" s="6" t="inlineStr">
        <is>
          <t>กระชอนกรองสี</t>
        </is>
      </c>
      <c r="C3790" s="8" t="inlineStr">
        <is>
          <t>50อัน</t>
        </is>
      </c>
      <c r="D3790" s="9" t="n">
        <v>7</v>
      </c>
      <c r="H3790" s="9" t="n">
        <v>350</v>
      </c>
      <c r="I3790" s="10" t="inlineStr">
        <is>
          <t>ทาเลนท์</t>
        </is>
      </c>
      <c r="J3790" s="161" t="n">
        <v>23665</v>
      </c>
      <c r="L3790" s="8" t="inlineStr">
        <is>
          <t>ราคาที่ลง ยังไม่รวมภาษี</t>
        </is>
      </c>
    </row>
    <row r="3791">
      <c r="A3791" s="70" t="n"/>
      <c r="B3791" s="6" t="inlineStr">
        <is>
          <t>กระชอนกรองสี</t>
        </is>
      </c>
      <c r="C3791" s="8" t="inlineStr">
        <is>
          <t>24อัน</t>
        </is>
      </c>
      <c r="D3791" s="9" t="n">
        <v>7</v>
      </c>
      <c r="H3791" s="9" t="n">
        <v>168</v>
      </c>
      <c r="I3791" s="10" t="inlineStr">
        <is>
          <t>ทาเลนท์</t>
        </is>
      </c>
      <c r="J3791" s="161" t="n">
        <v>23900</v>
      </c>
      <c r="K3791" s="8" t="inlineStr">
        <is>
          <t>IB3002119</t>
        </is>
      </c>
      <c r="L3791" s="8" t="inlineStr">
        <is>
          <t>ราคาที่ลง ยังไม่รวมภาษี</t>
        </is>
      </c>
    </row>
    <row r="3792">
      <c r="A3792" s="70" t="n"/>
      <c r="B3792" s="6" t="inlineStr">
        <is>
          <t>กระชอนกรองสี</t>
        </is>
      </c>
      <c r="C3792" s="8" t="inlineStr">
        <is>
          <t>24อัน</t>
        </is>
      </c>
      <c r="D3792" s="9" t="n">
        <v>7</v>
      </c>
      <c r="H3792" s="9" t="n">
        <v>168</v>
      </c>
      <c r="I3792" s="10" t="inlineStr">
        <is>
          <t>ทาเลนท์</t>
        </is>
      </c>
      <c r="J3792" s="161" t="n">
        <v>23995</v>
      </c>
      <c r="K3792" s="8" t="inlineStr">
        <is>
          <t>IV2203682</t>
        </is>
      </c>
      <c r="L3792" s="8" t="inlineStr">
        <is>
          <t>ราคาที่ลง ยังไม่รวมภาษี</t>
        </is>
      </c>
    </row>
    <row r="3793">
      <c r="A3793" s="70" t="n"/>
      <c r="B3793" s="6" t="inlineStr">
        <is>
          <t>กระชอนกรองสี</t>
        </is>
      </c>
      <c r="C3793" s="8" t="inlineStr">
        <is>
          <t>48อัน</t>
        </is>
      </c>
      <c r="D3793" s="9" t="n">
        <v>7</v>
      </c>
      <c r="H3793" s="9" t="n">
        <v>336</v>
      </c>
      <c r="I3793" s="10" t="inlineStr">
        <is>
          <t>ทาเลนท์</t>
        </is>
      </c>
      <c r="J3793" s="161" t="n">
        <v>24058</v>
      </c>
      <c r="K3793" s="8" t="inlineStr">
        <is>
          <t>IV2206487</t>
        </is>
      </c>
      <c r="L3793" s="8" t="inlineStr">
        <is>
          <t>ราคาที่ลง ยังไม่รวมภาษี</t>
        </is>
      </c>
    </row>
    <row r="3794">
      <c r="A3794" s="70" t="n"/>
      <c r="B3794" s="6" t="inlineStr">
        <is>
          <t>กระชอนกรองสี</t>
        </is>
      </c>
      <c r="C3794" s="8" t="n">
        <v>72</v>
      </c>
      <c r="D3794" s="9" t="n">
        <v>7</v>
      </c>
      <c r="H3794" s="9">
        <f>SUM(D3794*C3794)</f>
        <v/>
      </c>
      <c r="I3794" s="10" t="inlineStr">
        <is>
          <t>ทาเลนท์</t>
        </is>
      </c>
      <c r="J3794" s="161" t="n">
        <v>24302</v>
      </c>
      <c r="K3794" s="8" t="inlineStr">
        <is>
          <t>IV2216248</t>
        </is>
      </c>
      <c r="L3794" s="8" t="inlineStr">
        <is>
          <t>ราคาที่ลง ยังไม่รวมภาษี</t>
        </is>
      </c>
    </row>
    <row r="3795">
      <c r="A3795" s="70" t="n"/>
      <c r="B3795" s="6" t="inlineStr">
        <is>
          <t>กระชอนกรองสี</t>
        </is>
      </c>
      <c r="C3795" s="8" t="n">
        <v>48</v>
      </c>
      <c r="D3795" s="9" t="n">
        <v>7</v>
      </c>
      <c r="H3795" s="9">
        <f>SUM(D3795*C3795)</f>
        <v/>
      </c>
      <c r="I3795" s="10" t="inlineStr">
        <is>
          <t>ทาเลนท์</t>
        </is>
      </c>
      <c r="J3795" s="161" t="n">
        <v>24622</v>
      </c>
      <c r="K3795" s="8" t="inlineStr">
        <is>
          <t>IV2234378</t>
        </is>
      </c>
      <c r="L3795" s="8" t="inlineStr">
        <is>
          <t>ราคาที่ลง ยังไม่รวมภาษี</t>
        </is>
      </c>
    </row>
    <row r="3796">
      <c r="A3796" s="70" t="n"/>
      <c r="B3796" s="6" t="inlineStr">
        <is>
          <t>กระชอนกรองสี</t>
        </is>
      </c>
      <c r="C3796" s="8" t="n">
        <v>36</v>
      </c>
      <c r="D3796" s="9" t="n">
        <v>7</v>
      </c>
      <c r="H3796" s="9">
        <f>SUM(D3796*C3796)</f>
        <v/>
      </c>
      <c r="I3796" s="10" t="inlineStr">
        <is>
          <t>ทาเลนท์</t>
        </is>
      </c>
      <c r="J3796" s="161" t="n">
        <v>24810</v>
      </c>
      <c r="K3796" s="8" t="inlineStr">
        <is>
          <t>IV2245245</t>
        </is>
      </c>
      <c r="L3796" s="8" t="inlineStr">
        <is>
          <t>ราคาที่ลง ยังไม่รวมภาษี</t>
        </is>
      </c>
    </row>
    <row r="3797">
      <c r="A3797" s="70" t="n"/>
      <c r="B3797" s="6" t="inlineStr">
        <is>
          <t>กระชอนกรองสี</t>
        </is>
      </c>
      <c r="C3797" s="8" t="n">
        <v>48</v>
      </c>
      <c r="D3797" s="9" t="n">
        <v>7</v>
      </c>
      <c r="H3797" s="9">
        <f>SUM(D3797*C3797)</f>
        <v/>
      </c>
      <c r="I3797" s="10" t="inlineStr">
        <is>
          <t>ทาเลนท์</t>
        </is>
      </c>
      <c r="J3797" s="161" t="n">
        <v>24991</v>
      </c>
      <c r="K3797" s="8" t="inlineStr">
        <is>
          <t>IV6808617</t>
        </is>
      </c>
      <c r="L3797" s="8" t="inlineStr">
        <is>
          <t>ราคาที่ลง ยังไม่รวมภาษี</t>
        </is>
      </c>
    </row>
    <row r="3798">
      <c r="A3798" s="70" t="n"/>
      <c r="B3798" s="6" t="inlineStr">
        <is>
          <t>กระชอนกรองสี</t>
        </is>
      </c>
      <c r="C3798" s="8" t="n">
        <v>48</v>
      </c>
      <c r="D3798" s="9" t="n">
        <v>7</v>
      </c>
      <c r="E3798" s="9">
        <f>SUM(C3798*D3798)</f>
        <v/>
      </c>
      <c r="H3798" s="9">
        <f>SUM(E3798*107/100)</f>
        <v/>
      </c>
      <c r="I3798" s="10" t="inlineStr">
        <is>
          <t>ทาเลนท์</t>
        </is>
      </c>
      <c r="J3798" s="161" t="n">
        <v>25127</v>
      </c>
      <c r="K3798" s="8" t="inlineStr">
        <is>
          <t>IV6816789</t>
        </is>
      </c>
      <c r="L3798" s="8" t="inlineStr">
        <is>
          <t>ราคาที่ลง ยังไม่รวมภาษี</t>
        </is>
      </c>
    </row>
    <row r="3799">
      <c r="A3799" s="70" t="n"/>
    </row>
    <row r="3800">
      <c r="A3800" s="66" t="inlineStr">
        <is>
          <t>หน้ากากกรองพ่นสี</t>
        </is>
      </c>
      <c r="B3800" s="6" t="inlineStr">
        <is>
          <t>หน้ากากกรองพ่นสี (ทั้งชุดพร้อมไส้กรอง) 3M</t>
        </is>
      </c>
      <c r="C3800" s="8" t="inlineStr">
        <is>
          <t>4ชุด</t>
        </is>
      </c>
      <c r="D3800" s="9" t="n">
        <v>389</v>
      </c>
      <c r="H3800" s="9" t="n">
        <v>1556</v>
      </c>
      <c r="I3800" s="10" t="inlineStr">
        <is>
          <t>Shopee</t>
        </is>
      </c>
      <c r="J3800" s="161" t="n">
        <v>24622</v>
      </c>
      <c r="L3800" s="8" t="inlineStr">
        <is>
          <t>ฟรีค่าขนส่ง</t>
        </is>
      </c>
    </row>
    <row r="3801">
      <c r="A3801" s="70" t="n"/>
    </row>
    <row r="3802">
      <c r="A3802" s="66" t="inlineStr">
        <is>
          <t>ตลับกรองหน้ากากพ่นสี</t>
        </is>
      </c>
      <c r="B3802" s="6" t="inlineStr">
        <is>
          <t>ตลับกรอง 6001 3M</t>
        </is>
      </c>
      <c r="C3802" s="8" t="inlineStr">
        <is>
          <t>3ห่อ</t>
        </is>
      </c>
      <c r="D3802" s="9" t="n">
        <v>295</v>
      </c>
      <c r="H3802" s="9" t="n">
        <v>885</v>
      </c>
      <c r="I3802" s="10" t="inlineStr">
        <is>
          <t>ทาเลนท์</t>
        </is>
      </c>
      <c r="J3802" s="161" t="n">
        <v>23212</v>
      </c>
      <c r="L3802" s="8" t="inlineStr">
        <is>
          <t>ราคาที่ลง ยังไม่รวมภาษี</t>
        </is>
      </c>
    </row>
    <row r="3804">
      <c r="A3804" s="66" t="inlineStr">
        <is>
          <t>แผ่นกรองหน้ากากพ่นสี</t>
        </is>
      </c>
      <c r="B3804" s="6" t="inlineStr">
        <is>
          <t>แผ่นกรองหน้ากาก 5N11 3M</t>
        </is>
      </c>
      <c r="C3804" s="8" t="inlineStr">
        <is>
          <t>1กล่อง</t>
        </is>
      </c>
      <c r="D3804" s="9" t="n">
        <v>390</v>
      </c>
      <c r="H3804" s="9" t="n">
        <v>390</v>
      </c>
      <c r="I3804" s="10" t="inlineStr">
        <is>
          <t>ทาเลนท์</t>
        </is>
      </c>
      <c r="J3804" s="161" t="n">
        <v>23212</v>
      </c>
      <c r="L3804" s="8" t="inlineStr">
        <is>
          <t>ราคาที่ลง ยังไม่รวมภาษี</t>
        </is>
      </c>
    </row>
    <row r="3806">
      <c r="A3806" s="66" t="inlineStr">
        <is>
          <t>กาวซีลตะเข็บ</t>
        </is>
      </c>
      <c r="B3806" s="6" t="inlineStr">
        <is>
          <t>กาวซีลเอนกประสงค์สีขาวแบบห่อนิ่ม (ยิงตะเข็บ) Sika เบอร์ 221 400ml.</t>
        </is>
      </c>
      <c r="C3806" s="8" t="inlineStr">
        <is>
          <t>20อัน</t>
        </is>
      </c>
      <c r="D3806" s="9" t="n">
        <v>240</v>
      </c>
      <c r="H3806" s="9" t="n">
        <v>4800</v>
      </c>
      <c r="I3806" s="10" t="inlineStr">
        <is>
          <t>ออโต้ สมาร์ท</t>
        </is>
      </c>
      <c r="J3806" s="161" t="n">
        <v>22863</v>
      </c>
      <c r="L3806" s="8" t="inlineStr">
        <is>
          <t>ราคาที่ลง ยังไม่รวมภาษี</t>
        </is>
      </c>
    </row>
    <row r="3807">
      <c r="A3807" s="70" t="n"/>
      <c r="B3807" s="6" t="inlineStr">
        <is>
          <t>กาวซีลเอนกประสงค์สีขาวแบบห่อนิ่ม (ยิงตะเข็บ) Sika เบอร์ 221 400ml.</t>
        </is>
      </c>
      <c r="C3807" s="8" t="inlineStr">
        <is>
          <t>20อัน</t>
        </is>
      </c>
      <c r="D3807" s="9" t="n">
        <v>240</v>
      </c>
      <c r="H3807" s="9" t="n">
        <v>4800</v>
      </c>
      <c r="I3807" s="10" t="inlineStr">
        <is>
          <t>ออโต้ สมาร์ท</t>
        </is>
      </c>
      <c r="J3807" s="161" t="n">
        <v>22997</v>
      </c>
      <c r="L3807" s="8" t="inlineStr">
        <is>
          <t>ราคาที่ลง ยังไม่รวมภาษี</t>
        </is>
      </c>
    </row>
    <row r="3808">
      <c r="B3808" s="6" t="inlineStr">
        <is>
          <t>กาวซีลเอนกประสงค์สีขาวแบบห่อนิ่ม (ยิงตะเข็บ) Sika เบอร์ 221 400ml.</t>
        </is>
      </c>
      <c r="C3808" s="8" t="inlineStr">
        <is>
          <t>20อัน</t>
        </is>
      </c>
      <c r="D3808" s="9" t="n">
        <v>240</v>
      </c>
      <c r="H3808" s="9" t="n">
        <v>4800</v>
      </c>
      <c r="I3808" s="10" t="inlineStr">
        <is>
          <t>ออโต้ สมาร์ท</t>
        </is>
      </c>
      <c r="J3808" s="161" t="n">
        <v>23080</v>
      </c>
      <c r="L3808" s="8" t="inlineStr">
        <is>
          <t>ราคาที่ลง ยังไม่รวมภาษี</t>
        </is>
      </c>
    </row>
    <row r="3809">
      <c r="B3809" s="6" t="inlineStr">
        <is>
          <t>กาวซีลเอนกประสงค์สีขาวแบบห่อนิ่ม (ยิงตะเข็บ) Sika เบอร์ 221 400ml.</t>
        </is>
      </c>
      <c r="C3809" s="8" t="inlineStr">
        <is>
          <t>20อัน</t>
        </is>
      </c>
      <c r="D3809" s="9" t="n">
        <v>240</v>
      </c>
      <c r="H3809" s="9" t="n">
        <v>4800</v>
      </c>
      <c r="I3809" s="10" t="inlineStr">
        <is>
          <t>ออโต้ สมาร์ท</t>
        </is>
      </c>
      <c r="J3809" s="161" t="n">
        <v>23157</v>
      </c>
      <c r="L3809" s="8" t="inlineStr">
        <is>
          <t>ราคาที่ลง ยังไม่รวมภาษี</t>
        </is>
      </c>
    </row>
    <row r="3810">
      <c r="B3810" s="6" t="inlineStr">
        <is>
          <t>กาวซีลเอนกประสงค์สีขาวแบบห่อนิ่ม (ยิงตะเข็บ) Sika เบอร์ 221 400ml.</t>
        </is>
      </c>
      <c r="C3810" s="8" t="inlineStr">
        <is>
          <t>20อัน</t>
        </is>
      </c>
      <c r="D3810" s="9" t="n">
        <v>240</v>
      </c>
      <c r="H3810" s="9" t="n">
        <v>4800</v>
      </c>
      <c r="I3810" s="10" t="inlineStr">
        <is>
          <t>ออโต้ สมาร์ท</t>
        </is>
      </c>
      <c r="J3810" s="161" t="n">
        <v>23212</v>
      </c>
      <c r="L3810" s="8" t="inlineStr">
        <is>
          <t>ราคาที่ลง ยังไม่รวมภาษี</t>
        </is>
      </c>
    </row>
    <row r="3811">
      <c r="B3811" s="6" t="inlineStr">
        <is>
          <t>กาวซีลเอนกประสงค์สีขาวแบบห่อนิ่ม (ยิงตะเข็บ) Sika เบอร์ 221 400ml.</t>
        </is>
      </c>
      <c r="C3811" s="8" t="inlineStr">
        <is>
          <t>20อัน</t>
        </is>
      </c>
      <c r="D3811" s="9" t="n">
        <v>240</v>
      </c>
      <c r="H3811" s="9" t="n">
        <v>4800</v>
      </c>
      <c r="I3811" s="10" t="inlineStr">
        <is>
          <t>ออโต้ สมาร์ท</t>
        </is>
      </c>
      <c r="J3811" s="161" t="n">
        <v>23254</v>
      </c>
      <c r="L3811" s="8" t="inlineStr">
        <is>
          <t>ราคาที่ลง ยังไม่รวมภาษี</t>
        </is>
      </c>
    </row>
    <row r="3812">
      <c r="B3812" s="6" t="inlineStr">
        <is>
          <t>กาวซีลเอนกประสงค์สีขาวแบบห่อนิ่ม (ยิงตะเข็บ) Sika เบอร์ 221 400ml.</t>
        </is>
      </c>
      <c r="C3812" s="8" t="inlineStr">
        <is>
          <t>20อัน</t>
        </is>
      </c>
      <c r="D3812" s="9" t="n">
        <v>240</v>
      </c>
      <c r="H3812" s="9" t="n">
        <v>4800</v>
      </c>
      <c r="I3812" s="10" t="inlineStr">
        <is>
          <t>ออโต้ สมาร์ท</t>
        </is>
      </c>
      <c r="J3812" s="161" t="n">
        <v>23293</v>
      </c>
      <c r="L3812" s="8" t="inlineStr">
        <is>
          <t>ราคาที่ลง ยังไม่รวมภาษี</t>
        </is>
      </c>
    </row>
    <row r="3813">
      <c r="B3813" s="6" t="inlineStr">
        <is>
          <t>กาวซีลเอนกประสงค์สีขาวแบบห่อนิ่ม (ยิงตะเข็บ) Sika เบอร์ 221 400ml.</t>
        </is>
      </c>
      <c r="C3813" s="8" t="inlineStr">
        <is>
          <t>20อัน</t>
        </is>
      </c>
      <c r="D3813" s="9" t="n">
        <v>240</v>
      </c>
      <c r="H3813" s="9" t="n">
        <v>4800</v>
      </c>
      <c r="I3813" s="10" t="inlineStr">
        <is>
          <t>ออโต้ สมาร์ท</t>
        </is>
      </c>
      <c r="J3813" s="161" t="n">
        <v>23335</v>
      </c>
      <c r="L3813" s="8" t="inlineStr">
        <is>
          <t>ราคาที่ลง ยังไม่รวมภาษี</t>
        </is>
      </c>
    </row>
    <row r="3814">
      <c r="B3814" s="6" t="inlineStr">
        <is>
          <t>กาวซีลเอนกประสงค์สีขาวแบบห่อนิ่ม (ยิงตะเข็บ) Sika เบอร์ 221 400ml.</t>
        </is>
      </c>
      <c r="C3814" s="8" t="inlineStr">
        <is>
          <t>40อัน</t>
        </is>
      </c>
      <c r="D3814" s="9" t="n">
        <v>240</v>
      </c>
      <c r="H3814" s="9" t="n">
        <v>9600</v>
      </c>
      <c r="I3814" s="10" t="inlineStr">
        <is>
          <t>ออโต้ สมาร์ท</t>
        </is>
      </c>
      <c r="J3814" s="161" t="n">
        <v>23411</v>
      </c>
      <c r="L3814" s="8" t="inlineStr">
        <is>
          <t>ราคาที่ลง ยังไม่รวมภาษี</t>
        </is>
      </c>
    </row>
    <row r="3815">
      <c r="B3815" s="6" t="inlineStr">
        <is>
          <t>กาวซีลเอนกประสงค์สีขาวแบบห่อนิ่ม (ยิงตะเข็บ) Sika เบอร์ 221 400ml.</t>
        </is>
      </c>
      <c r="C3815" s="8" t="inlineStr">
        <is>
          <t>20อัน</t>
        </is>
      </c>
      <c r="D3815" s="9" t="n">
        <v>240</v>
      </c>
      <c r="H3815" s="9" t="n">
        <v>4800</v>
      </c>
      <c r="I3815" s="10" t="inlineStr">
        <is>
          <t>ออโต้ สมาร์ท</t>
        </is>
      </c>
      <c r="J3815" s="161" t="n">
        <v>23571</v>
      </c>
      <c r="L3815" s="8" t="inlineStr">
        <is>
          <t>ราคาที่ลง ยังไม่รวมภาษี</t>
        </is>
      </c>
    </row>
    <row r="3816">
      <c r="B3816" s="6" t="inlineStr">
        <is>
          <t>กาวซีลเอนกประสงค์สีขาวแบบห่อนิ่ม (ยิงตะเข็บ) Sika เบอร์ 221 400ml.</t>
        </is>
      </c>
      <c r="C3816" s="8" t="inlineStr">
        <is>
          <t>20อัน</t>
        </is>
      </c>
      <c r="D3816" s="9" t="n">
        <v>240</v>
      </c>
      <c r="H3816" s="9" t="n">
        <v>4800</v>
      </c>
      <c r="I3816" s="10" t="inlineStr">
        <is>
          <t>ออโต้ สมาร์ท</t>
        </is>
      </c>
      <c r="J3816" s="161" t="n">
        <v>23718</v>
      </c>
      <c r="L3816" s="8" t="inlineStr">
        <is>
          <t>ราคาที่ลง ยังไม่รวมภาษี</t>
        </is>
      </c>
    </row>
    <row r="3817">
      <c r="B3817" s="6" t="inlineStr">
        <is>
          <t>กาวซีลเอนกประสงค์สีขาวแบบห่อนิ่ม (ยิงตะเข็บ) Sika เบอร์ 221 400ml.</t>
        </is>
      </c>
      <c r="C3817" s="8" t="inlineStr">
        <is>
          <t>5หลอด</t>
        </is>
      </c>
      <c r="D3817" s="9" t="n">
        <v>230</v>
      </c>
      <c r="H3817" s="9" t="n">
        <v>1150</v>
      </c>
      <c r="I3817" s="10" t="inlineStr">
        <is>
          <t>ทาเลนท์</t>
        </is>
      </c>
      <c r="J3817" s="161" t="n">
        <v>23605</v>
      </c>
      <c r="L3817" s="8" t="inlineStr">
        <is>
          <t>ราคายังไม่รวม VAT 7%</t>
        </is>
      </c>
    </row>
    <row r="3818">
      <c r="B3818" s="6" t="inlineStr">
        <is>
          <t>กาวซีลเอนกประสงค์สีขาวแบบห่อนิ่ม (ยิงตะเข็บ) Sika เบอร์ 221 400ml.</t>
        </is>
      </c>
      <c r="C3818" s="8" t="inlineStr">
        <is>
          <t>14อัน</t>
        </is>
      </c>
      <c r="D3818" s="9" t="n">
        <v>230</v>
      </c>
      <c r="H3818" s="9" t="n">
        <v>3220</v>
      </c>
      <c r="I3818" s="10" t="inlineStr">
        <is>
          <t>ทาเลนท์</t>
        </is>
      </c>
      <c r="J3818" s="161" t="n">
        <v>23608</v>
      </c>
      <c r="K3818" s="8" t="inlineStr">
        <is>
          <t>IV6410260</t>
        </is>
      </c>
      <c r="L3818" s="8" t="inlineStr">
        <is>
          <t>ราคาที่ลง ยังไม่รวมภาษี</t>
        </is>
      </c>
    </row>
    <row r="3819">
      <c r="B3819" s="6" t="inlineStr">
        <is>
          <t>กาวซีลเอนกประสงค์สีขาวแบบห่อนิ่ม (ยิงตะเข็บ) Sika Auto 400ml.</t>
        </is>
      </c>
      <c r="C3819" s="8" t="inlineStr">
        <is>
          <t>6หลอด</t>
        </is>
      </c>
      <c r="D3819" s="9" t="n">
        <v>230</v>
      </c>
      <c r="H3819" s="9" t="n">
        <v>1380</v>
      </c>
      <c r="I3819" s="10" t="inlineStr">
        <is>
          <t>ทาเลนท์</t>
        </is>
      </c>
      <c r="J3819" s="161" t="n">
        <v>23708</v>
      </c>
      <c r="K3819" s="8" t="inlineStr">
        <is>
          <t>IV6416224</t>
        </is>
      </c>
      <c r="L3819" s="8" t="inlineStr">
        <is>
          <t>ราคาที่ลง ยังไม่รวมภาษี</t>
        </is>
      </c>
    </row>
    <row r="3820">
      <c r="B3820" s="6" t="inlineStr">
        <is>
          <t>กาวซีลเอนกประสงค์สีขาวแบบห่อนิ่ม (ยิงตะเข็บ) Sika Auto 400ml.</t>
        </is>
      </c>
      <c r="C3820" s="8" t="inlineStr">
        <is>
          <t>12หลอด</t>
        </is>
      </c>
      <c r="D3820" s="9" t="n">
        <v>230</v>
      </c>
      <c r="H3820" s="9" t="n">
        <v>2760</v>
      </c>
      <c r="I3820" s="10" t="inlineStr">
        <is>
          <t>ทาเลนท์</t>
        </is>
      </c>
      <c r="J3820" s="161" t="n">
        <v>23809</v>
      </c>
      <c r="K3820" s="8" t="inlineStr">
        <is>
          <t>IV6504527</t>
        </is>
      </c>
      <c r="L3820" s="8" t="inlineStr">
        <is>
          <t>ราคาที่ลง ยังไม่รวมภาษี</t>
        </is>
      </c>
    </row>
    <row r="3821">
      <c r="B3821" s="6" t="inlineStr">
        <is>
          <t>กาวซีลเอนกประสงค์สีขาวแบบห่อนิ่ม (ยิงตะเข็บ) Sika Auto 400ml.</t>
        </is>
      </c>
      <c r="C3821" s="8" t="inlineStr">
        <is>
          <t>12หลอด</t>
        </is>
      </c>
      <c r="D3821" s="9" t="n">
        <v>230</v>
      </c>
      <c r="H3821" s="9" t="n">
        <v>2760</v>
      </c>
      <c r="I3821" s="10" t="inlineStr">
        <is>
          <t>ทาเลนท์</t>
        </is>
      </c>
      <c r="J3821" s="161" t="n">
        <v>23852</v>
      </c>
      <c r="K3821" s="8" t="inlineStr">
        <is>
          <t>IV6506938</t>
        </is>
      </c>
      <c r="L3821" s="8" t="inlineStr">
        <is>
          <t>ราคาที่ลง ยังไม่รวมภาษี</t>
        </is>
      </c>
    </row>
    <row r="3822">
      <c r="B3822" s="6" t="inlineStr">
        <is>
          <t>กาวซีลเอนกประสงค์สีขาวแบบห่อนิ่ม (ยิงตะเข็บ) Sika Auto 400ml.</t>
        </is>
      </c>
      <c r="C3822" s="8" t="inlineStr">
        <is>
          <t>12หลอด</t>
        </is>
      </c>
      <c r="D3822" s="9" t="n">
        <v>230</v>
      </c>
      <c r="H3822" s="9" t="n">
        <v>2760</v>
      </c>
      <c r="I3822" s="10" t="inlineStr">
        <is>
          <t>ทาเลนท์</t>
        </is>
      </c>
      <c r="J3822" s="161" t="n">
        <v>23901</v>
      </c>
      <c r="K3822" s="8" t="inlineStr">
        <is>
          <t>IB3002168</t>
        </is>
      </c>
      <c r="L3822" s="8" t="inlineStr">
        <is>
          <t>ราคาที่ลง ยังไม่รวมภาษี</t>
        </is>
      </c>
    </row>
    <row r="3823">
      <c r="B3823" s="6" t="inlineStr">
        <is>
          <t>กาวซีลเอนกประสงค์สีขาวแบบห่อนิ่ม (ยิงตะเข็บ) Sika Auto 400ml.</t>
        </is>
      </c>
      <c r="C3823" s="8" t="inlineStr">
        <is>
          <t>12หลอด</t>
        </is>
      </c>
      <c r="D3823" s="9" t="n">
        <v>230</v>
      </c>
      <c r="H3823" s="9" t="n">
        <v>2760</v>
      </c>
      <c r="I3823" s="10" t="inlineStr">
        <is>
          <t>ทาเลนท์</t>
        </is>
      </c>
      <c r="J3823" s="161" t="n">
        <v>23950</v>
      </c>
      <c r="K3823" s="8" t="inlineStr">
        <is>
          <t>IV2200950</t>
        </is>
      </c>
      <c r="L3823" s="8" t="inlineStr">
        <is>
          <t>ราคาที่ลง ยังไม่รวมภาษี</t>
        </is>
      </c>
    </row>
    <row r="3824">
      <c r="B3824" s="6" t="inlineStr">
        <is>
          <t>กาวซีลเอนกประสงค์สีขาวแบบห่อนิ่ม (ยิงตะเข็บ) Sika Auto 400ml.</t>
        </is>
      </c>
      <c r="C3824" s="8" t="inlineStr">
        <is>
          <t>12หลอด</t>
        </is>
      </c>
      <c r="D3824" s="9" t="n">
        <v>230</v>
      </c>
      <c r="H3824" s="9" t="n">
        <v>2760</v>
      </c>
      <c r="I3824" s="10" t="inlineStr">
        <is>
          <t>ทาเลนท์</t>
        </is>
      </c>
      <c r="J3824" s="161" t="n">
        <v>23983</v>
      </c>
      <c r="K3824" s="8" t="inlineStr">
        <is>
          <t>IV2202823</t>
        </is>
      </c>
      <c r="L3824" s="8" t="inlineStr">
        <is>
          <t>ราคาที่ลง ยังไม่รวมภาษี</t>
        </is>
      </c>
    </row>
    <row r="3825">
      <c r="B3825" s="6" t="inlineStr">
        <is>
          <t>กาวซีลเอนกประสงค์สีขาวแบบห่อนิ่ม (ยิงตะเข็บ) Sika Auto 400ml.</t>
        </is>
      </c>
      <c r="C3825" s="8" t="inlineStr">
        <is>
          <t>24หลอด</t>
        </is>
      </c>
      <c r="D3825" s="9" t="n">
        <v>230</v>
      </c>
      <c r="H3825" s="9" t="n">
        <v>5520</v>
      </c>
      <c r="I3825" s="10" t="inlineStr">
        <is>
          <t>ทาเลนท์</t>
        </is>
      </c>
      <c r="J3825" s="161" t="n">
        <v>24020</v>
      </c>
      <c r="K3825" s="8" t="inlineStr">
        <is>
          <t>IB3004102</t>
        </is>
      </c>
      <c r="L3825" s="8" t="inlineStr">
        <is>
          <t>ราคาที่ลง ยังไม่รวมภาษี</t>
        </is>
      </c>
    </row>
    <row r="3826">
      <c r="B3826" s="6" t="inlineStr">
        <is>
          <t>กาวซีลเอนกประสงค์สีขาวแบบห่อนิ่ม (ยิงตะเข็บ) Sika Auto 400ml.</t>
        </is>
      </c>
      <c r="C3826" s="8" t="inlineStr">
        <is>
          <t>12หลอด</t>
        </is>
      </c>
      <c r="D3826" s="9" t="n">
        <v>230</v>
      </c>
      <c r="H3826" s="9" t="n">
        <v>2760</v>
      </c>
      <c r="I3826" s="10" t="inlineStr">
        <is>
          <t>ทาเลนท์</t>
        </is>
      </c>
      <c r="J3826" s="161" t="n">
        <v>24082</v>
      </c>
      <c r="K3826" s="8" t="inlineStr">
        <is>
          <t>IV2207853</t>
        </is>
      </c>
      <c r="L3826" s="8" t="inlineStr">
        <is>
          <t>ราคาที่ลง ยังไม่รวมภาษี</t>
        </is>
      </c>
    </row>
    <row r="3827">
      <c r="B3827" s="6" t="inlineStr">
        <is>
          <t>กาวซีลเอนกประสงค์สีขาวแบบห่อนิ่ม (ยิงตะเข็บ) Sika Auto 400ml.</t>
        </is>
      </c>
      <c r="C3827" s="8" t="inlineStr">
        <is>
          <t>12หลอด</t>
        </is>
      </c>
      <c r="D3827" s="9" t="n">
        <v>230</v>
      </c>
      <c r="H3827" s="9" t="n">
        <v>2760</v>
      </c>
      <c r="I3827" s="10" t="inlineStr">
        <is>
          <t>ทาเลนท์</t>
        </is>
      </c>
      <c r="J3827" s="161" t="n">
        <v>24148</v>
      </c>
      <c r="K3827" s="8" t="inlineStr">
        <is>
          <t>IB3006698</t>
        </is>
      </c>
      <c r="L3827" s="8" t="inlineStr">
        <is>
          <t>ราคาที่ลง ยังไม่รวมภาษี</t>
        </is>
      </c>
    </row>
    <row r="3828">
      <c r="B3828" s="6" t="inlineStr">
        <is>
          <t>กาวซีลเอนกประสงค์สีขาวแบบห่อนิ่ม (ยิงตะเข็บ) Sika Auto 400ml.</t>
        </is>
      </c>
      <c r="C3828" s="8" t="inlineStr">
        <is>
          <t>12หลอด</t>
        </is>
      </c>
      <c r="D3828" s="9" t="n">
        <v>230</v>
      </c>
      <c r="H3828" s="9" t="n">
        <v>2760</v>
      </c>
      <c r="I3828" s="10" t="inlineStr">
        <is>
          <t>ทาเลนท์</t>
        </is>
      </c>
      <c r="J3828" s="161" t="n">
        <v>24179</v>
      </c>
      <c r="K3828" s="8" t="inlineStr">
        <is>
          <t>IB3008531</t>
        </is>
      </c>
      <c r="L3828" s="8" t="inlineStr">
        <is>
          <t>ราคาที่ลง ยังไม่รวมภาษี</t>
        </is>
      </c>
    </row>
    <row r="3829">
      <c r="B3829" s="6" t="inlineStr">
        <is>
          <t>กาวซีลเอนกประสงค์สีขาวแบบห่อนิ่ม (ยิงตะเข็บ) Sika Auto 400ml.</t>
        </is>
      </c>
      <c r="C3829" s="8" t="inlineStr">
        <is>
          <t>12หลอด</t>
        </is>
      </c>
      <c r="D3829" s="9" t="n">
        <v>230</v>
      </c>
      <c r="H3829" s="9" t="n">
        <v>2760</v>
      </c>
      <c r="I3829" s="10" t="inlineStr">
        <is>
          <t>ทาเลนท์</t>
        </is>
      </c>
      <c r="J3829" s="161" t="n">
        <v>24215</v>
      </c>
      <c r="K3829" s="8" t="inlineStr">
        <is>
          <t>IV2210406</t>
        </is>
      </c>
      <c r="L3829" s="8" t="inlineStr">
        <is>
          <t>ราคาที่ลง ยังไม่รวมภาษี</t>
        </is>
      </c>
    </row>
    <row r="3830">
      <c r="B3830" s="6" t="inlineStr">
        <is>
          <t>กาวซีลเอนกประสงค์สีขาวแบบห่อนิ่ม (ยิงตะเข็บ) Sika Auto 400ml.</t>
        </is>
      </c>
      <c r="C3830" s="8" t="inlineStr">
        <is>
          <t>12หลอด</t>
        </is>
      </c>
      <c r="D3830" s="9" t="n">
        <v>230</v>
      </c>
      <c r="H3830" s="9" t="n">
        <v>2760</v>
      </c>
      <c r="I3830" s="10" t="inlineStr">
        <is>
          <t>ทาเลนท์</t>
        </is>
      </c>
      <c r="J3830" s="161" t="n">
        <v>24253</v>
      </c>
      <c r="K3830" s="8" t="inlineStr">
        <is>
          <t>IV2213077</t>
        </is>
      </c>
      <c r="L3830" s="8" t="inlineStr">
        <is>
          <t>ราคาที่ลง ยังไม่รวมภาษี</t>
        </is>
      </c>
    </row>
    <row r="3831">
      <c r="B3831" s="6" t="inlineStr">
        <is>
          <t>กาวซีลเอนกประสงค์สีขาวแบบห่อนิ่ม (ยิงตะเข็บ) Sika Auto 400ml.</t>
        </is>
      </c>
      <c r="C3831" s="8" t="inlineStr">
        <is>
          <t>24หลอด</t>
        </is>
      </c>
      <c r="D3831" s="9" t="n">
        <v>230</v>
      </c>
      <c r="H3831" s="9" t="n">
        <v>5520</v>
      </c>
      <c r="I3831" s="10" t="inlineStr">
        <is>
          <t>ทาเลนท์</t>
        </is>
      </c>
      <c r="J3831" s="161" t="n">
        <v>24278</v>
      </c>
      <c r="K3831" s="8" t="inlineStr">
        <is>
          <t>IV2214540</t>
        </is>
      </c>
      <c r="L3831" s="8" t="inlineStr">
        <is>
          <t>ราคาที่ลง ยังไม่รวมภาษี</t>
        </is>
      </c>
    </row>
    <row r="3832">
      <c r="B3832" s="6" t="inlineStr">
        <is>
          <t>กาวซีลเอนกประสงค์สีขาวแบบห่อนิ่ม (ยิงตะเข็บ) Sika Auto 400ml.</t>
        </is>
      </c>
      <c r="C3832" s="8" t="n">
        <v>12</v>
      </c>
      <c r="D3832" s="9" t="n">
        <v>230</v>
      </c>
      <c r="H3832" s="9">
        <f>SUM(D3832*C3832)</f>
        <v/>
      </c>
      <c r="I3832" s="10" t="inlineStr">
        <is>
          <t>ทาเลนท์</t>
        </is>
      </c>
      <c r="J3832" s="161" t="n">
        <v>24329</v>
      </c>
      <c r="K3832" s="8" t="inlineStr">
        <is>
          <t>IV2217919</t>
        </is>
      </c>
      <c r="L3832" s="8" t="inlineStr">
        <is>
          <t>ราคาที่ลง ยังไม่รวมภาษี</t>
        </is>
      </c>
    </row>
    <row r="3833">
      <c r="B3833" s="6" t="inlineStr">
        <is>
          <t>กาวซีลเอนกประสงค์สีขาวแบบห่อนิ่ม (ยิงตะเข็บ) Sika Auto 400ml.</t>
        </is>
      </c>
      <c r="C3833" s="8" t="n">
        <v>24</v>
      </c>
      <c r="D3833" s="9" t="n">
        <v>230</v>
      </c>
      <c r="H3833" s="9">
        <f>SUM(D3833*C3833)</f>
        <v/>
      </c>
      <c r="I3833" s="10" t="inlineStr">
        <is>
          <t>ทาเลนท์</t>
        </is>
      </c>
      <c r="J3833" s="161" t="n">
        <v>24372</v>
      </c>
      <c r="K3833" s="8" t="inlineStr">
        <is>
          <t>IV2220554</t>
        </is>
      </c>
      <c r="L3833" s="8" t="inlineStr">
        <is>
          <t>ราคาที่ลง ยังไม่รวมภาษี</t>
        </is>
      </c>
    </row>
    <row r="3834">
      <c r="B3834" s="6" t="inlineStr">
        <is>
          <t>กาวซีลเอนกประสงค์สีขาวแบบห่อนิ่ม (ยิงตะเข็บ) Sika Auto 400ml.</t>
        </is>
      </c>
      <c r="C3834" s="8" t="n">
        <v>24</v>
      </c>
      <c r="D3834" s="9" t="n">
        <v>230</v>
      </c>
      <c r="H3834" s="9">
        <f>SUM(D3834*C3834)</f>
        <v/>
      </c>
      <c r="I3834" s="10" t="inlineStr">
        <is>
          <t>ทาเลนท์</t>
        </is>
      </c>
      <c r="J3834" s="161" t="n">
        <v>24443</v>
      </c>
      <c r="K3834" s="8" t="inlineStr">
        <is>
          <t>IV2224867</t>
        </is>
      </c>
      <c r="L3834" s="8" t="inlineStr">
        <is>
          <t>ราคาที่ลง ยังไม่รวมภาษี</t>
        </is>
      </c>
    </row>
    <row r="3835">
      <c r="B3835" s="6" t="inlineStr">
        <is>
          <t>กาวซีลเอนกประสงค์สีขาวแบบห่อนิ่ม (ยิงตะเข็บ) Sika Auto 400ml.</t>
        </is>
      </c>
      <c r="C3835" s="8" t="n">
        <v>24</v>
      </c>
      <c r="D3835" s="9" t="n">
        <v>230</v>
      </c>
      <c r="H3835" s="9">
        <f>SUM(D3835*C3835)</f>
        <v/>
      </c>
      <c r="I3835" s="10" t="inlineStr">
        <is>
          <t>ทาเลนท์</t>
        </is>
      </c>
      <c r="J3835" s="161" t="n">
        <v>24525</v>
      </c>
      <c r="K3835" s="8" t="inlineStr">
        <is>
          <t>IV2229289</t>
        </is>
      </c>
      <c r="L3835" s="8" t="inlineStr">
        <is>
          <t>ราคาที่ลง ยังไม่รวมภาษี</t>
        </is>
      </c>
    </row>
    <row r="3836">
      <c r="B3836" s="6" t="inlineStr">
        <is>
          <t>กาวซีลเอนกประสงค์สีขาวแบบห่อนิ่ม (ยิงตะเข็บ) Sika Auto 400ml.</t>
        </is>
      </c>
      <c r="C3836" s="8" t="n">
        <v>12</v>
      </c>
      <c r="D3836" s="9" t="n">
        <v>230</v>
      </c>
      <c r="H3836" s="9">
        <f>SUM(D3836*C3836)</f>
        <v/>
      </c>
      <c r="I3836" s="10" t="inlineStr">
        <is>
          <t>ทาเลนท์</t>
        </is>
      </c>
      <c r="J3836" s="161" t="n">
        <v>24595</v>
      </c>
      <c r="K3836" s="8" t="inlineStr">
        <is>
          <t>IV2232778</t>
        </is>
      </c>
      <c r="L3836" s="8" t="inlineStr">
        <is>
          <t>ราคาที่ลง ยังไม่รวมภาษี</t>
        </is>
      </c>
    </row>
    <row r="3837">
      <c r="B3837" s="6" t="inlineStr">
        <is>
          <t>กาวซีลเอนกประสงค์สีขาวแบบห่อนิ่ม (ยิงตะเข็บ) Sika Auto 400ml.</t>
        </is>
      </c>
      <c r="C3837" s="8" t="n">
        <v>22</v>
      </c>
      <c r="D3837" s="9" t="n">
        <v>230</v>
      </c>
      <c r="H3837" s="9">
        <f>SUM(D3837*C3837)</f>
        <v/>
      </c>
      <c r="I3837" s="10" t="inlineStr">
        <is>
          <t>ทาเลนท์</t>
        </is>
      </c>
      <c r="J3837" s="161" t="n">
        <v>24623</v>
      </c>
      <c r="K3837" s="8" t="inlineStr">
        <is>
          <t>IV2234378</t>
        </is>
      </c>
      <c r="L3837" s="8" t="inlineStr">
        <is>
          <t>ราคาที่ลง ยังไม่รวมภาษี</t>
        </is>
      </c>
    </row>
    <row r="3838">
      <c r="B3838" s="6" t="inlineStr">
        <is>
          <t>กาวซีลเอนกประสงค์สีขาวแบบห่อนิ่ม (ยิงตะเข็บ) Sika Auto 400ml.</t>
        </is>
      </c>
      <c r="C3838" s="8" t="n">
        <v>2</v>
      </c>
      <c r="D3838" s="9" t="n">
        <v>230</v>
      </c>
      <c r="H3838" s="9">
        <f>SUM(D3838*C3838)</f>
        <v/>
      </c>
      <c r="I3838" s="10" t="inlineStr">
        <is>
          <t>ทาเลนท์</t>
        </is>
      </c>
      <c r="J3838" s="161" t="n">
        <v>24629</v>
      </c>
      <c r="K3838" s="8" t="inlineStr">
        <is>
          <t>IV2234900</t>
        </is>
      </c>
      <c r="L3838" s="8" t="inlineStr">
        <is>
          <t>ราคาที่ลง ยังไม่รวมภาษี</t>
        </is>
      </c>
    </row>
    <row r="3839">
      <c r="B3839" s="6" t="inlineStr">
        <is>
          <t>กาวซีลเอนกประสงค์สีขาวแบบห่อนิ่ม (ยิงตะเข็บ) Sika Auto 400ml.</t>
        </is>
      </c>
      <c r="C3839" s="8" t="n">
        <v>4</v>
      </c>
      <c r="D3839" s="9" t="n">
        <v>230</v>
      </c>
      <c r="H3839" s="9">
        <f>SUM(D3839*C3839)</f>
        <v/>
      </c>
      <c r="I3839" s="10" t="inlineStr">
        <is>
          <t>ทาเลนท์</t>
        </is>
      </c>
      <c r="J3839" s="161" t="n">
        <v>24664</v>
      </c>
      <c r="K3839" s="8" t="inlineStr">
        <is>
          <t>IV2236946</t>
        </is>
      </c>
      <c r="L3839" s="8" t="inlineStr">
        <is>
          <t>ราคาที่ลง ยังไม่รวมภาษี</t>
        </is>
      </c>
    </row>
    <row r="3840">
      <c r="B3840" s="6" t="inlineStr">
        <is>
          <t>กาวซีลเอนกประสงค์สีขาวแบบห่อนิ่ม (ยิงตะเข็บ) Sika Auto 400ml.</t>
        </is>
      </c>
      <c r="C3840" s="8" t="n">
        <v>20</v>
      </c>
      <c r="D3840" s="9" t="n">
        <v>230</v>
      </c>
      <c r="H3840" s="9">
        <f>SUM(D3840*C3840)</f>
        <v/>
      </c>
      <c r="I3840" s="10" t="inlineStr">
        <is>
          <t>ทาเลนท์</t>
        </is>
      </c>
      <c r="J3840" s="161" t="n">
        <v>24661</v>
      </c>
      <c r="K3840" s="8" t="inlineStr">
        <is>
          <t>IV2236779</t>
        </is>
      </c>
      <c r="L3840" s="8" t="inlineStr">
        <is>
          <t>ราคาที่ลง ยังไม่รวมภาษี</t>
        </is>
      </c>
    </row>
    <row r="3841">
      <c r="B3841" s="6" t="inlineStr">
        <is>
          <t>กาวซีลเอนกประสงค์สีขาวแบบห่อนิ่ม (ยิงตะเข็บ) Sika Auto 400ml.</t>
        </is>
      </c>
      <c r="C3841" s="8" t="n">
        <v>24</v>
      </c>
      <c r="D3841" s="9" t="n">
        <v>230</v>
      </c>
      <c r="H3841" s="9">
        <f>SUM(D3841*C3841)</f>
        <v/>
      </c>
      <c r="I3841" s="10" t="inlineStr">
        <is>
          <t>ทาเลนท์</t>
        </is>
      </c>
      <c r="J3841" s="161" t="n">
        <v>24740</v>
      </c>
      <c r="K3841" s="8" t="inlineStr">
        <is>
          <t>IV2241234</t>
        </is>
      </c>
      <c r="L3841" s="8" t="inlineStr">
        <is>
          <t>ราคาที่ลง ยังไม่รวมภาษี</t>
        </is>
      </c>
    </row>
    <row r="3842">
      <c r="B3842" s="6" t="inlineStr">
        <is>
          <t>กาวซีลเอนกประสงค์สีขาวแบบห่อนิ่ม (ยิงตะเข็บ) Sika Auto 400ml.</t>
        </is>
      </c>
      <c r="C3842" s="8" t="n">
        <v>24</v>
      </c>
      <c r="D3842" s="9" t="n">
        <v>230</v>
      </c>
      <c r="H3842" s="9">
        <f>SUM(D3842*C3842)</f>
        <v/>
      </c>
      <c r="I3842" s="10" t="inlineStr">
        <is>
          <t>ทาเลนท์</t>
        </is>
      </c>
      <c r="J3842" s="161" t="n">
        <v>24797</v>
      </c>
      <c r="K3842" s="8" t="inlineStr">
        <is>
          <t>IV2244487</t>
        </is>
      </c>
      <c r="L3842" s="8" t="inlineStr">
        <is>
          <t>ราคาที่ลง ยังไม่รวมภาษี</t>
        </is>
      </c>
    </row>
    <row r="3843">
      <c r="B3843" s="6" t="inlineStr">
        <is>
          <t>กาวซีลเอนกประสงค์สีขาวแบบห่อนิ่ม (ยิงตะเข็บ) Sika Auto 400ml.</t>
        </is>
      </c>
      <c r="C3843" s="8" t="n">
        <v>12</v>
      </c>
      <c r="D3843" s="9" t="n">
        <v>230</v>
      </c>
      <c r="E3843" s="9">
        <f>SUM(C3843*D3843)</f>
        <v/>
      </c>
      <c r="G3843" s="10" t="inlineStr">
        <is>
          <t>ยอดรวม VAT =</t>
        </is>
      </c>
      <c r="H3843" s="9">
        <f>SUM(E3843*N3843/M3843)</f>
        <v/>
      </c>
      <c r="I3843" s="10" t="inlineStr">
        <is>
          <t>ทาเลนท์</t>
        </is>
      </c>
      <c r="J3843" s="161" t="n">
        <v>24930</v>
      </c>
      <c r="K3843" s="8" t="inlineStr">
        <is>
          <t>IV6805479</t>
        </is>
      </c>
      <c r="M3843" s="6" t="n">
        <v>100</v>
      </c>
      <c r="N3843" s="6" t="n">
        <v>107</v>
      </c>
    </row>
    <row r="3844">
      <c r="B3844" s="6" t="inlineStr">
        <is>
          <t>กาวซีลเอนกประสงค์สีขาวแบบห่อนิ่ม (ยิงตะเข็บ) Sika Auto 400ml.</t>
        </is>
      </c>
      <c r="C3844" s="8" t="n">
        <v>12</v>
      </c>
      <c r="D3844" s="9" t="n">
        <v>230</v>
      </c>
      <c r="E3844" s="9">
        <f>SUM(C3844*D3844)</f>
        <v/>
      </c>
      <c r="G3844" s="10" t="inlineStr">
        <is>
          <t>ยอดรวม VAT =</t>
        </is>
      </c>
      <c r="H3844" s="9">
        <f>SUM(E3844*N3844/M3844)</f>
        <v/>
      </c>
      <c r="I3844" s="10" t="inlineStr">
        <is>
          <t>ทาเลนท์</t>
        </is>
      </c>
      <c r="J3844" s="161" t="n">
        <v>24931</v>
      </c>
      <c r="K3844" s="8" t="inlineStr">
        <is>
          <t>IV6805575</t>
        </is>
      </c>
      <c r="M3844" s="6" t="n">
        <v>100</v>
      </c>
      <c r="N3844" s="6" t="n">
        <v>107</v>
      </c>
    </row>
    <row r="3845">
      <c r="B3845" s="6" t="inlineStr">
        <is>
          <t>กาวซีลเอนกประสงค์สีขาวแบบห่อนิ่ม (ยิงตะเข็บ) Sika Auto 400ml.</t>
        </is>
      </c>
      <c r="C3845" s="8" t="n">
        <v>12</v>
      </c>
      <c r="D3845" s="9" t="n">
        <v>230</v>
      </c>
      <c r="E3845" s="9">
        <f>SUM(C3845*D3845)</f>
        <v/>
      </c>
      <c r="G3845" s="10" t="inlineStr">
        <is>
          <t>ยอดรวม VAT =</t>
        </is>
      </c>
      <c r="H3845" s="9">
        <f>SUM(E3845*N3845/M3845)</f>
        <v/>
      </c>
      <c r="I3845" s="10" t="inlineStr">
        <is>
          <t>ทาเลนท์</t>
        </is>
      </c>
      <c r="J3845" s="161" t="n">
        <v>25065</v>
      </c>
      <c r="K3845" s="8" t="inlineStr">
        <is>
          <t>IV6813173</t>
        </is>
      </c>
      <c r="M3845" s="6" t="n">
        <v>100</v>
      </c>
      <c r="N3845" s="6" t="n">
        <v>107</v>
      </c>
    </row>
    <row r="3846">
      <c r="B3846" s="6" t="inlineStr">
        <is>
          <t>กาวซีลเอนกประสงค์สีขาวแบบห่อนิ่ม (ยิงตะเข็บ) Sika Auto 400ml.</t>
        </is>
      </c>
      <c r="C3846" s="8" t="n">
        <v>12</v>
      </c>
      <c r="D3846" s="9" t="n">
        <v>230</v>
      </c>
      <c r="E3846" s="9">
        <f>SUM(C3846*D3846)</f>
        <v/>
      </c>
      <c r="G3846" s="10" t="inlineStr">
        <is>
          <t>ยอดรวม VAT =</t>
        </is>
      </c>
      <c r="H3846" s="9">
        <f>SUM(E3846*N3846/M3846)</f>
        <v/>
      </c>
      <c r="I3846" s="10" t="inlineStr">
        <is>
          <t>ทาเลนท์</t>
        </is>
      </c>
      <c r="J3846" s="161" t="n">
        <v>25092</v>
      </c>
      <c r="K3846" s="8" t="inlineStr">
        <is>
          <t>IV6814709</t>
        </is>
      </c>
      <c r="M3846" s="6" t="n">
        <v>100</v>
      </c>
      <c r="N3846" s="6" t="n">
        <v>107</v>
      </c>
    </row>
    <row r="3847">
      <c r="B3847" s="6" t="inlineStr">
        <is>
          <t>กาวซีลเอนกประสงค์สีขาวแบบห่อนิ่ม (ยิงตะเข็บ) Sika Auto 400ml.</t>
        </is>
      </c>
      <c r="C3847" s="8" t="n">
        <v>19</v>
      </c>
      <c r="D3847" s="9" t="n">
        <v>230</v>
      </c>
      <c r="E3847" s="9">
        <f>SUM(C3847*D3847)</f>
        <v/>
      </c>
      <c r="G3847" s="10" t="inlineStr">
        <is>
          <t>ยอดรวม VAT =</t>
        </is>
      </c>
      <c r="H3847" s="9">
        <f>SUM(E3847*N3847/M3847)</f>
        <v/>
      </c>
      <c r="I3847" s="10" t="inlineStr">
        <is>
          <t>ทาเลนท์</t>
        </is>
      </c>
      <c r="J3847" s="161" t="n">
        <v>25160</v>
      </c>
      <c r="K3847" s="8" t="inlineStr">
        <is>
          <t>IV6818818</t>
        </is>
      </c>
      <c r="M3847" s="6" t="n">
        <v>100</v>
      </c>
      <c r="N3847" s="6" t="n">
        <v>107</v>
      </c>
    </row>
    <row r="3848">
      <c r="B3848" s="6" t="inlineStr">
        <is>
          <t>กาวซีลเอนกประสงค์สีขาวแบบห่อนิ่ม (ยิงตะเข็บ) Sika Auto 400ml.</t>
        </is>
      </c>
      <c r="C3848" s="8" t="n">
        <v>5</v>
      </c>
      <c r="D3848" s="9" t="n">
        <v>230</v>
      </c>
      <c r="E3848" s="9">
        <f>SUM(C3848*D3848)</f>
        <v/>
      </c>
      <c r="G3848" s="10" t="inlineStr">
        <is>
          <t>ยอดรวม VAT =</t>
        </is>
      </c>
      <c r="H3848" s="9">
        <f>SUM(E3848*N3848/M3848)</f>
        <v/>
      </c>
      <c r="I3848" s="10" t="inlineStr">
        <is>
          <t>ทาเลนท์</t>
        </is>
      </c>
      <c r="J3848" s="161" t="n">
        <v>25163</v>
      </c>
      <c r="K3848" s="8" t="inlineStr">
        <is>
          <t>IV6819012</t>
        </is>
      </c>
      <c r="M3848" s="6" t="n">
        <v>100</v>
      </c>
      <c r="N3848" s="6" t="n">
        <v>107</v>
      </c>
    </row>
    <row r="3850">
      <c r="A3850" s="66" t="inlineStr">
        <is>
          <t>สีโจตัน</t>
        </is>
      </c>
      <c r="B3850" s="6" t="inlineStr">
        <is>
          <t>สีโจตัน (โจตาการ์ด 82 สีดำ) 4.29 ลิตร + ฮาร์ด 0.71 ลิตร</t>
        </is>
      </c>
      <c r="C3850" s="8" t="inlineStr">
        <is>
          <t>1ชุด</t>
        </is>
      </c>
      <c r="D3850" s="9" t="n">
        <v>890</v>
      </c>
      <c r="H3850" s="9" t="n">
        <v>890</v>
      </c>
      <c r="I3850" s="10" t="inlineStr">
        <is>
          <t>ศรีสยาม</t>
        </is>
      </c>
      <c r="J3850" s="161" t="n">
        <v>22990</v>
      </c>
    </row>
    <row r="3851">
      <c r="B3851" s="6" t="inlineStr">
        <is>
          <t>สีโจตัน (โจตาการ์ด 82 สีดำ) 5 ลิตร + ฮาร์ด 0.71 ลิตร</t>
        </is>
      </c>
      <c r="C3851" s="8" t="inlineStr">
        <is>
          <t>1ชุด</t>
        </is>
      </c>
      <c r="D3851" s="9" t="n">
        <v>890</v>
      </c>
      <c r="H3851" s="9" t="n">
        <v>890</v>
      </c>
      <c r="I3851" s="10" t="inlineStr">
        <is>
          <t>ศรีสยาม</t>
        </is>
      </c>
      <c r="J3851" s="161" t="n">
        <v>23537</v>
      </c>
    </row>
    <row r="3854">
      <c r="A3854" s="66" t="inlineStr">
        <is>
          <t>เกรียงโป๊วสี</t>
        </is>
      </c>
      <c r="B3854" s="6" t="inlineStr">
        <is>
          <t>เกรียงโป๊วสี 4"</t>
        </is>
      </c>
      <c r="C3854" s="8" t="inlineStr">
        <is>
          <t>2อัน</t>
        </is>
      </c>
      <c r="D3854" s="9" t="n">
        <v>45</v>
      </c>
      <c r="H3854" s="9" t="n">
        <v>90</v>
      </c>
      <c r="I3854" s="10" t="inlineStr">
        <is>
          <t>ทาเลนท์</t>
        </is>
      </c>
      <c r="J3854" s="161" t="n">
        <v>22857</v>
      </c>
    </row>
    <row r="3855">
      <c r="A3855" s="70" t="n"/>
      <c r="B3855" s="6" t="inlineStr">
        <is>
          <t>เกรียงโป๊วสี 4"</t>
        </is>
      </c>
      <c r="C3855" s="8" t="inlineStr">
        <is>
          <t>3อัน</t>
        </is>
      </c>
      <c r="D3855" s="9" t="n">
        <v>45</v>
      </c>
      <c r="H3855" s="9" t="n">
        <v>135</v>
      </c>
      <c r="I3855" s="10" t="inlineStr">
        <is>
          <t>ทาเลนท์</t>
        </is>
      </c>
      <c r="J3855" s="161" t="n">
        <v>22892</v>
      </c>
    </row>
    <row r="3856">
      <c r="A3856" s="70" t="n"/>
      <c r="B3856" s="6" t="inlineStr">
        <is>
          <t>เกรียงโป๊วสี 4"</t>
        </is>
      </c>
      <c r="C3856" s="8" t="inlineStr">
        <is>
          <t>3อัน</t>
        </is>
      </c>
      <c r="D3856" s="9" t="n">
        <v>45</v>
      </c>
      <c r="H3856" s="9" t="n">
        <v>135</v>
      </c>
      <c r="I3856" s="10" t="inlineStr">
        <is>
          <t>ทาเลนท์</t>
        </is>
      </c>
      <c r="J3856" s="161" t="n">
        <v>23272</v>
      </c>
    </row>
    <row r="3857">
      <c r="A3857" s="70" t="n"/>
      <c r="B3857" s="6" t="inlineStr">
        <is>
          <t>เกรียงโป๊วสี 4"</t>
        </is>
      </c>
      <c r="C3857" s="8" t="inlineStr">
        <is>
          <t>3อัน</t>
        </is>
      </c>
      <c r="D3857" s="9" t="n">
        <v>45</v>
      </c>
      <c r="H3857" s="9" t="n">
        <v>135</v>
      </c>
      <c r="I3857" s="10" t="inlineStr">
        <is>
          <t>ทาเลนท์</t>
        </is>
      </c>
      <c r="J3857" s="161" t="n">
        <v>23852</v>
      </c>
      <c r="K3857" s="8" t="inlineStr">
        <is>
          <t>IV6506938</t>
        </is>
      </c>
    </row>
    <row r="3858">
      <c r="A3858" s="70" t="n"/>
      <c r="B3858" s="6" t="inlineStr">
        <is>
          <t>เกรียงโป๊วสี 4"</t>
        </is>
      </c>
      <c r="C3858" s="8" t="inlineStr">
        <is>
          <t>4อัน</t>
        </is>
      </c>
      <c r="D3858" s="9" t="n">
        <v>58</v>
      </c>
      <c r="H3858" s="9" t="n">
        <v>232</v>
      </c>
      <c r="I3858" s="10" t="inlineStr">
        <is>
          <t>ทาเลนท์</t>
        </is>
      </c>
      <c r="J3858" s="161" t="n">
        <v>23878</v>
      </c>
      <c r="K3858" s="8" t="inlineStr">
        <is>
          <t>IB3000910</t>
        </is>
      </c>
    </row>
    <row r="3859">
      <c r="A3859" s="70" t="n"/>
      <c r="B3859" s="6" t="inlineStr">
        <is>
          <t>เกรียงโป๊วสี 4"</t>
        </is>
      </c>
      <c r="C3859" s="8" t="n">
        <v>2</v>
      </c>
      <c r="D3859" s="9" t="n">
        <v>58</v>
      </c>
      <c r="H3859" s="9">
        <f>SUM(D3859*C3859)</f>
        <v/>
      </c>
      <c r="I3859" s="10" t="inlineStr">
        <is>
          <t>ทาเลนท์</t>
        </is>
      </c>
      <c r="J3859" s="161" t="n">
        <v>24320</v>
      </c>
      <c r="K3859" s="8" t="inlineStr">
        <is>
          <t>IV2217111</t>
        </is>
      </c>
    </row>
    <row r="3861">
      <c r="B3861" s="6" t="inlineStr">
        <is>
          <t>เกรียงโป๊วสี 6"</t>
        </is>
      </c>
      <c r="C3861" s="8" t="inlineStr">
        <is>
          <t>2อัน</t>
        </is>
      </c>
      <c r="D3861" s="9" t="n">
        <v>80</v>
      </c>
      <c r="H3861" s="9" t="n">
        <v>160</v>
      </c>
      <c r="I3861" s="10" t="inlineStr">
        <is>
          <t>ทาเลนท์</t>
        </is>
      </c>
      <c r="J3861" s="161" t="n">
        <v>22857</v>
      </c>
    </row>
    <row r="3862">
      <c r="B3862" s="6" t="inlineStr">
        <is>
          <t>เกรียงโป๊วสี 6"</t>
        </is>
      </c>
      <c r="C3862" s="8" t="inlineStr">
        <is>
          <t>3อัน</t>
        </is>
      </c>
      <c r="D3862" s="9" t="n">
        <v>80</v>
      </c>
      <c r="H3862" s="9" t="n">
        <v>240</v>
      </c>
      <c r="I3862" s="10" t="inlineStr">
        <is>
          <t>ทาเลนท์</t>
        </is>
      </c>
      <c r="J3862" s="161" t="n">
        <v>22892</v>
      </c>
    </row>
    <row r="3863">
      <c r="B3863" s="6" t="inlineStr">
        <is>
          <t>เกรียงโป๊วสี 6"</t>
        </is>
      </c>
      <c r="C3863" s="8" t="inlineStr">
        <is>
          <t>3อัน</t>
        </is>
      </c>
      <c r="D3863" s="9" t="n">
        <v>80</v>
      </c>
      <c r="H3863" s="9" t="n">
        <v>240</v>
      </c>
      <c r="I3863" s="10" t="inlineStr">
        <is>
          <t>ทาเลนท์</t>
        </is>
      </c>
      <c r="J3863" s="161" t="n">
        <v>23272</v>
      </c>
    </row>
    <row r="3864">
      <c r="B3864" s="6" t="inlineStr">
        <is>
          <t>เกรียงโป๊วสี 6"</t>
        </is>
      </c>
      <c r="C3864" s="8" t="inlineStr">
        <is>
          <t>3อัน</t>
        </is>
      </c>
      <c r="D3864" s="9" t="n">
        <v>80</v>
      </c>
      <c r="H3864" s="9" t="n">
        <v>240</v>
      </c>
      <c r="I3864" s="10" t="inlineStr">
        <is>
          <t>ทาเลนท์</t>
        </is>
      </c>
      <c r="J3864" s="161" t="n">
        <v>23286</v>
      </c>
    </row>
    <row r="3865">
      <c r="B3865" s="6" t="inlineStr">
        <is>
          <t>เกรียงโป๊วสี 6"</t>
        </is>
      </c>
      <c r="C3865" s="8" t="inlineStr">
        <is>
          <t>3อัน</t>
        </is>
      </c>
      <c r="D3865" s="9" t="n">
        <v>80</v>
      </c>
      <c r="H3865" s="9" t="n">
        <v>240</v>
      </c>
      <c r="I3865" s="10" t="inlineStr">
        <is>
          <t>ทาเลนท์</t>
        </is>
      </c>
      <c r="J3865" s="161" t="n">
        <v>23852</v>
      </c>
      <c r="K3865" s="8" t="inlineStr">
        <is>
          <t>IV6506938</t>
        </is>
      </c>
    </row>
    <row r="3866">
      <c r="B3866" s="6" t="inlineStr">
        <is>
          <t>เกรียงโป๊วสี 6"</t>
        </is>
      </c>
      <c r="C3866" s="8" t="inlineStr">
        <is>
          <t>4อัน</t>
        </is>
      </c>
      <c r="D3866" s="9" t="n">
        <v>80</v>
      </c>
      <c r="H3866" s="9" t="n">
        <v>320</v>
      </c>
      <c r="I3866" s="10" t="inlineStr">
        <is>
          <t>ทาเลนท์</t>
        </is>
      </c>
      <c r="J3866" s="161" t="n">
        <v>23878</v>
      </c>
      <c r="K3866" s="8" t="inlineStr">
        <is>
          <t>IB3000910</t>
        </is>
      </c>
    </row>
    <row r="3867">
      <c r="B3867" s="6" t="inlineStr">
        <is>
          <t>เกรียงโป๊วสี 6"</t>
        </is>
      </c>
      <c r="C3867" s="8" t="n">
        <v>2</v>
      </c>
      <c r="D3867" s="9" t="n">
        <v>80</v>
      </c>
      <c r="H3867" s="9">
        <f>SUM(D3867*C3867)</f>
        <v/>
      </c>
      <c r="I3867" s="10" t="inlineStr">
        <is>
          <t>ทาเลนท์</t>
        </is>
      </c>
      <c r="J3867" s="161" t="n">
        <v>24320</v>
      </c>
      <c r="K3867" s="8" t="inlineStr">
        <is>
          <t>IV2217111</t>
        </is>
      </c>
    </row>
    <row r="3869">
      <c r="A3869" s="66" t="inlineStr">
        <is>
          <t>แผ่นยางมะตอย</t>
        </is>
      </c>
      <c r="B3869" s="6" t="inlineStr">
        <is>
          <t>แผ่นยางมะตอย</t>
        </is>
      </c>
      <c r="C3869" s="8" t="inlineStr">
        <is>
          <t>2แผ่น</t>
        </is>
      </c>
      <c r="D3869" s="9" t="n">
        <v>260</v>
      </c>
      <c r="H3869" s="9" t="n">
        <v>520</v>
      </c>
      <c r="I3869" s="10" t="inlineStr">
        <is>
          <t>ศรีสยาม</t>
        </is>
      </c>
      <c r="J3869" s="161" t="n">
        <v>23489</v>
      </c>
    </row>
    <row r="3871">
      <c r="A3871" s="66" t="inlineStr">
        <is>
          <t>ที่สูบทินเนอร์</t>
        </is>
      </c>
      <c r="B3871" s="6" t="inlineStr">
        <is>
          <t>ที่สูบทินเนอร์ 200 ลิตร -- แถมฟรี</t>
        </is>
      </c>
      <c r="C3871" s="8" t="inlineStr">
        <is>
          <t>1อัน</t>
        </is>
      </c>
      <c r="I3871" s="10" t="inlineStr">
        <is>
          <t>ทาเลนท์</t>
        </is>
      </c>
      <c r="J3871" s="161" t="n">
        <v>23616</v>
      </c>
      <c r="K3871" s="8" t="inlineStr">
        <is>
          <t>IV6410644</t>
        </is>
      </c>
    </row>
    <row r="3874">
      <c r="A3874" s="66" t="inlineStr">
        <is>
          <t>น้ำยาป้องกันสนิม ออโต้โค้ท</t>
        </is>
      </c>
      <c r="B3874" s="6" t="inlineStr">
        <is>
          <t>น้ำยาป้องกันสนิม ออโต้โค้ท/ทัฟโค้ท (สีดำ)</t>
        </is>
      </c>
      <c r="C3874" s="8" t="inlineStr">
        <is>
          <t>30ลิตร</t>
        </is>
      </c>
      <c r="D3874" s="9" t="n">
        <v>216.67</v>
      </c>
      <c r="E3874" s="8" t="n"/>
      <c r="F3874" s="9" t="n">
        <v>6500</v>
      </c>
      <c r="G3874" s="10" t="inlineStr">
        <is>
          <t>ไทยออโต้โค้ท</t>
        </is>
      </c>
      <c r="H3874" s="161" t="n">
        <v>242714</v>
      </c>
      <c r="I3874" s="8" t="inlineStr">
        <is>
          <t>ไม่มี VAT</t>
        </is>
      </c>
      <c r="J3874" s="6" t="n"/>
      <c r="K3874" s="6" t="n"/>
      <c r="L3874" s="6" t="n"/>
    </row>
    <row r="3875">
      <c r="A3875" s="8" t="n"/>
      <c r="B3875" s="6" t="inlineStr">
        <is>
          <t>น้ำยาป้องกันสนิม ออโต้โค้ท/ทัฟโค้ท (สีดำ)</t>
        </is>
      </c>
      <c r="C3875" s="8" t="inlineStr">
        <is>
          <t>30ลิตร</t>
        </is>
      </c>
      <c r="D3875" s="9" t="n">
        <v>216.67</v>
      </c>
      <c r="E3875" s="8" t="n"/>
      <c r="F3875" s="9" t="n">
        <v>6500</v>
      </c>
      <c r="G3875" s="10" t="inlineStr">
        <is>
          <t>ไทยออโต้โค้ท</t>
        </is>
      </c>
      <c r="H3875" s="161" t="n">
        <v>23615</v>
      </c>
      <c r="I3875" s="8" t="inlineStr">
        <is>
          <t>ไม่มี VAT</t>
        </is>
      </c>
      <c r="J3875" s="6" t="n"/>
      <c r="K3875" s="6" t="n"/>
      <c r="L3875" s="6" t="n"/>
    </row>
    <row r="3876">
      <c r="A3876" s="8" t="n"/>
      <c r="B3876" s="6" t="inlineStr">
        <is>
          <t>น้ำยาป้องกันสนิม ออโต้โค้ท/ทัฟโค้ท (สีดำ)</t>
        </is>
      </c>
      <c r="C3876" s="8" t="inlineStr">
        <is>
          <t>30ลิตร</t>
        </is>
      </c>
      <c r="D3876" s="9" t="n">
        <v>216.67</v>
      </c>
      <c r="E3876" s="8" t="n"/>
      <c r="F3876" s="9" t="n">
        <v>6500</v>
      </c>
      <c r="G3876" s="10" t="inlineStr">
        <is>
          <t>ไทยออโต้โค้ท</t>
        </is>
      </c>
      <c r="H3876" s="161" t="n">
        <v>23675</v>
      </c>
      <c r="I3876" s="8" t="inlineStr">
        <is>
          <t>ไม่มี VAT</t>
        </is>
      </c>
      <c r="J3876" s="6" t="n"/>
      <c r="K3876" s="6" t="n"/>
      <c r="L3876" s="6" t="n"/>
    </row>
    <row r="3877">
      <c r="A3877" s="8" t="n"/>
      <c r="B3877" s="6" t="inlineStr">
        <is>
          <t>น้ำยาป้องกันสนิม ออโต้โค้ท/ทัฟโค้ท (สีดำ)</t>
        </is>
      </c>
      <c r="C3877" s="8" t="inlineStr">
        <is>
          <t>30ลิตร</t>
        </is>
      </c>
      <c r="D3877" s="9" t="n">
        <v>216.67</v>
      </c>
      <c r="E3877" s="8" t="n"/>
      <c r="F3877" s="9" t="n">
        <v>6500</v>
      </c>
      <c r="G3877" s="10" t="inlineStr">
        <is>
          <t>ไทยออโต้โค้ท</t>
        </is>
      </c>
      <c r="H3877" s="161" t="n">
        <v>23784</v>
      </c>
      <c r="I3877" s="8" t="inlineStr">
        <is>
          <t>ไม่มี VAT</t>
        </is>
      </c>
      <c r="J3877" s="6" t="n"/>
      <c r="K3877" s="6" t="n"/>
      <c r="L3877" s="6" t="n"/>
    </row>
    <row r="3878">
      <c r="A3878" s="8" t="n"/>
      <c r="B3878" s="6" t="inlineStr">
        <is>
          <t>น้ำยาป้องกันสนิม ออโต้โค้ท/ทัฟโค้ท (สีดำ)</t>
        </is>
      </c>
      <c r="C3878" s="8" t="inlineStr">
        <is>
          <t>30ลิตร</t>
        </is>
      </c>
      <c r="D3878" s="9" t="n">
        <v>216.67</v>
      </c>
      <c r="E3878" s="8" t="n"/>
      <c r="F3878" s="9" t="n">
        <v>6500</v>
      </c>
      <c r="G3878" s="10" t="inlineStr">
        <is>
          <t>ไทยออโต้โค้ท</t>
        </is>
      </c>
      <c r="H3878" s="161" t="n">
        <v>23862</v>
      </c>
      <c r="I3878" s="8" t="inlineStr">
        <is>
          <t>ไม่มี VAT</t>
        </is>
      </c>
      <c r="J3878" s="6" t="n"/>
      <c r="K3878" s="6" t="n"/>
      <c r="L3878" s="6" t="n"/>
    </row>
    <row r="3879">
      <c r="A3879" s="8" t="n"/>
      <c r="B3879" s="6" t="inlineStr">
        <is>
          <t>น้ำยาป้องกันสนิม ออโต้โค้ท/ทัฟโค้ท (สีดำ)</t>
        </is>
      </c>
      <c r="C3879" s="8" t="inlineStr">
        <is>
          <t>30ลิตร</t>
        </is>
      </c>
      <c r="D3879" s="9" t="n">
        <v>220</v>
      </c>
      <c r="E3879" s="8" t="n">
        <v>100</v>
      </c>
      <c r="F3879" s="9" t="n">
        <v>6500</v>
      </c>
      <c r="G3879" s="10" t="inlineStr">
        <is>
          <t>ไทยออโต้โค้ท</t>
        </is>
      </c>
      <c r="H3879" s="161" t="n">
        <v>23943</v>
      </c>
      <c r="I3879" s="8" t="inlineStr">
        <is>
          <t>ไม่มี VAT</t>
        </is>
      </c>
      <c r="J3879" s="6" t="n"/>
      <c r="K3879" s="6" t="n"/>
      <c r="L3879" s="6" t="n"/>
    </row>
    <row r="3880">
      <c r="A3880" s="8" t="n"/>
      <c r="B3880" s="6" t="inlineStr">
        <is>
          <t>น้ำยาป้องกันสนิม ออโต้โค้ท/ทัฟโค้ท (สีดำ)</t>
        </is>
      </c>
      <c r="C3880" s="8" t="inlineStr">
        <is>
          <t>30ลิตร</t>
        </is>
      </c>
      <c r="D3880" s="9" t="n">
        <v>220</v>
      </c>
      <c r="E3880" s="8" t="n">
        <v>100</v>
      </c>
      <c r="F3880" s="9" t="n">
        <v>6500</v>
      </c>
      <c r="G3880" s="10" t="inlineStr">
        <is>
          <t>ไทยออโต้โค้ท</t>
        </is>
      </c>
      <c r="H3880" s="161" t="n">
        <v>23998</v>
      </c>
      <c r="I3880" s="8" t="inlineStr">
        <is>
          <t>ไม่มี VAT</t>
        </is>
      </c>
      <c r="J3880" s="6" t="n"/>
      <c r="K3880" s="6" t="n"/>
      <c r="L3880" s="6" t="n"/>
    </row>
    <row r="3881">
      <c r="A3881" s="8" t="n"/>
      <c r="B3881" s="6" t="inlineStr">
        <is>
          <t>น้ำยาป้องกันสนิม ออโต้โค้ท/ทัฟโค้ท (สีดำ)</t>
        </is>
      </c>
      <c r="C3881" s="8" t="inlineStr">
        <is>
          <t>30ลิตร</t>
        </is>
      </c>
      <c r="D3881" s="9" t="n">
        <v>220</v>
      </c>
      <c r="E3881" s="8" t="n">
        <v>100</v>
      </c>
      <c r="F3881" s="9" t="n">
        <v>6500</v>
      </c>
      <c r="G3881" s="10" t="inlineStr">
        <is>
          <t>ไทยออโต้โค้ท</t>
        </is>
      </c>
      <c r="H3881" s="161" t="n">
        <v>24069</v>
      </c>
      <c r="I3881" s="8" t="inlineStr">
        <is>
          <t>ไม่มี VAT</t>
        </is>
      </c>
      <c r="J3881" s="6" t="n"/>
      <c r="K3881" s="6" t="n"/>
      <c r="L3881" s="6" t="n"/>
    </row>
    <row r="3882">
      <c r="A3882" s="8" t="n"/>
      <c r="B3882" s="30" t="inlineStr">
        <is>
          <t>**พ่นกันสนิมพื้นในกระบะ ใช้ประมาณ2-3ลิตร</t>
        </is>
      </c>
      <c r="E3882" s="8" t="n"/>
      <c r="F3882" s="10" t="n"/>
      <c r="G3882" s="9" t="n"/>
      <c r="H3882" s="10" t="n"/>
      <c r="I3882" s="161" t="n"/>
      <c r="J3882" s="8" t="n"/>
      <c r="K3882" s="6" t="n"/>
      <c r="L3882" s="6" t="n"/>
    </row>
    <row r="3883">
      <c r="A3883" s="8" t="n"/>
      <c r="B3883" s="30" t="inlineStr">
        <is>
          <t>**พ่นกันสนิมคัทซีและใต้ท้อง ใช้ประมาณ 6ลิตร (แบบไม่แยกคัทซี)</t>
        </is>
      </c>
      <c r="E3883" s="8" t="n"/>
      <c r="F3883" s="10" t="n"/>
      <c r="G3883" s="9" t="n"/>
      <c r="H3883" s="10" t="n"/>
      <c r="I3883" s="161" t="n"/>
      <c r="J3883" s="8" t="n"/>
      <c r="K3883" s="6" t="n"/>
      <c r="L3883" s="6" t="n"/>
    </row>
    <row r="3884">
      <c r="A3884" s="8" t="n"/>
      <c r="B3884" s="6" t="inlineStr">
        <is>
          <t>น้ำยาป้องกันสนิม ออโต้โค้ท/ทัฟโค้ท (สีดำ)</t>
        </is>
      </c>
      <c r="C3884" s="8" t="inlineStr">
        <is>
          <t>30ลิตร</t>
        </is>
      </c>
      <c r="D3884" s="9" t="n">
        <v>220</v>
      </c>
      <c r="E3884" s="8" t="n">
        <v>100</v>
      </c>
      <c r="F3884" s="9" t="n">
        <v>6500</v>
      </c>
      <c r="G3884" s="10" t="inlineStr">
        <is>
          <t>ไทยออโต้โค้ท</t>
        </is>
      </c>
      <c r="H3884" s="161" t="n">
        <v>24114</v>
      </c>
      <c r="I3884" s="8" t="inlineStr">
        <is>
          <t>ไม่มี VAT</t>
        </is>
      </c>
      <c r="J3884" s="6" t="n"/>
      <c r="K3884" s="6" t="n"/>
      <c r="L3884" s="6" t="n"/>
    </row>
    <row r="3885">
      <c r="A3885" s="8" t="n"/>
      <c r="B3885" s="6" t="inlineStr">
        <is>
          <t>น้ำยาป้องกันสนิม ออโต้โค้ท/ทัฟโค้ท (สีดำ)</t>
        </is>
      </c>
      <c r="C3885" s="8" t="inlineStr">
        <is>
          <t>30ลิตร</t>
        </is>
      </c>
      <c r="D3885" s="9" t="n">
        <v>220</v>
      </c>
      <c r="E3885" s="8" t="n">
        <v>100</v>
      </c>
      <c r="F3885" s="9" t="n">
        <v>6500</v>
      </c>
      <c r="G3885" s="10" t="inlineStr">
        <is>
          <t>ไทยออโต้โค้ท</t>
        </is>
      </c>
      <c r="H3885" s="161" t="n">
        <v>24193</v>
      </c>
      <c r="I3885" s="8" t="inlineStr">
        <is>
          <t>ไม่มี VAT</t>
        </is>
      </c>
      <c r="J3885" s="6" t="n"/>
      <c r="K3885" s="6" t="n"/>
      <c r="L3885" s="6" t="n"/>
    </row>
    <row r="3886">
      <c r="A3886" s="8" t="n"/>
      <c r="B3886" s="6" t="inlineStr">
        <is>
          <t>น้ำยาป้องกันสนิม ออโต้โค้ท/ทัฟโค้ท (สีดำ)</t>
        </is>
      </c>
      <c r="C3886" s="8" t="inlineStr">
        <is>
          <t>30ลิตร</t>
        </is>
      </c>
      <c r="D3886" s="9" t="n">
        <v>220</v>
      </c>
      <c r="E3886" s="8" t="n">
        <v>100</v>
      </c>
      <c r="F3886" s="9" t="n">
        <v>6500</v>
      </c>
      <c r="G3886" s="10" t="inlineStr">
        <is>
          <t>ไทยออโต้โค้ท</t>
        </is>
      </c>
      <c r="H3886" s="161" t="n">
        <v>24677</v>
      </c>
      <c r="I3886" s="8" t="inlineStr">
        <is>
          <t>ไม่มี VAT</t>
        </is>
      </c>
      <c r="J3886" s="6" t="n"/>
      <c r="K3886" s="6" t="n"/>
      <c r="L3886" s="6" t="n"/>
    </row>
    <row r="3887">
      <c r="A3887" s="6" t="n"/>
      <c r="B3887" s="6" t="inlineStr">
        <is>
          <t>น้ำยาป้องกันสนิม ออโต้โค้ท/ทัฟโค้ท (25ลิตร)</t>
        </is>
      </c>
      <c r="C3887" s="8" t="inlineStr">
        <is>
          <t>1ถัง</t>
        </is>
      </c>
      <c r="H3887" s="9" t="n">
        <v>6500</v>
      </c>
      <c r="I3887" s="10" t="inlineStr">
        <is>
          <t xml:space="preserve">หจก. ไทยออโต้โคท </t>
        </is>
      </c>
      <c r="J3887" s="161" t="n">
        <v>24455</v>
      </c>
      <c r="L3887" s="18" t="inlineStr">
        <is>
          <t>ลิตรละ 260 บาท</t>
        </is>
      </c>
    </row>
    <row r="3888">
      <c r="B3888" s="6" t="inlineStr">
        <is>
          <t>น้ำยาป้องกันสนิม ออโต้โค้ท/ทัฟโค้ท (25ลิตร)</t>
        </is>
      </c>
      <c r="C3888" s="8" t="inlineStr">
        <is>
          <t>1ถัง</t>
        </is>
      </c>
      <c r="H3888" s="9" t="n">
        <v>6500</v>
      </c>
      <c r="I3888" s="10" t="inlineStr">
        <is>
          <t xml:space="preserve">หจก. ไทยออโต้โคท </t>
        </is>
      </c>
      <c r="J3888" s="161" t="n">
        <v>25013</v>
      </c>
      <c r="L3888" s="18" t="inlineStr">
        <is>
          <t>ลิตรละ 260 บาท</t>
        </is>
      </c>
    </row>
    <row r="3889" customFormat="1" s="42">
      <c r="A3889" s="45" t="n"/>
      <c r="B3889" s="42" t="inlineStr">
        <is>
          <t xml:space="preserve"> ** ข้อมูลการพ่นสีน้ำยาทัฟโค้ด</t>
        </is>
      </c>
      <c r="C3889" s="45" t="n"/>
      <c r="D3889" s="16" t="n"/>
      <c r="E3889" s="16" t="n"/>
      <c r="F3889" s="45" t="n"/>
      <c r="G3889" s="50" t="n"/>
      <c r="H3889" s="16" t="n"/>
      <c r="I3889" s="50" t="n"/>
      <c r="J3889" s="166" t="n"/>
      <c r="K3889" s="45" t="n"/>
      <c r="L3889" s="45" t="n"/>
    </row>
    <row r="3890" customFormat="1" s="42">
      <c r="A3890" s="45" t="n"/>
      <c r="B3890" s="42" t="inlineStr">
        <is>
          <t xml:space="preserve">       1. พ่นพื้นในกระบะ ใช้ประมาณ 2-3ลิตร = 780 บาท</t>
        </is>
      </c>
      <c r="C3890" s="43" t="n"/>
      <c r="D3890" s="56" t="inlineStr">
        <is>
          <t>แจ้งเก็บลูกค้า = 4,500 บาท</t>
        </is>
      </c>
      <c r="E3890" s="16" t="n"/>
      <c r="F3890" s="45" t="n"/>
      <c r="G3890" s="50" t="n"/>
      <c r="H3890" s="16" t="n"/>
      <c r="I3890" s="50" t="n"/>
      <c r="J3890" s="166" t="n"/>
      <c r="K3890" s="45" t="n"/>
      <c r="L3890" s="45" t="n"/>
    </row>
    <row r="3891" customFormat="1" s="42">
      <c r="A3891" s="45" t="n"/>
      <c r="B3891" s="42" t="inlineStr">
        <is>
          <t xml:space="preserve">       2. พ่นคัทซีทั้งเส้น ใช้ประมาณ 3ลิตร = 780 บาท</t>
        </is>
      </c>
      <c r="C3891" s="45" t="n"/>
      <c r="D3891" s="56" t="inlineStr">
        <is>
          <t>แจ้งเก็บลูกค้า = 4,500 บาท (ไม่รวมค่ารื้อถอดอุปกรณ์)</t>
        </is>
      </c>
      <c r="E3891" s="16" t="n"/>
      <c r="F3891" s="45" t="n"/>
      <c r="G3891" s="50" t="n"/>
      <c r="H3891" s="16" t="n"/>
      <c r="I3891" s="50" t="n"/>
      <c r="J3891" s="166" t="n"/>
      <c r="K3891" s="45" t="n"/>
      <c r="L3891" s="45" t="n"/>
    </row>
    <row r="3892" customFormat="1" s="42">
      <c r="A3892" s="45" t="n"/>
      <c r="B3892" s="42" t="inlineStr">
        <is>
          <t xml:space="preserve">       3. พ่นใต้ท้องรถทั้งคัน ใช้ประมาณ 6ลิตร = 1,560 บาท (แบบไม่แยกคัทซี)</t>
        </is>
      </c>
      <c r="C3892" s="45" t="n"/>
      <c r="D3892" s="56" t="inlineStr">
        <is>
          <t>แจ้งเก็บลูกค้า = 6,500 บาท (ไม่รวมค่ารื้อถอดอุปกรณ์)</t>
        </is>
      </c>
      <c r="E3892" s="16" t="n"/>
      <c r="F3892" s="45" t="n"/>
      <c r="G3892" s="50" t="n"/>
      <c r="H3892" s="16" t="n"/>
      <c r="I3892" s="50" t="n"/>
      <c r="J3892" s="166" t="n"/>
      <c r="K3892" s="45" t="n"/>
      <c r="L3892" s="45" t="n"/>
    </row>
    <row r="3893" customFormat="1" s="42">
      <c r="A3893" s="45" t="n"/>
      <c r="B3893" s="42" t="inlineStr">
        <is>
          <t>คุณสมบัติ หลังพ่นแล้วสภาพพื้นผิวจะหยาบ ไม่แห้ง เกาะทนดี ไม่หลุดร่อน</t>
        </is>
      </c>
      <c r="C3893" s="45" t="n"/>
      <c r="D3893" s="16" t="n"/>
      <c r="E3893" s="16" t="n"/>
      <c r="F3893" s="45" t="n"/>
      <c r="G3893" s="50" t="n"/>
      <c r="H3893" s="16" t="n"/>
      <c r="I3893" s="50" t="n"/>
      <c r="J3893" s="166" t="n"/>
      <c r="K3893" s="45" t="n"/>
      <c r="L3893" s="45" t="n"/>
    </row>
    <row r="3894" customFormat="1" s="42">
      <c r="A3894" s="45" t="n"/>
      <c r="B3894" s="42" t="inlineStr">
        <is>
          <t xml:space="preserve">  ** การพ่นคัทซี ส่วนใหญ่จะใช้สีดำธรรมดาในการพ่นเกือบทั้งหมด</t>
        </is>
      </c>
      <c r="C3894" s="45" t="n"/>
      <c r="D3894" s="16" t="n"/>
      <c r="E3894" s="16" t="n"/>
      <c r="F3894" s="45" t="n"/>
      <c r="G3894" s="50" t="n"/>
      <c r="H3894" s="16" t="n"/>
      <c r="I3894" s="50" t="n"/>
      <c r="J3894" s="166" t="n"/>
      <c r="K3894" s="45" t="n"/>
      <c r="L3894" s="45" t="n"/>
    </row>
    <row r="3895" customFormat="1" s="42">
      <c r="A3895" s="45" t="n"/>
      <c r="B3895" s="42" t="inlineStr">
        <is>
          <t xml:space="preserve">           1. สีดำ พ่นแล้วจะดูใหม่ สภาพเหมือนคัทซีที่ออกมาจากโรงงาน</t>
        </is>
      </c>
      <c r="C3895" s="45" t="n"/>
      <c r="D3895" s="16" t="n"/>
      <c r="E3895" s="16" t="n"/>
      <c r="F3895" s="45" t="n"/>
      <c r="G3895" s="50" t="n"/>
      <c r="H3895" s="16" t="n"/>
      <c r="I3895" s="50" t="n"/>
      <c r="J3895" s="166" t="n"/>
      <c r="K3895" s="45" t="n"/>
      <c r="L3895" s="45" t="n"/>
    </row>
    <row r="3896" customFormat="1" s="42">
      <c r="A3896" s="45" t="n"/>
      <c r="B3896" s="42" t="inlineStr">
        <is>
          <t xml:space="preserve">           2. ทัฟโค้ด พ่นแล้วจะมีความหยาบเป็นเม็ดๆ ไม่แห้ง</t>
        </is>
      </c>
      <c r="C3896" s="45" t="n"/>
      <c r="D3896" s="16" t="n"/>
      <c r="E3896" s="16" t="n"/>
      <c r="F3896" s="45" t="n"/>
      <c r="G3896" s="50" t="n"/>
      <c r="H3896" s="16" t="n"/>
      <c r="I3896" s="50" t="n"/>
      <c r="J3896" s="166" t="n"/>
      <c r="K3896" s="45" t="n"/>
      <c r="L3896" s="45" t="n"/>
    </row>
    <row r="3897" customFormat="1" s="42">
      <c r="A3897" s="45" t="n"/>
      <c r="B3897" s="42" t="inlineStr">
        <is>
          <t xml:space="preserve">           3. โจตัน ราคาจะสูงกว่าทัฟโค้ด พ่นแล้ว จะแห้ง และมีโอกาสร่อน</t>
        </is>
      </c>
      <c r="C3897" s="45" t="n"/>
      <c r="D3897" s="16" t="n"/>
      <c r="E3897" s="16" t="n"/>
      <c r="F3897" s="45" t="n"/>
      <c r="G3897" s="50" t="n"/>
      <c r="H3897" s="16" t="n"/>
      <c r="I3897" s="50" t="n"/>
      <c r="J3897" s="166" t="n"/>
      <c r="K3897" s="45" t="n"/>
      <c r="L3897" s="45" t="n"/>
    </row>
    <row r="3898" customFormat="1" s="42">
      <c r="A3898" s="45" t="n"/>
      <c r="B3898" s="42" t="inlineStr">
        <is>
          <t xml:space="preserve">           4. ฟิ้นโค้ด พ่นแล้วจะมีความแหนอะ ไม่แห้ง</t>
        </is>
      </c>
      <c r="C3898" s="45" t="n"/>
      <c r="D3898" s="16" t="n"/>
      <c r="E3898" s="16" t="n"/>
      <c r="F3898" s="45" t="n"/>
      <c r="G3898" s="50" t="n"/>
      <c r="H3898" s="16" t="n"/>
      <c r="I3898" s="50" t="n"/>
      <c r="J3898" s="166" t="n"/>
      <c r="K3898" s="45" t="n"/>
      <c r="L3898" s="45" t="n"/>
    </row>
    <row r="3900">
      <c r="A3900" s="66" t="inlineStr">
        <is>
          <t>น้ำยาป้องกันสนิม ทัฟโค้ด</t>
        </is>
      </c>
      <c r="B3900" s="6" t="inlineStr">
        <is>
          <t>สเปย์น้ำยาป้องกันสนิม ออโต้โค้ท/ทัฟโค้ท (สีดำ)</t>
        </is>
      </c>
      <c r="C3900" s="8" t="inlineStr">
        <is>
          <t>12 กป.</t>
        </is>
      </c>
      <c r="D3900" s="9" t="n">
        <v>250</v>
      </c>
      <c r="E3900" s="8" t="n"/>
      <c r="F3900" s="9" t="n">
        <v>3000</v>
      </c>
      <c r="G3900" s="10" t="inlineStr">
        <is>
          <t>ไทยออโต้โค้ท</t>
        </is>
      </c>
      <c r="H3900" s="161" t="n">
        <v>22825</v>
      </c>
      <c r="I3900" s="8" t="inlineStr">
        <is>
          <t>ไม่มี VAT</t>
        </is>
      </c>
      <c r="J3900" s="6" t="n"/>
      <c r="K3900" s="6" t="n"/>
      <c r="L3900" s="6" t="n"/>
    </row>
    <row r="3901">
      <c r="A3901" s="8" t="inlineStr">
        <is>
          <t>คิด กป. ละ 300บาท</t>
        </is>
      </c>
      <c r="B3901" s="6" t="inlineStr">
        <is>
          <t>สเปย์น้ำยาป้องกันสนิม ออโต้โค้ท/ทัฟโค้ท (สีดำ)</t>
        </is>
      </c>
      <c r="C3901" s="8" t="inlineStr">
        <is>
          <t>2กป.</t>
        </is>
      </c>
      <c r="D3901" s="9" t="n">
        <v>270</v>
      </c>
      <c r="E3901" s="8" t="n"/>
      <c r="F3901" s="9" t="n">
        <v>540</v>
      </c>
      <c r="G3901" s="10" t="inlineStr">
        <is>
          <t>ไทยออโต้โค้ท</t>
        </is>
      </c>
      <c r="H3901" s="161" t="n">
        <v>23066</v>
      </c>
      <c r="I3901" s="8" t="inlineStr">
        <is>
          <t>ไม่มี VAT</t>
        </is>
      </c>
      <c r="J3901" s="6" t="n"/>
      <c r="K3901" s="6" t="n"/>
      <c r="L3901" s="6" t="n"/>
    </row>
    <row r="3902">
      <c r="A3902" s="8" t="n"/>
      <c r="B3902" s="6" t="inlineStr">
        <is>
          <t>สเปย์ทัฟโค้ด ขนาด 600 มล. ต่อ1กป</t>
        </is>
      </c>
      <c r="C3902" s="8" t="n">
        <v>12</v>
      </c>
      <c r="D3902" s="9" t="n">
        <v>108</v>
      </c>
      <c r="E3902" s="8" t="n">
        <v>84</v>
      </c>
      <c r="F3902" s="10">
        <f>SUM(D3902*C3902+E3902)</f>
        <v/>
      </c>
      <c r="G3902" s="9" t="inlineStr">
        <is>
          <t xml:space="preserve">SHOPEE </t>
        </is>
      </c>
      <c r="H3902" s="10" t="n">
        <v>24568</v>
      </c>
      <c r="I3902" s="161" t="inlineStr">
        <is>
          <t>ราคารวมค่าขนส่งแล้ว</t>
        </is>
      </c>
      <c r="J3902" s="8" t="n"/>
      <c r="K3902" s="6" t="n"/>
      <c r="L3902" s="6" t="n"/>
    </row>
    <row r="3903">
      <c r="A3903" s="6" t="n"/>
      <c r="B3903" s="6" t="inlineStr">
        <is>
          <t>สเปย์ทัฟโค้ด ยี่ห้อ BOSNY</t>
        </is>
      </c>
      <c r="C3903" s="8" t="n">
        <v>12</v>
      </c>
      <c r="D3903" s="9" t="n">
        <v>115</v>
      </c>
      <c r="H3903" s="9">
        <f>SUM(D3903*C3903)</f>
        <v/>
      </c>
      <c r="I3903" s="10" t="inlineStr">
        <is>
          <t>Shoppee</t>
        </is>
      </c>
      <c r="J3903" s="161" t="n">
        <v>24568</v>
      </c>
    </row>
    <row r="3904">
      <c r="B3904" s="6" t="inlineStr">
        <is>
          <t>สเปย์ทัฟโค้ด ยี่ห้อ BOSNY</t>
        </is>
      </c>
      <c r="C3904" s="8" t="n">
        <v>10</v>
      </c>
      <c r="D3904" s="9" t="n">
        <v>82.5</v>
      </c>
      <c r="H3904" s="9">
        <f>SUM(D3904*C3904)</f>
        <v/>
      </c>
      <c r="I3904" s="10" t="inlineStr">
        <is>
          <t>Shoppee</t>
        </is>
      </c>
      <c r="J3904" s="161" t="n">
        <v>24961</v>
      </c>
    </row>
    <row r="3905">
      <c r="B3905" s="6" t="inlineStr">
        <is>
          <t>สเปย์ทัฟโค้ด ยี่ห้อ BOSNY</t>
        </is>
      </c>
      <c r="C3905" s="8" t="n">
        <v>24</v>
      </c>
      <c r="D3905" s="9" t="n">
        <v>68</v>
      </c>
      <c r="H3905" s="9">
        <f>SUM(D3905*C3905)</f>
        <v/>
      </c>
      <c r="I3905" s="10" t="inlineStr">
        <is>
          <t>Shoppee</t>
        </is>
      </c>
      <c r="J3905" s="161" t="n">
        <v>25215</v>
      </c>
    </row>
    <row r="3907">
      <c r="A3907" s="66" t="inlineStr">
        <is>
          <t>กระป๋องเปล่าใส่สีผสม</t>
        </is>
      </c>
      <c r="B3907" s="6" t="inlineStr">
        <is>
          <t>กระป๋องเปล่าใส่สีผสม</t>
        </is>
      </c>
      <c r="C3907" s="8" t="n">
        <v>20</v>
      </c>
      <c r="D3907" s="9" t="n">
        <v>29</v>
      </c>
      <c r="E3907" s="9">
        <f>SUM(D3907*C3907)</f>
        <v/>
      </c>
      <c r="F3907" s="8" t="n">
        <v>0.07000000000000001</v>
      </c>
      <c r="G3907" s="10" t="inlineStr">
        <is>
          <t>รวม VAT =</t>
        </is>
      </c>
      <c r="H3907" s="9">
        <f>SUM(E3907+N3907)</f>
        <v/>
      </c>
      <c r="I3907" s="10" t="inlineStr">
        <is>
          <t>บจก. วีที คัลเลอร์ โปร</t>
        </is>
      </c>
      <c r="J3907" s="161" t="n">
        <v>25042</v>
      </c>
      <c r="K3907" s="8" t="inlineStr">
        <is>
          <t>IV6807180</t>
        </is>
      </c>
      <c r="L3907" s="8" t="inlineStr">
        <is>
          <t>ราคาที่ระบุ ยังไม่รวม VAT7%</t>
        </is>
      </c>
      <c r="N3907" s="6">
        <f>SUM(E3907*F3907)</f>
        <v/>
      </c>
    </row>
    <row r="3908">
      <c r="A3908" s="8" t="n"/>
      <c r="B3908" s="6" t="inlineStr">
        <is>
          <t>กระป๋องเปล่าใส่สีผสม</t>
        </is>
      </c>
      <c r="C3908" s="8" t="n">
        <v>20</v>
      </c>
      <c r="D3908" s="9" t="n">
        <v>29</v>
      </c>
      <c r="E3908" s="9">
        <f>SUM(D3908*C3908)</f>
        <v/>
      </c>
      <c r="F3908" s="8" t="n">
        <v>0.07000000000000001</v>
      </c>
      <c r="G3908" s="10" t="inlineStr">
        <is>
          <t>รวม VAT =</t>
        </is>
      </c>
      <c r="H3908" s="9">
        <f>SUM(E3908+N3908)</f>
        <v/>
      </c>
      <c r="I3908" s="10" t="inlineStr">
        <is>
          <t>บจก. วีที คัลเลอร์ โปร</t>
        </is>
      </c>
      <c r="J3908" s="161" t="n">
        <v>25083</v>
      </c>
      <c r="K3908" s="8" t="inlineStr">
        <is>
          <t>IV6809023</t>
        </is>
      </c>
      <c r="L3908" s="8" t="inlineStr">
        <is>
          <t>ราคาที่ระบุ ยังไม่รวม VAT7%</t>
        </is>
      </c>
      <c r="N3908" s="6">
        <f>SUM(E3908*F3908)</f>
        <v/>
      </c>
    </row>
    <row r="3910">
      <c r="A3910" s="66" t="inlineStr">
        <is>
          <t>กาน่า</t>
        </is>
      </c>
    </row>
    <row r="3911">
      <c r="A3911" s="67" t="inlineStr">
        <is>
          <t>วาทีมีขาย กป.ละ 60บาท</t>
        </is>
      </c>
    </row>
  </sheetData>
  <pageMargins left="0.3937007874015748" right="0.3937007874015748" top="0.3937007874015748" bottom="0.3937007874015748" header="0.3149606299212598" footer="0.3149606299212598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9"/>
  <sheetViews>
    <sheetView workbookViewId="0">
      <pane ySplit="1" topLeftCell="A2" activePane="bottomLeft" state="frozen"/>
      <selection pane="bottomLeft" activeCell="M290" sqref="M290"/>
    </sheetView>
  </sheetViews>
  <sheetFormatPr baseColWidth="8" defaultColWidth="8.59765625" defaultRowHeight="21.6" customHeight="1"/>
  <cols>
    <col width="10.796875" customWidth="1" style="8" min="1" max="1"/>
    <col width="35.19921875" customWidth="1" style="6" min="2" max="2"/>
    <col width="8.19921875" customWidth="1" style="8" min="3" max="3"/>
    <col width="8.59765625" customWidth="1" style="9" min="4" max="4"/>
    <col width="6.796875" customWidth="1" style="8" min="5" max="5"/>
    <col width="11.19921875" customWidth="1" style="9" min="6" max="6"/>
    <col width="12.5" customWidth="1" style="10" min="7" max="7"/>
    <col width="8.59765625" customWidth="1" style="161" min="8" max="9"/>
    <col width="22.69921875" customWidth="1" style="8" min="10" max="10"/>
    <col width="8.59765625" customWidth="1" style="1" min="11" max="16384"/>
  </cols>
  <sheetData>
    <row r="1" ht="21.6" customFormat="1" customHeight="1" s="2">
      <c r="A1" s="162" t="inlineStr">
        <is>
          <t>ประเภท</t>
        </is>
      </c>
      <c r="B1" s="162" t="inlineStr">
        <is>
          <t>รายการ</t>
        </is>
      </c>
      <c r="C1" s="162" t="inlineStr">
        <is>
          <t>จำนวน/ตัว</t>
        </is>
      </c>
      <c r="D1" s="163" t="inlineStr">
        <is>
          <t>ราคา/ชิ้น</t>
        </is>
      </c>
      <c r="E1" s="162" t="inlineStr">
        <is>
          <t>ส่วนลด%</t>
        </is>
      </c>
      <c r="F1" s="163" t="inlineStr">
        <is>
          <t>รวมจำนวนเงิน</t>
        </is>
      </c>
      <c r="G1" s="163" t="inlineStr">
        <is>
          <t>ชื่อร้าน</t>
        </is>
      </c>
      <c r="H1" s="164" t="inlineStr">
        <is>
          <t>ว/ด/ป</t>
        </is>
      </c>
      <c r="I1" s="164" t="inlineStr">
        <is>
          <t>บิลเลขที่</t>
        </is>
      </c>
      <c r="J1" s="162" t="inlineStr">
        <is>
          <t>หมายเหตุ</t>
        </is>
      </c>
      <c r="K1" s="162" t="inlineStr">
        <is>
          <t>(ราคาที่ระบุคือ ราคาก่อน VAT)</t>
        </is>
      </c>
    </row>
    <row r="2" ht="21.6" customHeight="1">
      <c r="A2" s="11" t="inlineStr">
        <is>
          <t>กิ๊บยึด</t>
        </is>
      </c>
      <c r="B2" s="6" t="inlineStr">
        <is>
          <t>กิ๊บกันชน D-MAX</t>
        </is>
      </c>
      <c r="C2" s="8" t="inlineStr">
        <is>
          <t>200ตัว</t>
        </is>
      </c>
      <c r="D2" s="9" t="n">
        <v>3.5</v>
      </c>
      <c r="F2" s="9" t="n">
        <v>700</v>
      </c>
      <c r="G2" s="10" t="inlineStr">
        <is>
          <t>ต้นคิด</t>
        </is>
      </c>
      <c r="H2" s="161" t="n">
        <v>22406</v>
      </c>
    </row>
    <row r="3" ht="21.6" customHeight="1">
      <c r="B3" s="6" t="inlineStr">
        <is>
          <t>กิ๊บกันชน D-MAX</t>
        </is>
      </c>
      <c r="C3" s="8" t="inlineStr">
        <is>
          <t>100ตัว</t>
        </is>
      </c>
      <c r="D3" s="9" t="n">
        <v>3.5</v>
      </c>
      <c r="F3" s="9" t="n">
        <v>350</v>
      </c>
      <c r="G3" s="10" t="inlineStr">
        <is>
          <t>ต้นคิด</t>
        </is>
      </c>
      <c r="H3" s="161" t="n">
        <v>22436</v>
      </c>
    </row>
    <row r="4" ht="21.6" customHeight="1">
      <c r="B4" s="6" t="inlineStr">
        <is>
          <t>กิ๊บกันชน D-MAX</t>
        </is>
      </c>
      <c r="C4" s="8" t="inlineStr">
        <is>
          <t>100ตัว</t>
        </is>
      </c>
      <c r="D4" s="9" t="n">
        <v>3.5</v>
      </c>
      <c r="F4" s="9" t="n">
        <v>350</v>
      </c>
      <c r="G4" s="10" t="inlineStr">
        <is>
          <t>ต้นคิด</t>
        </is>
      </c>
      <c r="H4" s="161" t="n">
        <v>22464</v>
      </c>
    </row>
    <row r="5" ht="21.6" customHeight="1">
      <c r="B5" s="6" t="inlineStr">
        <is>
          <t>กิ๊บกันชน D-MAX</t>
        </is>
      </c>
      <c r="C5" s="8" t="inlineStr">
        <is>
          <t>100ตัว</t>
        </is>
      </c>
      <c r="D5" s="9" t="n">
        <v>3.5</v>
      </c>
      <c r="F5" s="9" t="n">
        <v>350</v>
      </c>
      <c r="G5" s="10" t="inlineStr">
        <is>
          <t>ต้นคิด</t>
        </is>
      </c>
      <c r="H5" s="161" t="n">
        <v>22772</v>
      </c>
    </row>
    <row r="6" ht="21.6" customHeight="1">
      <c r="B6" s="6" t="inlineStr">
        <is>
          <t>กิ๊บกันชน D-MAX</t>
        </is>
      </c>
      <c r="C6" s="8" t="inlineStr">
        <is>
          <t>100ตัว</t>
        </is>
      </c>
      <c r="D6" s="9" t="n">
        <v>3.5</v>
      </c>
      <c r="F6" s="9" t="n">
        <v>350</v>
      </c>
      <c r="G6" s="10" t="inlineStr">
        <is>
          <t>ต้นคิด</t>
        </is>
      </c>
      <c r="H6" s="161" t="n">
        <v>22837</v>
      </c>
    </row>
    <row r="7" ht="21.6" customHeight="1">
      <c r="B7" s="6" t="inlineStr">
        <is>
          <t>กิ๊บกันชน D-MAX</t>
        </is>
      </c>
      <c r="C7" s="8" t="inlineStr">
        <is>
          <t>100ตัว</t>
        </is>
      </c>
      <c r="D7" s="9" t="n">
        <v>3.5</v>
      </c>
      <c r="F7" s="9" t="n">
        <v>350</v>
      </c>
      <c r="G7" s="10" t="inlineStr">
        <is>
          <t>ต้นคิด</t>
        </is>
      </c>
      <c r="H7" s="161" t="n">
        <v>22871</v>
      </c>
    </row>
    <row r="8" ht="21.6" customHeight="1">
      <c r="B8" s="6" t="inlineStr">
        <is>
          <t>กิ๊บกันชน D-MAX</t>
        </is>
      </c>
      <c r="C8" s="8" t="inlineStr">
        <is>
          <t>200ตัว</t>
        </is>
      </c>
      <c r="D8" s="9" t="n">
        <v>3.5</v>
      </c>
      <c r="F8" s="9" t="n">
        <v>700</v>
      </c>
      <c r="G8" s="10" t="inlineStr">
        <is>
          <t>ต้นคิด</t>
        </is>
      </c>
      <c r="H8" s="161" t="n">
        <v>23053</v>
      </c>
    </row>
    <row r="10" ht="21.6" customHeight="1">
      <c r="B10" s="6" t="inlineStr">
        <is>
          <t>กิ๊บกันชน ISUZU (26)</t>
        </is>
      </c>
      <c r="C10" s="8" t="inlineStr">
        <is>
          <t>100ตัว</t>
        </is>
      </c>
      <c r="D10" s="9" t="n">
        <v>1</v>
      </c>
      <c r="F10" s="9" t="n">
        <v>100</v>
      </c>
      <c r="G10" s="10" t="inlineStr">
        <is>
          <t>ทาเลนท์</t>
        </is>
      </c>
      <c r="H10" s="161" t="n">
        <v>23131</v>
      </c>
    </row>
    <row r="11" ht="21.6" customHeight="1">
      <c r="B11" s="6" t="inlineStr">
        <is>
          <t>กิ๊บกันชน ISUZU (26)</t>
        </is>
      </c>
      <c r="C11" s="8" t="inlineStr">
        <is>
          <t>100ตัว</t>
        </is>
      </c>
      <c r="D11" s="9" t="n">
        <v>3.25</v>
      </c>
      <c r="F11" s="9" t="n">
        <v>325</v>
      </c>
      <c r="G11" s="10" t="inlineStr">
        <is>
          <t>ทาเลนท์</t>
        </is>
      </c>
      <c r="H11" s="161" t="n">
        <v>23205</v>
      </c>
    </row>
    <row r="12" ht="21.6" customHeight="1">
      <c r="B12" s="6" t="inlineStr">
        <is>
          <t>กิ๊บกันชน ISUZU (26)</t>
        </is>
      </c>
      <c r="C12" s="8" t="inlineStr">
        <is>
          <t>100ตัว</t>
        </is>
      </c>
      <c r="D12" s="9" t="n">
        <v>3.25</v>
      </c>
      <c r="F12" s="9" t="n">
        <v>325</v>
      </c>
      <c r="G12" s="10" t="inlineStr">
        <is>
          <t>ทาเลนท์</t>
        </is>
      </c>
      <c r="H12" s="161" t="n">
        <v>23233</v>
      </c>
    </row>
    <row r="13" ht="21.6" customHeight="1">
      <c r="B13" s="6" t="inlineStr">
        <is>
          <t>กิ๊บกันชน ISUZU (26)</t>
        </is>
      </c>
      <c r="C13" s="8" t="inlineStr">
        <is>
          <t>100ตัว</t>
        </is>
      </c>
      <c r="D13" s="9" t="n">
        <v>3.25</v>
      </c>
      <c r="F13" s="9" t="n">
        <v>325</v>
      </c>
      <c r="G13" s="10" t="inlineStr">
        <is>
          <t>ทาเลนท์</t>
        </is>
      </c>
      <c r="H13" s="161" t="n">
        <v>23244</v>
      </c>
    </row>
    <row r="14" ht="21.6" customHeight="1">
      <c r="B14" s="6" t="inlineStr">
        <is>
          <t>กิ๊บกันชน ISUZU (26)</t>
        </is>
      </c>
      <c r="C14" s="8" t="inlineStr">
        <is>
          <t>300ตัว</t>
        </is>
      </c>
      <c r="D14" s="9" t="n">
        <v>3.25</v>
      </c>
      <c r="F14" s="9" t="n">
        <v>975</v>
      </c>
      <c r="G14" s="10" t="inlineStr">
        <is>
          <t>ทาเลนท์</t>
        </is>
      </c>
      <c r="H14" s="161" t="n">
        <v>23357</v>
      </c>
    </row>
    <row r="15" ht="21.6" customHeight="1">
      <c r="B15" s="6" t="inlineStr">
        <is>
          <t>กิ๊บกันชน ISUZU (26)</t>
        </is>
      </c>
      <c r="C15" s="8" t="inlineStr">
        <is>
          <t>100ตัว</t>
        </is>
      </c>
      <c r="D15" s="9" t="n">
        <v>3.25</v>
      </c>
      <c r="F15" s="9" t="n">
        <v>325</v>
      </c>
      <c r="G15" s="10" t="inlineStr">
        <is>
          <t>ทาเลนท์</t>
        </is>
      </c>
      <c r="H15" s="161" t="n">
        <v>23395</v>
      </c>
    </row>
    <row r="16" ht="21.6" customHeight="1">
      <c r="B16" s="6" t="inlineStr">
        <is>
          <t>กิ๊บกันชน ISUZU (26)</t>
        </is>
      </c>
      <c r="C16" s="8" t="inlineStr">
        <is>
          <t>500ตัว</t>
        </is>
      </c>
      <c r="D16" s="9" t="n">
        <v>1</v>
      </c>
      <c r="F16" s="9" t="n">
        <v>500</v>
      </c>
      <c r="G16" s="10" t="inlineStr">
        <is>
          <t>ทาเลนท์</t>
        </is>
      </c>
      <c r="H16" s="161" t="n">
        <v>23447</v>
      </c>
    </row>
    <row r="17" ht="21.6" customHeight="1">
      <c r="B17" s="6" t="inlineStr">
        <is>
          <t>กิ๊บกันชน ISUZU (26) -- แถมฟรี</t>
        </is>
      </c>
      <c r="C17" s="8" t="inlineStr">
        <is>
          <t>200ตัว</t>
        </is>
      </c>
      <c r="G17" s="10" t="inlineStr">
        <is>
          <t>ทาเลนท์</t>
        </is>
      </c>
      <c r="H17" s="161" t="n">
        <v>23545</v>
      </c>
    </row>
    <row r="18" ht="21.6" customHeight="1">
      <c r="B18" s="6" t="inlineStr">
        <is>
          <t>กิ๊บกันชน ISUZU (26)</t>
        </is>
      </c>
      <c r="C18" s="8" t="inlineStr">
        <is>
          <t>200ตัว</t>
        </is>
      </c>
      <c r="D18" s="9" t="n">
        <v>3.25</v>
      </c>
      <c r="F18" s="9" t="n">
        <v>650</v>
      </c>
      <c r="G18" s="10" t="inlineStr">
        <is>
          <t>ทาเลนท์</t>
        </is>
      </c>
      <c r="H18" s="161" t="n">
        <v>23635</v>
      </c>
      <c r="I18" s="161" t="inlineStr">
        <is>
          <t>IV6411764</t>
        </is>
      </c>
    </row>
    <row r="19" ht="21.6" customHeight="1">
      <c r="B19" s="6" t="inlineStr">
        <is>
          <t>กิ๊บกันชน ISUZU (26)</t>
        </is>
      </c>
      <c r="C19" s="8" t="inlineStr">
        <is>
          <t>500ตัว</t>
        </is>
      </c>
      <c r="D19" s="9" t="n">
        <v>3.25</v>
      </c>
      <c r="F19" s="9" t="n">
        <v>1625</v>
      </c>
      <c r="G19" s="10" t="inlineStr">
        <is>
          <t>ทาเลนท์</t>
        </is>
      </c>
      <c r="H19" s="161" t="n">
        <v>24022</v>
      </c>
      <c r="I19" s="161" t="inlineStr">
        <is>
          <t>IB3004260</t>
        </is>
      </c>
    </row>
    <row r="20" ht="21.6" customHeight="1">
      <c r="B20" s="6" t="inlineStr">
        <is>
          <t>กิ๊บกันชน ISUZU (26)</t>
        </is>
      </c>
      <c r="C20" s="8" t="inlineStr">
        <is>
          <t>200ตัว</t>
        </is>
      </c>
      <c r="D20" s="9" t="n">
        <v>3.25</v>
      </c>
      <c r="F20" s="9" t="n">
        <v>650</v>
      </c>
      <c r="G20" s="10" t="inlineStr">
        <is>
          <t>ทาเลนท์</t>
        </is>
      </c>
      <c r="H20" s="161" t="n">
        <v>24184</v>
      </c>
      <c r="I20" s="161" t="inlineStr">
        <is>
          <t>IB3008935</t>
        </is>
      </c>
    </row>
    <row r="21" ht="21.6" customHeight="1">
      <c r="B21" s="6" t="inlineStr">
        <is>
          <t>กิ๊บกันชน ISUZU (26)</t>
        </is>
      </c>
      <c r="C21" s="8" t="n">
        <v>400</v>
      </c>
      <c r="D21" s="9" t="n">
        <v>3.25</v>
      </c>
      <c r="F21" s="9">
        <f>SUM(D21*C21)</f>
        <v/>
      </c>
      <c r="G21" s="10" t="inlineStr">
        <is>
          <t>ทาเลนท์</t>
        </is>
      </c>
      <c r="H21" s="161" t="n">
        <v>24330</v>
      </c>
      <c r="I21" s="161" t="inlineStr">
        <is>
          <t>IV2217986</t>
        </is>
      </c>
    </row>
    <row r="22" ht="21.6" customHeight="1">
      <c r="B22" s="6" t="inlineStr">
        <is>
          <t>กิ๊บกันชน ISUZU (26) -- แถมฟรี</t>
        </is>
      </c>
      <c r="C22" s="8" t="n">
        <v>500</v>
      </c>
      <c r="G22" s="10" t="inlineStr">
        <is>
          <t>ทาเลนท์</t>
        </is>
      </c>
      <c r="H22" s="161" t="n">
        <v>24526</v>
      </c>
      <c r="I22" s="161" t="inlineStr">
        <is>
          <t>IV2229364</t>
        </is>
      </c>
    </row>
    <row r="23" ht="21.6" customHeight="1">
      <c r="B23" s="6" t="inlineStr">
        <is>
          <t>กิ๊บกันชน ISUZU (115)</t>
        </is>
      </c>
      <c r="C23" s="8" t="n">
        <v>400</v>
      </c>
      <c r="D23" s="9" t="n">
        <v>2</v>
      </c>
      <c r="F23" s="9">
        <f>SUM(D23*C23)</f>
        <v/>
      </c>
      <c r="G23" s="10" t="inlineStr">
        <is>
          <t>ร้าน 55 กิ๊บน๊อต</t>
        </is>
      </c>
      <c r="H23" s="161" t="n">
        <v>24876</v>
      </c>
    </row>
    <row r="24" ht="21.6" customHeight="1">
      <c r="B24" s="6" t="inlineStr">
        <is>
          <t>กิ๊บกันชน ISUZU (26)</t>
        </is>
      </c>
      <c r="C24" s="8" t="n">
        <v>400</v>
      </c>
      <c r="D24" s="9" t="n">
        <v>3.25</v>
      </c>
      <c r="F24" s="9">
        <f>SUM(D24*C24)</f>
        <v/>
      </c>
      <c r="G24" s="10" t="inlineStr">
        <is>
          <t>ทาเลนท์</t>
        </is>
      </c>
      <c r="H24" s="161" t="n">
        <v>25008</v>
      </c>
      <c r="I24" s="161" t="inlineStr">
        <is>
          <t>IV6809791</t>
        </is>
      </c>
    </row>
    <row r="26" ht="21.6" customHeight="1">
      <c r="B26" s="6" t="inlineStr">
        <is>
          <t>กิ๊บกันชน Nissan (27)</t>
        </is>
      </c>
      <c r="C26" s="8" t="inlineStr">
        <is>
          <t>100ตัว</t>
        </is>
      </c>
      <c r="D26" s="9" t="n">
        <v>3.25</v>
      </c>
      <c r="F26" s="9" t="n">
        <v>325</v>
      </c>
      <c r="G26" s="10" t="inlineStr">
        <is>
          <t>ทาเลนท์</t>
        </is>
      </c>
      <c r="H26" s="161" t="n">
        <v>23205</v>
      </c>
    </row>
    <row r="27" ht="21.6" customHeight="1">
      <c r="B27" s="6" t="inlineStr">
        <is>
          <t>กิ๊บกันชน Nissan (27)</t>
        </is>
      </c>
      <c r="C27" s="8" t="inlineStr">
        <is>
          <t>100ตัว</t>
        </is>
      </c>
      <c r="D27" s="9" t="n">
        <v>3.25</v>
      </c>
      <c r="F27" s="9" t="n">
        <v>325</v>
      </c>
      <c r="G27" s="10" t="inlineStr">
        <is>
          <t>ทาเลนท์</t>
        </is>
      </c>
      <c r="H27" s="161" t="n">
        <v>23233</v>
      </c>
    </row>
    <row r="28" ht="21.6" customHeight="1">
      <c r="B28" s="6" t="inlineStr">
        <is>
          <t>กิ๊บกันชน Nissan (27)</t>
        </is>
      </c>
      <c r="C28" s="8" t="inlineStr">
        <is>
          <t>100ตัว</t>
        </is>
      </c>
      <c r="D28" s="9" t="n">
        <v>3.25</v>
      </c>
      <c r="F28" s="9" t="n">
        <v>325</v>
      </c>
      <c r="G28" s="10" t="inlineStr">
        <is>
          <t>ทาเลนท์</t>
        </is>
      </c>
      <c r="H28" s="161" t="n">
        <v>23244</v>
      </c>
    </row>
    <row r="29" ht="21.6" customHeight="1">
      <c r="B29" s="6" t="inlineStr">
        <is>
          <t>กิ๊บกันชน Nissan (27) -- ราคาโปรโมชั่น 500 ตัว</t>
        </is>
      </c>
      <c r="C29" s="8" t="inlineStr">
        <is>
          <t>200ตัว</t>
        </is>
      </c>
      <c r="D29" s="9" t="n">
        <v>1</v>
      </c>
      <c r="F29" s="9" t="n">
        <v>200</v>
      </c>
      <c r="G29" s="10" t="inlineStr">
        <is>
          <t>ทาเลนท์</t>
        </is>
      </c>
      <c r="H29" s="161" t="n">
        <v>23331</v>
      </c>
    </row>
    <row r="30" ht="21.6" customHeight="1">
      <c r="B30" s="6" t="inlineStr">
        <is>
          <t>กิ๊บกันชน Nissan (27)</t>
        </is>
      </c>
      <c r="C30" s="8" t="inlineStr">
        <is>
          <t>100ตัว</t>
        </is>
      </c>
      <c r="D30" s="9" t="n">
        <v>3.25</v>
      </c>
      <c r="F30" s="9" t="n">
        <v>325</v>
      </c>
      <c r="G30" s="10" t="inlineStr">
        <is>
          <t>ทาเลนท์</t>
        </is>
      </c>
      <c r="H30" s="161" t="n">
        <v>23395</v>
      </c>
    </row>
    <row r="31" ht="21.6" customHeight="1">
      <c r="B31" s="6" t="inlineStr">
        <is>
          <t>กิ๊บกันชน Nissan (27)</t>
        </is>
      </c>
      <c r="C31" s="8" t="inlineStr">
        <is>
          <t>200ตัว</t>
        </is>
      </c>
      <c r="D31" s="9" t="n">
        <v>1</v>
      </c>
      <c r="F31" s="9" t="n">
        <v>200</v>
      </c>
      <c r="G31" s="10" t="inlineStr">
        <is>
          <t>ทาเลนท์</t>
        </is>
      </c>
      <c r="H31" s="161" t="n">
        <v>23521</v>
      </c>
    </row>
    <row r="32" ht="21.6" customHeight="1">
      <c r="B32" s="6" t="inlineStr">
        <is>
          <t>กิ๊บกันชน Nissan (27)</t>
        </is>
      </c>
      <c r="C32" s="8" t="inlineStr">
        <is>
          <t>200ตัว</t>
        </is>
      </c>
      <c r="D32" s="9" t="n">
        <v>3.25</v>
      </c>
      <c r="F32" s="9" t="n">
        <v>650</v>
      </c>
      <c r="G32" s="10" t="inlineStr">
        <is>
          <t>ทาเลนท์</t>
        </is>
      </c>
      <c r="H32" s="161" t="n">
        <v>23635</v>
      </c>
      <c r="I32" s="161" t="inlineStr">
        <is>
          <t>IV6411764</t>
        </is>
      </c>
    </row>
    <row r="33" ht="21.6" customHeight="1">
      <c r="B33" s="6" t="inlineStr">
        <is>
          <t>กิ๊บกันชน Nissan (27)</t>
        </is>
      </c>
      <c r="C33" s="8" t="inlineStr">
        <is>
          <t>200ตัว</t>
        </is>
      </c>
      <c r="D33" s="9" t="n">
        <v>3.25</v>
      </c>
      <c r="F33" s="9" t="n">
        <v>650</v>
      </c>
      <c r="G33" s="10" t="inlineStr">
        <is>
          <t>ทาเลนท์</t>
        </is>
      </c>
      <c r="H33" s="161" t="n">
        <v>23801</v>
      </c>
      <c r="I33" s="161" t="inlineStr">
        <is>
          <t>IV6503899</t>
        </is>
      </c>
    </row>
    <row r="34" ht="21.6" customHeight="1">
      <c r="B34" s="6" t="inlineStr">
        <is>
          <t>กิ๊บกันชน Nissan (112)</t>
        </is>
      </c>
      <c r="C34" s="8" t="n">
        <v>200</v>
      </c>
      <c r="D34" s="9" t="n">
        <v>2</v>
      </c>
      <c r="F34" s="9">
        <f>SUM(C34*D34)</f>
        <v/>
      </c>
      <c r="G34" s="10" t="inlineStr">
        <is>
          <t>ร้าน 55 กิ๊บน๊อต</t>
        </is>
      </c>
      <c r="H34" s="161" t="n">
        <v>24324</v>
      </c>
    </row>
    <row r="35" ht="21.6" customHeight="1">
      <c r="B35" s="6" t="inlineStr">
        <is>
          <t>กิ๊บกันชน Nissan (112)</t>
        </is>
      </c>
      <c r="C35" s="8" t="n">
        <v>200</v>
      </c>
      <c r="D35" s="9" t="n">
        <v>2</v>
      </c>
      <c r="F35" s="9">
        <f>SUM(C35*D35)</f>
        <v/>
      </c>
      <c r="G35" s="10" t="inlineStr">
        <is>
          <t>ร้าน 55 กิ๊บน๊อต</t>
        </is>
      </c>
      <c r="H35" s="161" t="n">
        <v>24438</v>
      </c>
    </row>
    <row r="36" ht="21.6" customHeight="1">
      <c r="B36" s="6" t="inlineStr">
        <is>
          <t>กิ๊บกันชน Nissan (112)</t>
        </is>
      </c>
      <c r="C36" s="8" t="n">
        <v>200</v>
      </c>
      <c r="D36" s="9" t="n">
        <v>2</v>
      </c>
      <c r="F36" s="9">
        <f>SUM(C36*D36)</f>
        <v/>
      </c>
      <c r="G36" s="10" t="inlineStr">
        <is>
          <t>ร้าน 55 กิ๊บน๊อต</t>
        </is>
      </c>
      <c r="H36" s="161" t="n">
        <v>24876</v>
      </c>
    </row>
    <row r="38" ht="21.6" customHeight="1">
      <c r="B38" s="6" t="inlineStr">
        <is>
          <t xml:space="preserve">กิ๊บกันชน MAZDA </t>
        </is>
      </c>
      <c r="C38" s="8" t="n">
        <v>200</v>
      </c>
      <c r="D38" s="9" t="n">
        <v>2</v>
      </c>
      <c r="F38" s="9">
        <f>SUM(C38*D38)</f>
        <v/>
      </c>
      <c r="G38" s="10" t="inlineStr">
        <is>
          <t>ร้าน 55 กิ๊บน๊อต</t>
        </is>
      </c>
      <c r="H38" s="161" t="n">
        <v>24324</v>
      </c>
      <c r="J38" s="8" t="inlineStr">
        <is>
          <t>แต่ก่อนใช้ร่วมกับกิ๊บยึดบังฝุ่น</t>
        </is>
      </c>
    </row>
    <row r="39" ht="21.6" customHeight="1">
      <c r="B39" s="6" t="inlineStr">
        <is>
          <t xml:space="preserve">กิ๊บกันชน MAZDA </t>
        </is>
      </c>
      <c r="C39" s="8" t="n">
        <v>200</v>
      </c>
      <c r="D39" s="9" t="n">
        <v>2</v>
      </c>
      <c r="F39" s="9">
        <f>SUM(C39*D39)</f>
        <v/>
      </c>
      <c r="G39" s="10" t="inlineStr">
        <is>
          <t>ร้าน 55 กิ๊บน๊อต</t>
        </is>
      </c>
      <c r="H39" s="161" t="n">
        <v>25009</v>
      </c>
      <c r="J39" s="8" t="inlineStr">
        <is>
          <t>แต่ก่อนใช้ร่วมกับกิ๊บยึดบังฝุ่น</t>
        </is>
      </c>
    </row>
    <row r="41" ht="21.6" customHeight="1">
      <c r="B41" s="6" t="inlineStr">
        <is>
          <t>กิ๊บกันชน Honda ยาว</t>
        </is>
      </c>
      <c r="C41" s="8" t="inlineStr">
        <is>
          <t>200ตัว</t>
        </is>
      </c>
      <c r="D41" s="9" t="n">
        <v>3.5</v>
      </c>
      <c r="F41" s="9" t="n">
        <v>700</v>
      </c>
      <c r="G41" s="10" t="inlineStr">
        <is>
          <t>ต้นคิด</t>
        </is>
      </c>
      <c r="H41" s="161" t="n">
        <v>22406</v>
      </c>
    </row>
    <row r="42" ht="21.6" customHeight="1">
      <c r="B42" s="6" t="inlineStr">
        <is>
          <t>กิ๊บกันชน Honda ยาว</t>
        </is>
      </c>
      <c r="C42" s="8" t="inlineStr">
        <is>
          <t>100ตัว</t>
        </is>
      </c>
      <c r="D42" s="9" t="n">
        <v>3.5</v>
      </c>
      <c r="F42" s="9" t="n">
        <v>350</v>
      </c>
      <c r="G42" s="10" t="inlineStr">
        <is>
          <t>ต้นคิด</t>
        </is>
      </c>
      <c r="H42" s="161" t="n">
        <v>22436</v>
      </c>
    </row>
    <row r="43" ht="21.6" customHeight="1">
      <c r="B43" s="6" t="inlineStr">
        <is>
          <t>กิ๊บกันชน Honda ยาว</t>
        </is>
      </c>
      <c r="C43" s="8" t="inlineStr">
        <is>
          <t>200ตัว</t>
        </is>
      </c>
      <c r="D43" s="9" t="n">
        <v>3.5</v>
      </c>
      <c r="F43" s="9" t="n">
        <v>700</v>
      </c>
      <c r="G43" s="10" t="inlineStr">
        <is>
          <t>ต้นคิด</t>
        </is>
      </c>
      <c r="H43" s="161" t="n">
        <v>22772</v>
      </c>
    </row>
    <row r="44" ht="21.6" customHeight="1">
      <c r="B44" s="6" t="inlineStr">
        <is>
          <t>กิ๊บกันชน Honda ยาว #126</t>
        </is>
      </c>
      <c r="C44" s="8" t="inlineStr">
        <is>
          <t>200ตัว</t>
        </is>
      </c>
      <c r="D44" s="9" t="n">
        <v>2</v>
      </c>
      <c r="F44" s="9" t="n">
        <v>400</v>
      </c>
      <c r="G44" s="10" t="inlineStr">
        <is>
          <t>55 กิ๊บน๊อต</t>
        </is>
      </c>
      <c r="H44" s="161" t="n">
        <v>23596</v>
      </c>
    </row>
    <row r="46" ht="21.6" customHeight="1">
      <c r="B46" s="6" t="inlineStr">
        <is>
          <t>กิ๊บกันชน Honda สั้น</t>
        </is>
      </c>
      <c r="C46" s="8" t="inlineStr">
        <is>
          <t>100ตัว</t>
        </is>
      </c>
      <c r="D46" s="9" t="n">
        <v>3.5</v>
      </c>
      <c r="F46" s="9" t="n">
        <v>350</v>
      </c>
      <c r="G46" s="10" t="inlineStr">
        <is>
          <t>ต้นคิด</t>
        </is>
      </c>
      <c r="H46" s="161" t="n">
        <v>22464</v>
      </c>
    </row>
    <row r="47" ht="21.6" customHeight="1">
      <c r="B47" s="6" t="inlineStr">
        <is>
          <t>กิ๊บกันชน Honda สั้น</t>
        </is>
      </c>
      <c r="C47" s="8" t="inlineStr">
        <is>
          <t>200ตัว</t>
        </is>
      </c>
      <c r="D47" s="9" t="n">
        <v>3.5</v>
      </c>
      <c r="F47" s="9" t="n">
        <v>700</v>
      </c>
      <c r="G47" s="10" t="inlineStr">
        <is>
          <t>ต้นคิด</t>
        </is>
      </c>
      <c r="H47" s="161" t="n">
        <v>22837</v>
      </c>
    </row>
    <row r="48" ht="21.6" customHeight="1">
      <c r="B48" s="6" t="inlineStr">
        <is>
          <t>กิ๊บกันชน Honda สั้น</t>
        </is>
      </c>
      <c r="C48" s="8" t="inlineStr">
        <is>
          <t>200ตัว</t>
        </is>
      </c>
      <c r="D48" s="9" t="n">
        <v>3.5</v>
      </c>
      <c r="F48" s="9" t="n">
        <v>700</v>
      </c>
      <c r="G48" s="10" t="inlineStr">
        <is>
          <t>ต้นคิด</t>
        </is>
      </c>
      <c r="H48" s="161" t="n">
        <v>22871</v>
      </c>
    </row>
    <row r="49" ht="21.6" customHeight="1">
      <c r="B49" s="6" t="inlineStr">
        <is>
          <t>กิ๊บกันชน Honda สั้น</t>
        </is>
      </c>
      <c r="C49" s="8" t="inlineStr">
        <is>
          <t>100ตัว</t>
        </is>
      </c>
      <c r="D49" s="9" t="n">
        <v>3.5</v>
      </c>
      <c r="F49" s="9" t="n">
        <v>350</v>
      </c>
      <c r="G49" s="10" t="inlineStr">
        <is>
          <t>ต้นคิด</t>
        </is>
      </c>
      <c r="H49" s="161" t="n">
        <v>23053</v>
      </c>
    </row>
    <row r="50" ht="21.6" customHeight="1">
      <c r="B50" s="6" t="inlineStr">
        <is>
          <t>กิ๊บกันชน Honda ใหม่ #107</t>
        </is>
      </c>
      <c r="C50" s="8" t="n">
        <v>200</v>
      </c>
      <c r="D50" s="9" t="n">
        <v>2</v>
      </c>
      <c r="F50" s="9">
        <f>SUM(C50*D50)</f>
        <v/>
      </c>
      <c r="G50" s="10" t="inlineStr">
        <is>
          <t>55 กิ๊บน๊อต</t>
        </is>
      </c>
      <c r="H50" s="161" t="n">
        <v>24438</v>
      </c>
    </row>
    <row r="51" ht="21.6" customHeight="1">
      <c r="B51" s="6" t="inlineStr">
        <is>
          <t>กิ๊บกันชน Honda ใหม่ #107</t>
        </is>
      </c>
      <c r="C51" s="8" t="n">
        <v>400</v>
      </c>
      <c r="D51" s="9" t="n">
        <v>2</v>
      </c>
      <c r="F51" s="9">
        <f>SUM(C51*D51)</f>
        <v/>
      </c>
      <c r="G51" s="10" t="inlineStr">
        <is>
          <t>55 กิ๊บน๊อต</t>
        </is>
      </c>
      <c r="H51" s="161" t="n">
        <v>24603</v>
      </c>
    </row>
    <row r="52" ht="21.6" customHeight="1">
      <c r="B52" s="6" t="inlineStr">
        <is>
          <t>กิ๊บกันชน Honda ใหม่ #107</t>
        </is>
      </c>
      <c r="C52" s="8" t="n">
        <v>400</v>
      </c>
      <c r="D52" s="9" t="n">
        <v>2</v>
      </c>
      <c r="F52" s="9">
        <f>SUM(C52*D52)</f>
        <v/>
      </c>
      <c r="G52" s="10" t="inlineStr">
        <is>
          <t>55 กิ๊บน๊อต</t>
        </is>
      </c>
      <c r="H52" s="161" t="n">
        <v>24876</v>
      </c>
    </row>
    <row r="54" ht="21.6" customHeight="1">
      <c r="B54" s="6" t="inlineStr">
        <is>
          <t>กิ๊บกันชน Honda สั้น #106</t>
        </is>
      </c>
      <c r="C54" s="8" t="inlineStr">
        <is>
          <t>200ตัว</t>
        </is>
      </c>
      <c r="D54" s="9" t="n">
        <v>2</v>
      </c>
      <c r="F54" s="9" t="n">
        <v>400</v>
      </c>
      <c r="G54" s="10" t="inlineStr">
        <is>
          <t>55 กิ๊บน๊อต</t>
        </is>
      </c>
      <c r="H54" s="161" t="n">
        <v>23596</v>
      </c>
    </row>
    <row r="56" ht="21.6" customHeight="1">
      <c r="B56" s="6" t="inlineStr">
        <is>
          <t>กิ๊บกันชน Honda สั้น (25)</t>
        </is>
      </c>
      <c r="C56" s="8" t="inlineStr">
        <is>
          <t>100ตัว</t>
        </is>
      </c>
      <c r="D56" s="9" t="n">
        <v>1</v>
      </c>
      <c r="F56" s="9" t="n">
        <v>100</v>
      </c>
      <c r="G56" s="10" t="inlineStr">
        <is>
          <t>ทาเลนท์</t>
        </is>
      </c>
      <c r="H56" s="161" t="n">
        <v>23131</v>
      </c>
    </row>
    <row r="57" ht="21.6" customHeight="1">
      <c r="B57" s="6" t="inlineStr">
        <is>
          <t>กิ๊บกันชน Honda สั้น (25)</t>
        </is>
      </c>
      <c r="C57" s="8" t="inlineStr">
        <is>
          <t>100ตัว</t>
        </is>
      </c>
      <c r="D57" s="9" t="n">
        <v>3.25</v>
      </c>
      <c r="F57" s="9" t="n">
        <v>325</v>
      </c>
      <c r="G57" s="10" t="inlineStr">
        <is>
          <t>ทาเลนท์</t>
        </is>
      </c>
      <c r="H57" s="161" t="n">
        <v>23205</v>
      </c>
    </row>
    <row r="58" ht="21.6" customHeight="1">
      <c r="B58" s="6" t="inlineStr">
        <is>
          <t>กิ๊บกันชน Honda สั้น (25)</t>
        </is>
      </c>
      <c r="C58" s="8" t="inlineStr">
        <is>
          <t>100ตัว</t>
        </is>
      </c>
      <c r="D58" s="9" t="n">
        <v>3.25</v>
      </c>
      <c r="F58" s="9" t="n">
        <v>325</v>
      </c>
      <c r="G58" s="10" t="inlineStr">
        <is>
          <t>ทาเลนท์</t>
        </is>
      </c>
      <c r="H58" s="161" t="n">
        <v>23233</v>
      </c>
    </row>
    <row r="59" ht="21.6" customHeight="1">
      <c r="B59" s="6" t="inlineStr">
        <is>
          <t>กิ๊บกันชน Honda สั้น (25)</t>
        </is>
      </c>
      <c r="C59" s="8" t="inlineStr">
        <is>
          <t>350ตัว</t>
        </is>
      </c>
      <c r="D59" s="9" t="n">
        <v>3.25</v>
      </c>
      <c r="F59" s="9" t="n">
        <v>1137.5</v>
      </c>
      <c r="G59" s="10" t="inlineStr">
        <is>
          <t>ทาเลนท์</t>
        </is>
      </c>
      <c r="H59" s="161" t="n">
        <v>23272</v>
      </c>
    </row>
    <row r="60" ht="21.6" customHeight="1">
      <c r="B60" s="6" t="inlineStr">
        <is>
          <t>กิ๊บกันชน Honda สั้น (25) -- แถมฟรี</t>
        </is>
      </c>
      <c r="C60" s="8" t="inlineStr">
        <is>
          <t>300ตัว</t>
        </is>
      </c>
      <c r="G60" s="10" t="inlineStr">
        <is>
          <t>ทาเลนท์</t>
        </is>
      </c>
      <c r="H60" s="161" t="n">
        <v>23272</v>
      </c>
    </row>
    <row r="62" ht="21.6" customHeight="1">
      <c r="B62" s="6" t="inlineStr">
        <is>
          <t>กิ๊บกันชน VIOS</t>
        </is>
      </c>
      <c r="C62" s="8" t="inlineStr">
        <is>
          <t>100ตัว</t>
        </is>
      </c>
      <c r="D62" s="9" t="n">
        <v>3.5</v>
      </c>
      <c r="F62" s="9" t="n">
        <v>350</v>
      </c>
      <c r="G62" s="10" t="inlineStr">
        <is>
          <t>ต้นคิด</t>
        </is>
      </c>
      <c r="H62" s="161" t="n">
        <v>22406</v>
      </c>
    </row>
    <row r="63" ht="21.6" customHeight="1">
      <c r="B63" s="6" t="inlineStr">
        <is>
          <t>กิ๊บกันชน VIOS</t>
        </is>
      </c>
      <c r="C63" s="8" t="inlineStr">
        <is>
          <t>100ตัว</t>
        </is>
      </c>
      <c r="D63" s="9" t="n">
        <v>3.5</v>
      </c>
      <c r="F63" s="9" t="n">
        <v>350</v>
      </c>
      <c r="G63" s="10" t="inlineStr">
        <is>
          <t>ต้นคิด</t>
        </is>
      </c>
      <c r="H63" s="161" t="n">
        <v>22772</v>
      </c>
    </row>
    <row r="65" ht="21.6" customHeight="1">
      <c r="B65" s="6" t="inlineStr">
        <is>
          <t>กิ๊บกันชน NEW VIOS</t>
        </is>
      </c>
      <c r="C65" s="8" t="inlineStr">
        <is>
          <t>100ตัว</t>
        </is>
      </c>
      <c r="D65" s="9" t="n">
        <v>3</v>
      </c>
      <c r="F65" s="9" t="n">
        <v>300</v>
      </c>
      <c r="G65" s="10" t="inlineStr">
        <is>
          <t>ต้นคิด</t>
        </is>
      </c>
      <c r="H65" s="161" t="n">
        <v>22871</v>
      </c>
    </row>
    <row r="67" ht="21.6" customHeight="1">
      <c r="B67" s="6" t="inlineStr">
        <is>
          <t>กิ๊บกันชน Vigo</t>
        </is>
      </c>
      <c r="C67" s="8" t="inlineStr">
        <is>
          <t>300ตัว</t>
        </is>
      </c>
      <c r="D67" s="9" t="n">
        <v>3.5</v>
      </c>
      <c r="F67" s="9" t="n">
        <v>1050</v>
      </c>
      <c r="G67" s="10" t="inlineStr">
        <is>
          <t>ต้นคิด</t>
        </is>
      </c>
      <c r="H67" s="161" t="n">
        <v>22436</v>
      </c>
    </row>
    <row r="68" ht="21.6" customHeight="1">
      <c r="B68" s="6" t="inlineStr">
        <is>
          <t>กิ๊บกันชน Vigo</t>
        </is>
      </c>
      <c r="C68" s="8" t="inlineStr">
        <is>
          <t>100ตัว</t>
        </is>
      </c>
      <c r="D68" s="9" t="n">
        <v>3.5</v>
      </c>
      <c r="F68" s="9" t="n">
        <v>350</v>
      </c>
      <c r="G68" s="10" t="inlineStr">
        <is>
          <t>ต้นคิด</t>
        </is>
      </c>
      <c r="H68" s="161" t="n">
        <v>22464</v>
      </c>
    </row>
    <row r="69" ht="21.6" customHeight="1">
      <c r="B69" s="6" t="inlineStr">
        <is>
          <t>กิ๊บกันชน Vigo</t>
        </is>
      </c>
      <c r="C69" s="8" t="inlineStr">
        <is>
          <t>200ตัว</t>
        </is>
      </c>
      <c r="D69" s="9" t="n">
        <v>3.5</v>
      </c>
      <c r="F69" s="9" t="n">
        <v>700</v>
      </c>
      <c r="G69" s="10" t="inlineStr">
        <is>
          <t>ต้นคิด</t>
        </is>
      </c>
      <c r="H69" s="161" t="n">
        <v>22772</v>
      </c>
    </row>
    <row r="70" ht="21.6" customHeight="1">
      <c r="B70" s="6" t="inlineStr">
        <is>
          <t>กิ๊บกันชน Vigo</t>
        </is>
      </c>
      <c r="C70" s="8" t="inlineStr">
        <is>
          <t>300ตัว</t>
        </is>
      </c>
      <c r="D70" s="9" t="n">
        <v>3.5</v>
      </c>
      <c r="F70" s="9" t="n">
        <v>1050</v>
      </c>
      <c r="G70" s="10" t="inlineStr">
        <is>
          <t>ต้นคิด</t>
        </is>
      </c>
      <c r="H70" s="161" t="n">
        <v>22837</v>
      </c>
    </row>
    <row r="71" ht="21.6" customHeight="1">
      <c r="B71" s="6" t="inlineStr">
        <is>
          <t>กิ๊บกันชน Vigo</t>
        </is>
      </c>
      <c r="C71" s="8" t="inlineStr">
        <is>
          <t>300ตัว</t>
        </is>
      </c>
      <c r="D71" s="9" t="n">
        <v>3.5</v>
      </c>
      <c r="F71" s="9" t="n">
        <v>1050</v>
      </c>
      <c r="G71" s="10" t="inlineStr">
        <is>
          <t>ต้นคิด</t>
        </is>
      </c>
      <c r="H71" s="161" t="n">
        <v>22871</v>
      </c>
    </row>
    <row r="72" ht="21.6" customHeight="1">
      <c r="B72" s="6" t="inlineStr">
        <is>
          <t>กิ๊บกันชน Vigo</t>
        </is>
      </c>
      <c r="C72" s="8" t="inlineStr">
        <is>
          <t>200ตัว</t>
        </is>
      </c>
      <c r="D72" s="9" t="n">
        <v>3.5</v>
      </c>
      <c r="F72" s="9" t="n">
        <v>700</v>
      </c>
      <c r="G72" s="10" t="inlineStr">
        <is>
          <t>ต้นคิด</t>
        </is>
      </c>
      <c r="H72" s="161" t="n">
        <v>23053</v>
      </c>
    </row>
    <row r="73" ht="21.6" customHeight="1">
      <c r="B73" s="6" t="inlineStr">
        <is>
          <t>กิ๊บกันชน Vigo</t>
        </is>
      </c>
      <c r="C73" s="8" t="inlineStr">
        <is>
          <t>200ตัว</t>
        </is>
      </c>
      <c r="D73" s="9" t="n">
        <v>1</v>
      </c>
      <c r="F73" s="9" t="n">
        <v>200</v>
      </c>
      <c r="G73" s="10" t="inlineStr">
        <is>
          <t>ทาเลนท์</t>
        </is>
      </c>
      <c r="H73" s="161" t="n">
        <v>23172</v>
      </c>
    </row>
    <row r="75" ht="21.6" customHeight="1">
      <c r="B75" s="6" t="inlineStr">
        <is>
          <t>กิ๊บกันชน Vigo (9)</t>
        </is>
      </c>
      <c r="C75" s="8" t="inlineStr">
        <is>
          <t>100ตัว</t>
        </is>
      </c>
      <c r="D75" s="9" t="n">
        <v>3.25</v>
      </c>
      <c r="F75" s="9" t="n">
        <v>325</v>
      </c>
      <c r="G75" s="10" t="inlineStr">
        <is>
          <t>ทาเลนท์</t>
        </is>
      </c>
      <c r="H75" s="161" t="n">
        <v>23131</v>
      </c>
    </row>
    <row r="76" ht="21.6" customHeight="1">
      <c r="B76" s="6" t="inlineStr">
        <is>
          <t>กิ๊บกันชน Vigo (9)</t>
        </is>
      </c>
      <c r="C76" s="8" t="inlineStr">
        <is>
          <t>100ตัว</t>
        </is>
      </c>
      <c r="D76" s="9" t="n">
        <v>3.25</v>
      </c>
      <c r="F76" s="9" t="n">
        <v>325</v>
      </c>
      <c r="G76" s="10" t="inlineStr">
        <is>
          <t>ทาเลนท์</t>
        </is>
      </c>
      <c r="H76" s="161" t="n">
        <v>23205</v>
      </c>
    </row>
    <row r="77" ht="21.6" customHeight="1">
      <c r="B77" s="6" t="inlineStr">
        <is>
          <t>กิ๊บกันชน Vigo (9) -- ราคาโปรโมชั่น 500 ตัว</t>
        </is>
      </c>
      <c r="C77" s="8" t="inlineStr">
        <is>
          <t>200ตัว</t>
        </is>
      </c>
      <c r="D77" s="9" t="n">
        <v>1</v>
      </c>
      <c r="F77" s="9" t="n">
        <v>200</v>
      </c>
      <c r="G77" s="10" t="inlineStr">
        <is>
          <t>ทาเลนท์</t>
        </is>
      </c>
      <c r="H77" s="161" t="n">
        <v>23200</v>
      </c>
    </row>
    <row r="78" ht="21.6" customHeight="1">
      <c r="B78" s="6" t="inlineStr">
        <is>
          <t>กิ๊บกันชน Vigo (9)</t>
        </is>
      </c>
      <c r="C78" s="8" t="inlineStr">
        <is>
          <t>300ตัว</t>
        </is>
      </c>
      <c r="D78" s="9" t="n">
        <v>3.25</v>
      </c>
      <c r="F78" s="9" t="n">
        <v>975</v>
      </c>
      <c r="G78" s="10" t="inlineStr">
        <is>
          <t>ทาเลนท์</t>
        </is>
      </c>
      <c r="H78" s="161" t="n">
        <v>23233</v>
      </c>
    </row>
    <row r="79" ht="21.6" customHeight="1">
      <c r="B79" s="6" t="inlineStr">
        <is>
          <t>กิ๊บกันชน Vigo (9) -- ราคาโปรโมชั่น 500 ตัว</t>
        </is>
      </c>
      <c r="C79" s="8" t="inlineStr">
        <is>
          <t>200ตัว</t>
        </is>
      </c>
      <c r="D79" s="9" t="n">
        <v>1</v>
      </c>
      <c r="F79" s="9" t="n">
        <v>200</v>
      </c>
      <c r="G79" s="10" t="inlineStr">
        <is>
          <t>ทาเลนท์</t>
        </is>
      </c>
      <c r="H79" s="161" t="n">
        <v>23286</v>
      </c>
    </row>
    <row r="80" ht="21.6" customHeight="1">
      <c r="B80" s="6" t="inlineStr">
        <is>
          <t>กิ๊บกันชน Vigo (9) -- แถมฟรี</t>
        </is>
      </c>
      <c r="C80" s="8" t="inlineStr">
        <is>
          <t>250ตัว</t>
        </is>
      </c>
      <c r="G80" s="10" t="inlineStr">
        <is>
          <t>ทาเลนท์</t>
        </is>
      </c>
      <c r="H80" s="161" t="n">
        <v>23395</v>
      </c>
    </row>
    <row r="81" ht="21.6" customHeight="1">
      <c r="B81" s="6" t="inlineStr">
        <is>
          <t>กิ๊บกันชน Vigo (9)</t>
        </is>
      </c>
      <c r="C81" s="8" t="inlineStr">
        <is>
          <t>200ตัว</t>
        </is>
      </c>
      <c r="D81" s="9" t="n">
        <v>1</v>
      </c>
      <c r="F81" s="9" t="n">
        <v>200</v>
      </c>
      <c r="G81" s="10" t="inlineStr">
        <is>
          <t>ทาเลนท์</t>
        </is>
      </c>
      <c r="H81" s="161" t="n">
        <v>23501</v>
      </c>
    </row>
    <row r="82" ht="21.6" customHeight="1">
      <c r="B82" s="6" t="inlineStr">
        <is>
          <t>กิ๊บกันชน Vigo (9) -- แถมฟรี</t>
        </is>
      </c>
      <c r="C82" s="8" t="inlineStr">
        <is>
          <t>200ตัว</t>
        </is>
      </c>
      <c r="G82" s="10" t="inlineStr">
        <is>
          <t>ทาเลนท์</t>
        </is>
      </c>
      <c r="H82" s="161" t="n">
        <v>23545</v>
      </c>
    </row>
    <row r="83" ht="21.6" customHeight="1">
      <c r="B83" s="6" t="inlineStr">
        <is>
          <t>กิ๊บกันชน Vigo (9)</t>
        </is>
      </c>
      <c r="C83" s="8" t="inlineStr">
        <is>
          <t>300ตัว</t>
        </is>
      </c>
      <c r="D83" s="9" t="n">
        <v>3.25</v>
      </c>
      <c r="F83" s="9" t="n">
        <v>975</v>
      </c>
      <c r="G83" s="10" t="inlineStr">
        <is>
          <t>ทาเลนท์</t>
        </is>
      </c>
      <c r="H83" s="161" t="n">
        <v>23635</v>
      </c>
      <c r="I83" s="161" t="inlineStr">
        <is>
          <t>IV6411764</t>
        </is>
      </c>
    </row>
    <row r="84" ht="21.6" customHeight="1">
      <c r="B84" s="6" t="inlineStr">
        <is>
          <t>กิ๊บกันชน Vigo (9)</t>
        </is>
      </c>
      <c r="C84" s="8" t="inlineStr">
        <is>
          <t>300ตัว</t>
        </is>
      </c>
      <c r="D84" s="9" t="n">
        <v>3.25</v>
      </c>
      <c r="F84" s="9" t="n">
        <v>975</v>
      </c>
      <c r="G84" s="10" t="inlineStr">
        <is>
          <t>ทาเลนท์</t>
        </is>
      </c>
      <c r="H84" s="161" t="n">
        <v>24184</v>
      </c>
      <c r="I84" s="161" t="inlineStr">
        <is>
          <t>IB3008935</t>
        </is>
      </c>
    </row>
    <row r="85" ht="21.6" customHeight="1">
      <c r="B85" s="6" t="inlineStr">
        <is>
          <t>กิ๊บกันชน Vigo (9)</t>
        </is>
      </c>
      <c r="C85" s="8" t="n">
        <v>400</v>
      </c>
      <c r="D85" s="9" t="n">
        <v>3.25</v>
      </c>
      <c r="F85" s="9">
        <f>SUM(C85*D85)</f>
        <v/>
      </c>
      <c r="G85" s="10" t="inlineStr">
        <is>
          <t>ทาเลนท์</t>
        </is>
      </c>
      <c r="H85" s="161" t="n">
        <v>24330</v>
      </c>
      <c r="I85" s="161" t="inlineStr">
        <is>
          <t>IV2217986</t>
        </is>
      </c>
    </row>
    <row r="86" ht="21.6" customHeight="1">
      <c r="B86" s="6" t="inlineStr">
        <is>
          <t>กิ๊บกันชน Vigo (9) -- แถมฟรี</t>
        </is>
      </c>
      <c r="C86" s="8" t="n">
        <v>400</v>
      </c>
      <c r="G86" s="10" t="inlineStr">
        <is>
          <t>ทาเลนท์</t>
        </is>
      </c>
      <c r="H86" s="161" t="n">
        <v>25008</v>
      </c>
      <c r="I86" s="161" t="inlineStr">
        <is>
          <t>IV6809791</t>
        </is>
      </c>
    </row>
    <row r="88" ht="21.6" customHeight="1">
      <c r="B88" s="6" t="inlineStr">
        <is>
          <t>กิ๊บกันชน REVO</t>
        </is>
      </c>
      <c r="C88" s="8" t="inlineStr">
        <is>
          <t>100ตัว</t>
        </is>
      </c>
      <c r="D88" s="9" t="n">
        <v>4</v>
      </c>
      <c r="F88" s="9" t="n">
        <v>400</v>
      </c>
      <c r="G88" s="10" t="inlineStr">
        <is>
          <t>ต้นคิด</t>
        </is>
      </c>
      <c r="H88" s="161" t="n">
        <v>22772</v>
      </c>
    </row>
    <row r="89" ht="21.6" customHeight="1">
      <c r="B89" s="6" t="inlineStr">
        <is>
          <t>กิ๊บกันชน REVO</t>
        </is>
      </c>
      <c r="C89" s="8" t="inlineStr">
        <is>
          <t>200ตัว</t>
        </is>
      </c>
      <c r="D89" s="9" t="n">
        <v>3.5</v>
      </c>
      <c r="F89" s="9" t="n">
        <v>700</v>
      </c>
      <c r="G89" s="10" t="inlineStr">
        <is>
          <t>ต้นคิด</t>
        </is>
      </c>
      <c r="H89" s="161" t="n">
        <v>23901</v>
      </c>
    </row>
    <row r="91" ht="21.6" customHeight="1">
      <c r="B91" s="6" t="inlineStr">
        <is>
          <t>กิ๊บกันชน ไตรตัน</t>
        </is>
      </c>
      <c r="C91" s="8" t="inlineStr">
        <is>
          <t>100ตัว</t>
        </is>
      </c>
      <c r="D91" s="9" t="n">
        <v>3.5</v>
      </c>
      <c r="F91" s="9" t="n">
        <v>350</v>
      </c>
      <c r="G91" s="10" t="inlineStr">
        <is>
          <t>ต้นคิด</t>
        </is>
      </c>
      <c r="H91" s="161" t="n">
        <v>22871</v>
      </c>
    </row>
    <row r="92" ht="21.6" customHeight="1">
      <c r="B92" s="6" t="inlineStr">
        <is>
          <t>กิ๊บกันชน มิตซู (24)</t>
        </is>
      </c>
      <c r="C92" s="8" t="n">
        <v>300</v>
      </c>
      <c r="D92" s="9" t="n">
        <v>3.25</v>
      </c>
      <c r="F92" s="9">
        <f>SUM(D92*C92)</f>
        <v/>
      </c>
      <c r="G92" s="10" t="inlineStr">
        <is>
          <t>ทาเลนท์</t>
        </is>
      </c>
      <c r="H92" s="161" t="n">
        <v>25008</v>
      </c>
      <c r="I92" s="161" t="inlineStr">
        <is>
          <t>IV6809791</t>
        </is>
      </c>
    </row>
    <row r="94" ht="21.6" customHeight="1">
      <c r="B94" s="6" t="inlineStr">
        <is>
          <t>กิ๊บกันชน สวิฟ</t>
        </is>
      </c>
      <c r="C94" s="8" t="n">
        <v>100</v>
      </c>
      <c r="D94" s="9" t="n">
        <v>3.5</v>
      </c>
      <c r="F94" s="9">
        <f>SUM(C94*D94)</f>
        <v/>
      </c>
      <c r="G94" s="10" t="inlineStr">
        <is>
          <t>ต้นคิด</t>
        </is>
      </c>
      <c r="H94" s="161" t="n">
        <v>24707</v>
      </c>
    </row>
    <row r="96" ht="21.6" customHeight="1">
      <c r="B96" s="6" t="inlineStr">
        <is>
          <t>กิ๊บปลายกันชน</t>
        </is>
      </c>
      <c r="C96" s="8" t="inlineStr">
        <is>
          <t>100ตัว</t>
        </is>
      </c>
      <c r="D96" s="9" t="n">
        <v>3.5</v>
      </c>
      <c r="F96" s="9" t="n">
        <v>350</v>
      </c>
      <c r="G96" s="10" t="inlineStr">
        <is>
          <t>ต้นคิด</t>
        </is>
      </c>
      <c r="H96" s="161" t="n">
        <v>22772</v>
      </c>
    </row>
    <row r="97" ht="21.6" customHeight="1">
      <c r="B97" s="6" t="inlineStr">
        <is>
          <t>กิ๊บปลายกันชน</t>
        </is>
      </c>
      <c r="C97" s="8" t="inlineStr">
        <is>
          <t>100ตัว</t>
        </is>
      </c>
      <c r="D97" s="9" t="n">
        <v>3</v>
      </c>
      <c r="F97" s="9" t="n">
        <v>300</v>
      </c>
      <c r="G97" s="10" t="inlineStr">
        <is>
          <t>ต้นคิด</t>
        </is>
      </c>
      <c r="H97" s="161" t="n">
        <v>23053</v>
      </c>
    </row>
    <row r="99" ht="21.6" customHeight="1">
      <c r="B99" s="6" t="inlineStr">
        <is>
          <t>กิ๊บปลายกันชน Toyota (205)</t>
        </is>
      </c>
      <c r="C99" s="8" t="inlineStr">
        <is>
          <t>200ตัว</t>
        </is>
      </c>
      <c r="D99" s="9" t="n">
        <v>2</v>
      </c>
      <c r="F99" s="9" t="n">
        <v>400</v>
      </c>
      <c r="G99" s="10" t="inlineStr">
        <is>
          <t>55 กิ๊บน๊อต</t>
        </is>
      </c>
      <c r="H99" s="161" t="n">
        <v>23596</v>
      </c>
    </row>
    <row r="100" ht="21.6" customHeight="1">
      <c r="B100" s="6" t="inlineStr">
        <is>
          <t>กิ๊บปลายกันชน Toyota (205)</t>
        </is>
      </c>
      <c r="C100" s="8" t="inlineStr">
        <is>
          <t>200ตัว</t>
        </is>
      </c>
      <c r="D100" s="9" t="n">
        <v>2</v>
      </c>
      <c r="F100" s="9" t="n">
        <v>400</v>
      </c>
      <c r="G100" s="10" t="inlineStr">
        <is>
          <t>55 กิ๊บน๊อต</t>
        </is>
      </c>
      <c r="H100" s="161" t="n">
        <v>24438</v>
      </c>
    </row>
    <row r="102" ht="21.6" customHeight="1">
      <c r="B102" s="6" t="inlineStr">
        <is>
          <t>กิ๊บหน้ากระจัง Toyota ใหม่ (102)</t>
        </is>
      </c>
      <c r="C102" s="8" t="inlineStr">
        <is>
          <t>200ตัว</t>
        </is>
      </c>
      <c r="D102" s="9" t="n">
        <v>2</v>
      </c>
      <c r="F102" s="9" t="n">
        <v>400</v>
      </c>
      <c r="G102" s="10" t="inlineStr">
        <is>
          <t>55 กิ๊บน๊อต</t>
        </is>
      </c>
      <c r="H102" s="161" t="n">
        <v>24438</v>
      </c>
    </row>
    <row r="103" ht="21.6" customHeight="1">
      <c r="B103" s="6" t="inlineStr">
        <is>
          <t>กิ๊บหน้ากระจัง Toyota ใหม่ (102)</t>
        </is>
      </c>
      <c r="C103" s="8" t="n">
        <v>200</v>
      </c>
      <c r="D103" s="9" t="n">
        <v>2</v>
      </c>
      <c r="F103" s="9">
        <f>SUM(D103*C103)</f>
        <v/>
      </c>
      <c r="G103" s="10" t="inlineStr">
        <is>
          <t>55 กิ๊บน๊อต</t>
        </is>
      </c>
      <c r="H103" s="161" t="n">
        <v>24876</v>
      </c>
    </row>
    <row r="105" ht="21.6" customHeight="1">
      <c r="B105" s="6" t="inlineStr">
        <is>
          <t>กิ๊บหน้ากระจัง วีโก้</t>
        </is>
      </c>
      <c r="C105" s="8" t="n">
        <v>100</v>
      </c>
      <c r="D105" s="9" t="n">
        <v>3</v>
      </c>
      <c r="F105" s="9">
        <f>SUM(D105*C105)</f>
        <v/>
      </c>
      <c r="G105" s="10" t="inlineStr">
        <is>
          <t>ต้นคิด</t>
        </is>
      </c>
      <c r="H105" s="161" t="n">
        <v>24434</v>
      </c>
    </row>
    <row r="106" ht="21.6" customHeight="1">
      <c r="B106" s="6" t="inlineStr">
        <is>
          <t>กิ๊บหน้ากระจัง วีโก้ (104)</t>
        </is>
      </c>
      <c r="C106" s="8" t="n">
        <v>400</v>
      </c>
      <c r="D106" s="9" t="n">
        <v>2</v>
      </c>
      <c r="F106" s="9">
        <f>SUM(D106*C106)</f>
        <v/>
      </c>
      <c r="G106" s="10" t="inlineStr">
        <is>
          <t>55 กิ๊บน๊อต</t>
        </is>
      </c>
      <c r="H106" s="161" t="n">
        <v>24551</v>
      </c>
    </row>
    <row r="107" ht="21.6" customHeight="1">
      <c r="B107" s="6" t="inlineStr">
        <is>
          <t>กิ๊บหน้ากระจัง วีโก้ (104)</t>
        </is>
      </c>
      <c r="C107" s="8" t="n">
        <v>400</v>
      </c>
      <c r="D107" s="9" t="n">
        <v>2</v>
      </c>
      <c r="F107" s="9">
        <f>SUM(D107*C107)</f>
        <v/>
      </c>
      <c r="G107" s="10" t="inlineStr">
        <is>
          <t>55 กิ๊บน๊อต</t>
        </is>
      </c>
      <c r="H107" s="161" t="n">
        <v>24876</v>
      </c>
    </row>
    <row r="109" ht="21.6" customHeight="1">
      <c r="B109" s="6" t="inlineStr">
        <is>
          <t>กิ๊บปลาย Altis</t>
        </is>
      </c>
      <c r="C109" s="8" t="inlineStr">
        <is>
          <t>100ตัว</t>
        </is>
      </c>
      <c r="D109" s="9" t="n">
        <v>4</v>
      </c>
      <c r="F109" s="9" t="n">
        <v>400</v>
      </c>
      <c r="G109" s="10" t="inlineStr">
        <is>
          <t>ทาเลนท์</t>
        </is>
      </c>
      <c r="H109" s="161" t="n">
        <v>23395</v>
      </c>
    </row>
    <row r="111" ht="21.6" customHeight="1">
      <c r="B111" s="6" t="inlineStr">
        <is>
          <t>กิ๊บบังฝุ่น Big-M</t>
        </is>
      </c>
      <c r="C111" s="8" t="inlineStr">
        <is>
          <t>100ตัว</t>
        </is>
      </c>
      <c r="D111" s="9" t="n">
        <v>3</v>
      </c>
      <c r="F111" s="9" t="n">
        <v>300</v>
      </c>
      <c r="G111" s="10" t="inlineStr">
        <is>
          <t>ต้นคิด</t>
        </is>
      </c>
      <c r="H111" s="161" t="n">
        <v>22406</v>
      </c>
    </row>
    <row r="112" ht="21.6" customHeight="1">
      <c r="B112" s="6" t="inlineStr">
        <is>
          <t>กิ๊บบังฝุ่น Big-M</t>
        </is>
      </c>
      <c r="C112" s="8" t="inlineStr">
        <is>
          <t>100ตัว</t>
        </is>
      </c>
      <c r="D112" s="9" t="n">
        <v>3</v>
      </c>
      <c r="F112" s="9" t="n">
        <v>300</v>
      </c>
      <c r="G112" s="10" t="inlineStr">
        <is>
          <t>ต้นคิด</t>
        </is>
      </c>
      <c r="H112" s="161" t="n">
        <v>22464</v>
      </c>
    </row>
    <row r="113" ht="21.6" customHeight="1">
      <c r="B113" s="6" t="inlineStr">
        <is>
          <t>กิ๊บบังฝุ่น Big-M</t>
        </is>
      </c>
      <c r="C113" s="8" t="inlineStr">
        <is>
          <t>200ตัว</t>
        </is>
      </c>
      <c r="D113" s="9" t="n">
        <v>3</v>
      </c>
      <c r="F113" s="9" t="n">
        <v>600</v>
      </c>
      <c r="G113" s="10" t="inlineStr">
        <is>
          <t>ต้นคิด</t>
        </is>
      </c>
      <c r="H113" s="161" t="n">
        <v>22772</v>
      </c>
    </row>
    <row r="114" ht="21.6" customHeight="1">
      <c r="B114" s="6" t="inlineStr">
        <is>
          <t>กิ๊บบังฝุ่น Big-M</t>
        </is>
      </c>
      <c r="C114" s="8" t="inlineStr">
        <is>
          <t>200ตัว</t>
        </is>
      </c>
      <c r="D114" s="9" t="n">
        <v>3</v>
      </c>
      <c r="F114" s="9" t="n">
        <v>600</v>
      </c>
      <c r="G114" s="10" t="inlineStr">
        <is>
          <t>ต้นคิด</t>
        </is>
      </c>
      <c r="H114" s="161" t="n">
        <v>22837</v>
      </c>
    </row>
    <row r="116" ht="21.6" customHeight="1">
      <c r="B116" s="6" t="inlineStr">
        <is>
          <t>กิ๊บบังฝุ่น Nissan หัวบาก</t>
        </is>
      </c>
      <c r="C116" s="8" t="inlineStr">
        <is>
          <t>100ตัว</t>
        </is>
      </c>
      <c r="D116" s="9" t="n">
        <v>3</v>
      </c>
      <c r="F116" s="9" t="n">
        <v>300</v>
      </c>
      <c r="G116" s="10" t="inlineStr">
        <is>
          <t>ต้นคิด</t>
        </is>
      </c>
      <c r="H116" s="161" t="n">
        <v>23053</v>
      </c>
    </row>
    <row r="118" ht="21.6" customHeight="1">
      <c r="B118" s="6" t="inlineStr">
        <is>
          <t>กิ๊บล็อค Nissan (1)</t>
        </is>
      </c>
      <c r="C118" s="8" t="inlineStr">
        <is>
          <t>200ตัว</t>
        </is>
      </c>
      <c r="D118" s="9" t="n">
        <v>3.25</v>
      </c>
      <c r="F118" s="9" t="n">
        <v>650</v>
      </c>
      <c r="G118" s="10" t="inlineStr">
        <is>
          <t>ทาเลนท์</t>
        </is>
      </c>
      <c r="H118" s="161" t="n">
        <v>23401</v>
      </c>
    </row>
    <row r="120" ht="21.6" customHeight="1">
      <c r="B120" s="6" t="inlineStr">
        <is>
          <t>กิ๊บซุ้มล้อ Nissan (40)</t>
        </is>
      </c>
      <c r="C120" s="8" t="inlineStr">
        <is>
          <t>100ตัว</t>
        </is>
      </c>
      <c r="D120" s="9" t="n">
        <v>3.25</v>
      </c>
      <c r="F120" s="9" t="n">
        <v>325</v>
      </c>
      <c r="G120" s="10" t="inlineStr">
        <is>
          <t>ทาเลนท์</t>
        </is>
      </c>
      <c r="H120" s="161" t="n">
        <v>23205</v>
      </c>
    </row>
    <row r="121" ht="21.6" customHeight="1">
      <c r="B121" s="6" t="inlineStr">
        <is>
          <t>กิ๊บซุ้มล้อ Nissan (40) -- แถมฟรี</t>
        </is>
      </c>
      <c r="C121" s="8" t="inlineStr">
        <is>
          <t>100ตัว</t>
        </is>
      </c>
      <c r="G121" s="10" t="inlineStr">
        <is>
          <t>ทาเลนท์</t>
        </is>
      </c>
      <c r="H121" s="161" t="n">
        <v>23233</v>
      </c>
    </row>
    <row r="122" ht="21.6" customHeight="1">
      <c r="B122" s="6" t="inlineStr">
        <is>
          <t>กิ๊บซุ้มล้อ Nissan (40)</t>
        </is>
      </c>
      <c r="C122" s="8" t="inlineStr">
        <is>
          <t>100ตัว</t>
        </is>
      </c>
      <c r="D122" s="9" t="n">
        <v>3.25</v>
      </c>
      <c r="F122" s="9" t="n">
        <v>325</v>
      </c>
      <c r="G122" s="10" t="inlineStr">
        <is>
          <t>ทาเลนท์</t>
        </is>
      </c>
      <c r="H122" s="161" t="n">
        <v>23272</v>
      </c>
    </row>
    <row r="123" ht="21.6" customHeight="1">
      <c r="B123" s="6" t="inlineStr">
        <is>
          <t>กิ๊บซุ้มล้อ Nissan (40) -- ราคาโปรโมชั่น 500 ตัว</t>
        </is>
      </c>
      <c r="C123" s="8" t="inlineStr">
        <is>
          <t>100ตัว</t>
        </is>
      </c>
      <c r="D123" s="9" t="n">
        <v>1</v>
      </c>
      <c r="F123" s="9" t="n">
        <v>100</v>
      </c>
      <c r="G123" s="10" t="inlineStr">
        <is>
          <t>ทาเลนท์</t>
        </is>
      </c>
      <c r="H123" s="161" t="n">
        <v>23331</v>
      </c>
    </row>
    <row r="124" ht="21.6" customHeight="1">
      <c r="B124" s="6" t="inlineStr">
        <is>
          <t>กิ๊บซุ้มล้อ Nissan (40) -- แถมฟรี</t>
        </is>
      </c>
      <c r="C124" s="8" t="inlineStr">
        <is>
          <t>260ตัว</t>
        </is>
      </c>
      <c r="G124" s="10" t="inlineStr">
        <is>
          <t>ทาเลนท์</t>
        </is>
      </c>
      <c r="H124" s="161" t="n">
        <v>23357</v>
      </c>
    </row>
    <row r="125" ht="21.6" customHeight="1">
      <c r="B125" s="6" t="inlineStr">
        <is>
          <t>กิ๊บซุ้มล้อ Nissan (40)</t>
        </is>
      </c>
      <c r="C125" s="8" t="inlineStr">
        <is>
          <t>100ตัว</t>
        </is>
      </c>
      <c r="D125" s="9" t="n">
        <v>3.25</v>
      </c>
      <c r="F125" s="9" t="n">
        <v>325</v>
      </c>
      <c r="G125" s="10" t="inlineStr">
        <is>
          <t>ทาเลนท์</t>
        </is>
      </c>
      <c r="H125" s="161" t="n">
        <v>23395</v>
      </c>
    </row>
    <row r="126" ht="21.6" customHeight="1">
      <c r="B126" s="6" t="inlineStr">
        <is>
          <t>กิ๊บซุ้มล้อ Nissan (40)</t>
        </is>
      </c>
      <c r="C126" s="8" t="inlineStr">
        <is>
          <t>200ตัว</t>
        </is>
      </c>
      <c r="D126" s="9" t="n">
        <v>3.25</v>
      </c>
      <c r="F126" s="9" t="n">
        <v>650</v>
      </c>
      <c r="G126" s="10" t="inlineStr">
        <is>
          <t>ทาเลนท์</t>
        </is>
      </c>
      <c r="H126" s="161" t="n">
        <v>23545</v>
      </c>
      <c r="I126" s="161" t="inlineStr">
        <is>
          <t>IV6406631</t>
        </is>
      </c>
    </row>
    <row r="128" ht="21.6" customHeight="1">
      <c r="B128" s="6" t="inlineStr">
        <is>
          <t>กิ๊บ Nissan (114)</t>
        </is>
      </c>
      <c r="C128" s="8" t="inlineStr">
        <is>
          <t>200ตัว</t>
        </is>
      </c>
      <c r="D128" s="9" t="n">
        <v>2</v>
      </c>
      <c r="F128" s="9" t="n">
        <v>400</v>
      </c>
      <c r="G128" s="10" t="inlineStr">
        <is>
          <t>ร้าน 55 กิ๊บน๊อต</t>
        </is>
      </c>
      <c r="H128" s="161" t="n">
        <v>24438</v>
      </c>
    </row>
    <row r="129" ht="21.6" customHeight="1">
      <c r="B129" s="6" t="inlineStr">
        <is>
          <t>กิ๊บ Nissan (114)</t>
        </is>
      </c>
      <c r="C129" s="8" t="n">
        <v>400</v>
      </c>
      <c r="D129" s="9" t="n">
        <v>2</v>
      </c>
      <c r="F129" s="9">
        <f>SUM(D129*C129)</f>
        <v/>
      </c>
      <c r="G129" s="10" t="inlineStr">
        <is>
          <t>ร้าน 55 กิ๊บน๊อต</t>
        </is>
      </c>
      <c r="H129" s="161" t="n">
        <v>24876</v>
      </c>
    </row>
    <row r="131" ht="21.6" customHeight="1">
      <c r="B131" s="6" t="inlineStr">
        <is>
          <t>กิ๊บซุ้มล้อ Mitsu</t>
        </is>
      </c>
      <c r="C131" s="8" t="n">
        <v>200</v>
      </c>
      <c r="D131" s="9" t="n">
        <v>2</v>
      </c>
      <c r="F131" s="9">
        <f>SUM(C131*D131)</f>
        <v/>
      </c>
      <c r="G131" s="10" t="inlineStr">
        <is>
          <t>ร้าน 55 กิ๊บน๊อต</t>
        </is>
      </c>
      <c r="H131" s="161" t="n">
        <v>24324</v>
      </c>
    </row>
    <row r="132" ht="21.6" customHeight="1">
      <c r="B132" s="6" t="inlineStr">
        <is>
          <t>กิ๊บซุ้มล้อ Mitsu</t>
        </is>
      </c>
      <c r="C132" s="8" t="n">
        <v>100</v>
      </c>
      <c r="D132" s="9" t="n">
        <v>3</v>
      </c>
      <c r="F132" s="9">
        <f>SUM(C132*D132)</f>
        <v/>
      </c>
      <c r="G132" s="10" t="inlineStr">
        <is>
          <t>ร้านต้นคิด</t>
        </is>
      </c>
      <c r="H132" s="161" t="n">
        <v>24434</v>
      </c>
    </row>
    <row r="134" ht="21.6" customHeight="1">
      <c r="B134" s="6" t="inlineStr">
        <is>
          <t>กิ๊บซุ้มล้อ มาสด้า</t>
        </is>
      </c>
      <c r="C134" s="8" t="n">
        <v>100</v>
      </c>
      <c r="D134" s="9" t="n">
        <v>3</v>
      </c>
      <c r="F134" s="9">
        <f>SUM(C134*D134)</f>
        <v/>
      </c>
      <c r="G134" s="10" t="inlineStr">
        <is>
          <t>ร้านต้นคิด</t>
        </is>
      </c>
      <c r="H134" s="161" t="n">
        <v>24434</v>
      </c>
    </row>
    <row r="136" ht="21.6" customHeight="1">
      <c r="B136" s="6" t="inlineStr">
        <is>
          <t>กิ๊บซุ้มล้อ ไตรตัน</t>
        </is>
      </c>
      <c r="C136" s="8" t="n">
        <v>100</v>
      </c>
      <c r="D136" s="9" t="n">
        <v>3</v>
      </c>
      <c r="F136" s="9">
        <f>SUM(C136*D136)</f>
        <v/>
      </c>
      <c r="G136" s="10" t="inlineStr">
        <is>
          <t>ร้านต้นคิด</t>
        </is>
      </c>
      <c r="H136" s="161" t="n">
        <v>24434</v>
      </c>
    </row>
    <row r="138" ht="21.6" customHeight="1">
      <c r="B138" s="6" t="inlineStr">
        <is>
          <t>กิ๊บยึดซุ้มล้อคางหมู Mitsu</t>
        </is>
      </c>
      <c r="C138" s="8" t="n">
        <v>200</v>
      </c>
      <c r="D138" s="9" t="n">
        <v>2</v>
      </c>
      <c r="F138" s="9">
        <f>SUM(C138*D138)</f>
        <v/>
      </c>
      <c r="G138" s="10" t="inlineStr">
        <is>
          <t>ร้าน 55 กิ๊บน๊อต</t>
        </is>
      </c>
      <c r="H138" s="161" t="n">
        <v>24324</v>
      </c>
    </row>
    <row r="140" ht="21.6" customHeight="1">
      <c r="B140" s="6" t="inlineStr">
        <is>
          <t>กิ๊บซุ้มล้อ Honda (84)</t>
        </is>
      </c>
      <c r="C140" s="8" t="inlineStr">
        <is>
          <t>300ตัว</t>
        </is>
      </c>
      <c r="D140" s="9" t="n">
        <v>3.25</v>
      </c>
      <c r="F140" s="9" t="n">
        <v>975</v>
      </c>
      <c r="G140" s="10" t="inlineStr">
        <is>
          <t>ทาเลนท์</t>
        </is>
      </c>
      <c r="H140" s="161" t="n">
        <v>23272</v>
      </c>
    </row>
    <row r="141" ht="21.6" customHeight="1">
      <c r="B141" s="6" t="inlineStr">
        <is>
          <t>กิ๊บซุ้มล้อ Honda (84)</t>
        </is>
      </c>
      <c r="C141" s="8" t="inlineStr">
        <is>
          <t>200ตัว</t>
        </is>
      </c>
      <c r="D141" s="9" t="n">
        <v>3.25</v>
      </c>
      <c r="F141" s="9" t="n">
        <v>650</v>
      </c>
      <c r="G141" s="10" t="inlineStr">
        <is>
          <t>ทาเลนท์</t>
        </is>
      </c>
      <c r="H141" s="161" t="n">
        <v>23357</v>
      </c>
    </row>
    <row r="142" ht="21.6" customHeight="1">
      <c r="B142" s="6" t="inlineStr">
        <is>
          <t>กิ๊บซุ้มล้อ Honda (84)</t>
        </is>
      </c>
      <c r="C142" s="8" t="inlineStr">
        <is>
          <t>100ตัว</t>
        </is>
      </c>
      <c r="D142" s="9" t="n">
        <v>3.25</v>
      </c>
      <c r="F142" s="9" t="n">
        <v>325</v>
      </c>
      <c r="G142" s="10" t="inlineStr">
        <is>
          <t>ทาเลนท์</t>
        </is>
      </c>
      <c r="H142" s="161" t="n">
        <v>23395</v>
      </c>
    </row>
    <row r="143" ht="21.6" customHeight="1">
      <c r="B143" s="6" t="inlineStr">
        <is>
          <t>กิ๊บซุ้มล้อ Honda (84)</t>
        </is>
      </c>
      <c r="C143" s="8" t="inlineStr">
        <is>
          <t>200ตัว</t>
        </is>
      </c>
      <c r="D143" s="9" t="n">
        <v>3</v>
      </c>
      <c r="F143" s="9" t="n">
        <v>600</v>
      </c>
      <c r="G143" s="10" t="inlineStr">
        <is>
          <t>ต้นคิด</t>
        </is>
      </c>
      <c r="H143" s="161" t="n">
        <v>23959</v>
      </c>
    </row>
    <row r="144" ht="21.6" customHeight="1">
      <c r="B144" s="6" t="inlineStr">
        <is>
          <t>กิ๊บซุ้มล้อ Honda (84)</t>
        </is>
      </c>
      <c r="C144" s="8" t="inlineStr">
        <is>
          <t>200ตัว</t>
        </is>
      </c>
      <c r="D144" s="9" t="n">
        <v>3.25</v>
      </c>
      <c r="F144" s="9" t="n">
        <v>650</v>
      </c>
      <c r="G144" s="10" t="inlineStr">
        <is>
          <t>ทาเลนท์</t>
        </is>
      </c>
      <c r="H144" s="161" t="n">
        <v>24184</v>
      </c>
      <c r="I144" s="161" t="inlineStr">
        <is>
          <t>IB3008935</t>
        </is>
      </c>
    </row>
    <row r="145" ht="21.6" customHeight="1">
      <c r="B145" s="6" t="inlineStr">
        <is>
          <t>กิ๊บซุ้มล้อ Honda (84) -- แถมฟรี</t>
        </is>
      </c>
      <c r="C145" s="8" t="inlineStr">
        <is>
          <t>300ตัว</t>
        </is>
      </c>
      <c r="G145" s="10" t="inlineStr">
        <is>
          <t>ทาเลนท์</t>
        </is>
      </c>
      <c r="H145" s="161" t="n">
        <v>24288</v>
      </c>
      <c r="I145" s="161" t="inlineStr">
        <is>
          <t>IB3009612</t>
        </is>
      </c>
    </row>
    <row r="147" ht="21.6" customHeight="1">
      <c r="B147" s="6" t="inlineStr">
        <is>
          <t>กิ๊บซุ้มล้อ Honda ใหม่ (109)</t>
        </is>
      </c>
      <c r="C147" s="8" t="inlineStr">
        <is>
          <t>200ตัว</t>
        </is>
      </c>
      <c r="D147" s="9" t="n">
        <v>2</v>
      </c>
      <c r="F147" s="9" t="n">
        <v>400</v>
      </c>
      <c r="G147" s="10" t="inlineStr">
        <is>
          <t>ร้าน 55 กิ๊บน๊อต</t>
        </is>
      </c>
      <c r="H147" s="161" t="n">
        <v>24438</v>
      </c>
    </row>
    <row r="149" ht="21.6" customHeight="1">
      <c r="B149" s="6" t="inlineStr">
        <is>
          <t>กิ๊บซุ้มล้อ Honda (108)</t>
        </is>
      </c>
      <c r="C149" s="8" t="n">
        <v>400</v>
      </c>
      <c r="D149" s="9" t="n">
        <v>2</v>
      </c>
      <c r="F149" s="9">
        <f>SUM(C149*D149)</f>
        <v/>
      </c>
      <c r="G149" s="10" t="inlineStr">
        <is>
          <t>ร้าน 55 กิ๊บน๊อต</t>
        </is>
      </c>
      <c r="H149" s="161" t="n">
        <v>24603</v>
      </c>
    </row>
    <row r="150" ht="21.6" customHeight="1">
      <c r="B150" s="6" t="inlineStr">
        <is>
          <t>กิ๊บซุ้มล้อ Honda (108)</t>
        </is>
      </c>
      <c r="C150" s="8" t="n">
        <v>400</v>
      </c>
      <c r="D150" s="9" t="n">
        <v>2</v>
      </c>
      <c r="F150" s="9">
        <f>SUM(C150*D150)</f>
        <v/>
      </c>
      <c r="G150" s="10" t="inlineStr">
        <is>
          <t>ร้าน 55 กิ๊บน๊อต</t>
        </is>
      </c>
      <c r="H150" s="161" t="n">
        <v>24876</v>
      </c>
    </row>
    <row r="152" ht="21.6" customHeight="1">
      <c r="B152" s="6" t="inlineStr">
        <is>
          <t>กิ๊บซุ้มล้อ โตโยต้า (101)</t>
        </is>
      </c>
      <c r="C152" s="8" t="n">
        <v>200</v>
      </c>
      <c r="D152" s="9" t="n">
        <v>2</v>
      </c>
      <c r="F152" s="9">
        <f>SUM(C152*D152)</f>
        <v/>
      </c>
      <c r="G152" s="10" t="inlineStr">
        <is>
          <t>ร้าน 55 กิ๊บน๊อต</t>
        </is>
      </c>
      <c r="H152" s="161" t="n">
        <v>24876</v>
      </c>
    </row>
    <row r="153" ht="21.6" customHeight="1">
      <c r="B153" s="6" t="inlineStr">
        <is>
          <t>กิ๊บซุ้มล้อ โตโยต้า (101)</t>
        </is>
      </c>
      <c r="C153" s="8" t="n">
        <v>200</v>
      </c>
      <c r="D153" s="9" t="n">
        <v>2</v>
      </c>
      <c r="F153" s="9">
        <f>SUM(C153*D153)</f>
        <v/>
      </c>
      <c r="G153" s="10" t="inlineStr">
        <is>
          <t>ร้าน 55 กิ๊บน๊อต</t>
        </is>
      </c>
      <c r="H153" s="161" t="n">
        <v>25009</v>
      </c>
    </row>
    <row r="155" ht="21.6" customHeight="1">
      <c r="B155" s="6" t="inlineStr">
        <is>
          <t>กิ๊บบังฝุ่น March</t>
        </is>
      </c>
      <c r="C155" s="8" t="inlineStr">
        <is>
          <t>100ตัว</t>
        </is>
      </c>
      <c r="D155" s="9" t="n">
        <v>3</v>
      </c>
      <c r="F155" s="9" t="n">
        <v>300</v>
      </c>
      <c r="G155" s="10" t="inlineStr">
        <is>
          <t>ต้นคิด</t>
        </is>
      </c>
      <c r="H155" s="161" t="n">
        <v>23053</v>
      </c>
    </row>
    <row r="157" ht="21.6" customHeight="1">
      <c r="B157" s="6" t="inlineStr">
        <is>
          <t>กิ๊บล็อคบังฝุ่นโตโยต้า (51)</t>
        </is>
      </c>
      <c r="C157" s="8" t="inlineStr">
        <is>
          <t>100ตัว</t>
        </is>
      </c>
      <c r="D157" s="9" t="n">
        <v>4.85</v>
      </c>
      <c r="F157" s="9" t="n">
        <v>485</v>
      </c>
      <c r="G157" s="10" t="inlineStr">
        <is>
          <t>ทาเลนท์</t>
        </is>
      </c>
      <c r="H157" s="161" t="n">
        <v>23635</v>
      </c>
      <c r="I157" s="161" t="inlineStr">
        <is>
          <t>IV6411764</t>
        </is>
      </c>
    </row>
    <row r="159" ht="21.6" customHeight="1">
      <c r="B159" s="6" t="inlineStr">
        <is>
          <t>กิ๊บบังฝุ่น VIOS</t>
        </is>
      </c>
      <c r="C159" s="8" t="inlineStr">
        <is>
          <t>100ตัว</t>
        </is>
      </c>
      <c r="D159" s="9" t="n">
        <v>3</v>
      </c>
      <c r="F159" s="9" t="n">
        <v>300</v>
      </c>
      <c r="G159" s="10" t="inlineStr">
        <is>
          <t>ต้นคิด</t>
        </is>
      </c>
      <c r="H159" s="161" t="n">
        <v>22406</v>
      </c>
    </row>
    <row r="160" ht="21.6" customHeight="1">
      <c r="B160" s="6" t="inlineStr">
        <is>
          <t>กิ๊บบังฝุ่น VIOS</t>
        </is>
      </c>
      <c r="C160" s="8" t="inlineStr">
        <is>
          <t>100ตัว</t>
        </is>
      </c>
      <c r="D160" s="9" t="n">
        <v>3</v>
      </c>
      <c r="F160" s="9" t="n">
        <v>300</v>
      </c>
      <c r="G160" s="10" t="inlineStr">
        <is>
          <t>ต้นคิด</t>
        </is>
      </c>
      <c r="H160" s="161" t="n">
        <v>22436</v>
      </c>
    </row>
    <row r="161" ht="21.6" customHeight="1">
      <c r="B161" s="6" t="inlineStr">
        <is>
          <t>กิ๊บบังฝุ่น VIOS</t>
        </is>
      </c>
      <c r="C161" s="8" t="inlineStr">
        <is>
          <t>100ตัว</t>
        </is>
      </c>
      <c r="D161" s="9" t="n">
        <v>3</v>
      </c>
      <c r="F161" s="9" t="n">
        <v>300</v>
      </c>
      <c r="G161" s="10" t="inlineStr">
        <is>
          <t>ต้นคิด</t>
        </is>
      </c>
      <c r="H161" s="161" t="n">
        <v>22837</v>
      </c>
    </row>
    <row r="162" ht="21.6" customHeight="1">
      <c r="B162" s="6" t="inlineStr">
        <is>
          <t>กิ๊บบังฝุ่น VIOS</t>
        </is>
      </c>
      <c r="C162" s="8" t="inlineStr">
        <is>
          <t>200ตัว</t>
        </is>
      </c>
      <c r="D162" s="9" t="n">
        <v>3</v>
      </c>
      <c r="F162" s="9" t="n">
        <v>600</v>
      </c>
      <c r="G162" s="10" t="inlineStr">
        <is>
          <t>ต้นคิด</t>
        </is>
      </c>
      <c r="H162" s="161" t="n">
        <v>22871</v>
      </c>
    </row>
    <row r="163" ht="21.6" customHeight="1">
      <c r="B163" s="6" t="inlineStr">
        <is>
          <t>กิ๊บบังฝุ่น VIOS</t>
        </is>
      </c>
      <c r="C163" s="8" t="inlineStr">
        <is>
          <t>100ตัว</t>
        </is>
      </c>
      <c r="D163" s="9" t="n">
        <v>3</v>
      </c>
      <c r="F163" s="9" t="n">
        <v>300</v>
      </c>
      <c r="G163" s="10" t="inlineStr">
        <is>
          <t>ต้นคิด</t>
        </is>
      </c>
      <c r="H163" s="161" t="n">
        <v>23053</v>
      </c>
    </row>
    <row r="164" ht="21.6" customHeight="1">
      <c r="B164" s="6" t="inlineStr">
        <is>
          <t>กิ๊บบังฝุ่น VIOS</t>
        </is>
      </c>
      <c r="C164" s="8" t="inlineStr">
        <is>
          <t>200ตัว</t>
        </is>
      </c>
      <c r="D164" s="9" t="n">
        <v>3</v>
      </c>
      <c r="F164" s="9" t="n">
        <v>600</v>
      </c>
      <c r="G164" s="10" t="inlineStr">
        <is>
          <t>ต้นคิด</t>
        </is>
      </c>
      <c r="H164" s="161" t="n">
        <v>23959</v>
      </c>
    </row>
    <row r="166" ht="21.6" customHeight="1">
      <c r="B166" s="6" t="inlineStr">
        <is>
          <t>กิ๊บบังฝุ่น Vigo</t>
        </is>
      </c>
      <c r="C166" s="8" t="inlineStr">
        <is>
          <t>300ตัว</t>
        </is>
      </c>
      <c r="D166" s="9" t="n">
        <v>3</v>
      </c>
      <c r="F166" s="9" t="n">
        <v>900</v>
      </c>
      <c r="G166" s="10" t="inlineStr">
        <is>
          <t>ต้นคิด</t>
        </is>
      </c>
      <c r="H166" s="161" t="n">
        <v>22436</v>
      </c>
    </row>
    <row r="167" ht="21.6" customHeight="1">
      <c r="B167" s="6" t="inlineStr">
        <is>
          <t>กิ๊บบังฝุ่น Vigo</t>
        </is>
      </c>
      <c r="C167" s="8" t="inlineStr">
        <is>
          <t>400ตัว</t>
        </is>
      </c>
      <c r="D167" s="9" t="n">
        <v>3</v>
      </c>
      <c r="F167" s="9" t="n">
        <v>1200</v>
      </c>
      <c r="G167" s="10" t="inlineStr">
        <is>
          <t>ต้นคิด</t>
        </is>
      </c>
      <c r="H167" s="161" t="n">
        <v>22772</v>
      </c>
    </row>
    <row r="168" ht="21.6" customHeight="1">
      <c r="B168" s="6" t="inlineStr">
        <is>
          <t>กิ๊บบังฝุ่น Vigo</t>
        </is>
      </c>
      <c r="C168" s="8" t="inlineStr">
        <is>
          <t>400ตัว</t>
        </is>
      </c>
      <c r="D168" s="9" t="n">
        <v>3</v>
      </c>
      <c r="F168" s="9" t="n">
        <v>1200</v>
      </c>
      <c r="G168" s="10" t="inlineStr">
        <is>
          <t>ต้นคิด</t>
        </is>
      </c>
      <c r="H168" s="161" t="n">
        <v>22837</v>
      </c>
    </row>
    <row r="169" ht="21.6" customHeight="1">
      <c r="B169" s="6" t="inlineStr">
        <is>
          <t>กิ๊บบังฝุ่น Vigo</t>
        </is>
      </c>
      <c r="C169" s="8" t="inlineStr">
        <is>
          <t>200ตัว</t>
        </is>
      </c>
      <c r="D169" s="9" t="n">
        <v>3</v>
      </c>
      <c r="F169" s="9" t="n">
        <v>600</v>
      </c>
      <c r="G169" s="10" t="inlineStr">
        <is>
          <t>ต้นคิด</t>
        </is>
      </c>
      <c r="H169" s="161" t="n">
        <v>22871</v>
      </c>
    </row>
    <row r="170" ht="21.6" customHeight="1">
      <c r="B170" s="6" t="inlineStr">
        <is>
          <t xml:space="preserve">กิ๊บซุ้มล้อ Vigo (11) </t>
        </is>
      </c>
      <c r="C170" s="8" t="inlineStr">
        <is>
          <t>100ตัว</t>
        </is>
      </c>
      <c r="D170" s="9" t="n">
        <v>1</v>
      </c>
      <c r="F170" s="9" t="n">
        <v>100</v>
      </c>
      <c r="G170" s="10" t="inlineStr">
        <is>
          <t>ทาเลนท์</t>
        </is>
      </c>
      <c r="H170" s="161" t="n">
        <v>23131</v>
      </c>
    </row>
    <row r="171" ht="21.6" customHeight="1">
      <c r="B171" s="6" t="inlineStr">
        <is>
          <t>กิ๊บบังฝุ่น Vigo</t>
        </is>
      </c>
      <c r="C171" s="8" t="inlineStr">
        <is>
          <t>300ตัว</t>
        </is>
      </c>
      <c r="D171" s="9" t="n">
        <v>1</v>
      </c>
      <c r="F171" s="9" t="n">
        <v>300</v>
      </c>
      <c r="G171" s="10" t="inlineStr">
        <is>
          <t>ทาเลนท์</t>
        </is>
      </c>
      <c r="H171" s="161" t="n">
        <v>23172</v>
      </c>
    </row>
    <row r="172" ht="21.6" customHeight="1">
      <c r="B172" s="6" t="inlineStr">
        <is>
          <t xml:space="preserve">กิ๊บซุ้มล้อ Vigo (11) </t>
        </is>
      </c>
      <c r="C172" s="8" t="inlineStr">
        <is>
          <t>300ตัว</t>
        </is>
      </c>
      <c r="D172" s="9" t="n">
        <v>1</v>
      </c>
      <c r="F172" s="9" t="n">
        <v>300</v>
      </c>
      <c r="G172" s="10" t="inlineStr">
        <is>
          <t>ทาเลนท์</t>
        </is>
      </c>
      <c r="H172" s="161" t="n">
        <v>23200</v>
      </c>
    </row>
    <row r="173" ht="21.6" customHeight="1">
      <c r="B173" s="6" t="inlineStr">
        <is>
          <t>กิ๊บซุ้มล้อ Vigo (11) -- แถมฟรี</t>
        </is>
      </c>
      <c r="C173" s="8" t="inlineStr">
        <is>
          <t>100ตัว</t>
        </is>
      </c>
      <c r="G173" s="10" t="inlineStr">
        <is>
          <t>ทาเลนท์</t>
        </is>
      </c>
      <c r="H173" s="161" t="n">
        <v>23205</v>
      </c>
    </row>
    <row r="174" ht="21.6" customHeight="1">
      <c r="B174" s="6" t="inlineStr">
        <is>
          <t>กิ๊บซุ้มล้อ Vigo (11) -- ราคาโปรโมชั่น 500 ตัว</t>
        </is>
      </c>
      <c r="C174" s="8" t="inlineStr">
        <is>
          <t>500ตัว</t>
        </is>
      </c>
      <c r="D174" s="9" t="n">
        <v>1</v>
      </c>
      <c r="F174" s="9" t="n">
        <v>500</v>
      </c>
      <c r="G174" s="10" t="inlineStr">
        <is>
          <t>ทาเลนท์</t>
        </is>
      </c>
      <c r="H174" s="161" t="n">
        <v>23231</v>
      </c>
    </row>
    <row r="175" ht="21.6" customHeight="1">
      <c r="B175" s="6" t="inlineStr">
        <is>
          <t xml:space="preserve">กิ๊บซุ้มล้อ Vigo (11) </t>
        </is>
      </c>
      <c r="C175" s="8" t="inlineStr">
        <is>
          <t>500ตัว</t>
        </is>
      </c>
      <c r="D175" s="9" t="n">
        <v>1</v>
      </c>
      <c r="F175" s="9" t="n">
        <v>500</v>
      </c>
      <c r="G175" s="10" t="inlineStr">
        <is>
          <t>ทาเลนท์</t>
        </is>
      </c>
      <c r="H175" s="161" t="n">
        <v>23233</v>
      </c>
    </row>
    <row r="176" ht="21.6" customHeight="1">
      <c r="B176" s="6" t="inlineStr">
        <is>
          <t>กิ๊บซุ้มล้อ Vigo (11) -- แถมฟรี</t>
        </is>
      </c>
      <c r="C176" s="8" t="inlineStr">
        <is>
          <t>100ตัว</t>
        </is>
      </c>
      <c r="G176" s="10" t="inlineStr">
        <is>
          <t>ทาเลนท์</t>
        </is>
      </c>
      <c r="H176" s="161" t="n">
        <v>23272</v>
      </c>
    </row>
    <row r="177" ht="21.6" customHeight="1">
      <c r="B177" s="6" t="inlineStr">
        <is>
          <t>กิ๊บซุ้มล้อ Vigo (11) -- ราคาโปรโมชั่น 500 ตัว</t>
        </is>
      </c>
      <c r="C177" s="8" t="inlineStr">
        <is>
          <t>300ตัว</t>
        </is>
      </c>
      <c r="D177" s="9" t="n">
        <v>1</v>
      </c>
      <c r="F177" s="9" t="n">
        <v>300</v>
      </c>
      <c r="G177" s="10" t="inlineStr">
        <is>
          <t>ทาเลนท์</t>
        </is>
      </c>
      <c r="H177" s="161" t="n">
        <v>23286</v>
      </c>
    </row>
    <row r="178" ht="21.6" customHeight="1">
      <c r="B178" s="6" t="inlineStr">
        <is>
          <t>กิ๊บซุ้มล้อ Vigo (11) -- แถมฟรี</t>
        </is>
      </c>
      <c r="C178" s="8" t="inlineStr">
        <is>
          <t>250ตัว</t>
        </is>
      </c>
      <c r="G178" s="10" t="inlineStr">
        <is>
          <t>ทาเลนท์</t>
        </is>
      </c>
      <c r="H178" s="161" t="n">
        <v>23395</v>
      </c>
    </row>
    <row r="179" ht="21.6" customHeight="1">
      <c r="B179" s="6" t="inlineStr">
        <is>
          <t xml:space="preserve">กิ๊บซุ้มล้อ Vigo (11) </t>
        </is>
      </c>
      <c r="C179" s="8" t="inlineStr">
        <is>
          <t>300ตัว</t>
        </is>
      </c>
      <c r="D179" s="9" t="n">
        <v>1</v>
      </c>
      <c r="F179" s="9" t="n">
        <v>300</v>
      </c>
      <c r="G179" s="10" t="inlineStr">
        <is>
          <t>ทาเลนท์</t>
        </is>
      </c>
      <c r="H179" s="161" t="n">
        <v>23501</v>
      </c>
    </row>
    <row r="180" ht="21.6" customHeight="1">
      <c r="B180" s="6" t="inlineStr">
        <is>
          <t xml:space="preserve">กิ๊บซุ้มล้อ Vigo (11) </t>
        </is>
      </c>
      <c r="C180" s="8" t="inlineStr">
        <is>
          <t>100ตัว</t>
        </is>
      </c>
      <c r="D180" s="9" t="n">
        <v>3.25</v>
      </c>
      <c r="F180" s="9" t="n">
        <v>325</v>
      </c>
      <c r="G180" s="10" t="inlineStr">
        <is>
          <t>ทาเลนท์</t>
        </is>
      </c>
      <c r="H180" s="161" t="n">
        <v>23545</v>
      </c>
      <c r="I180" s="161" t="inlineStr">
        <is>
          <t>IV6406631</t>
        </is>
      </c>
      <c r="J180" s="8" t="inlineStr">
        <is>
          <t>ราคานี้ยังไม่รวม VAT 7%</t>
        </is>
      </c>
    </row>
    <row r="181" ht="21.6" customHeight="1">
      <c r="B181" s="6" t="inlineStr">
        <is>
          <t>กิ๊บซุ้มล้อ Vigo (11) -- แถมฟรี</t>
        </is>
      </c>
      <c r="C181" s="8" t="inlineStr">
        <is>
          <t>100ตัว</t>
        </is>
      </c>
      <c r="G181" s="10" t="inlineStr">
        <is>
          <t>ทาเลนท์</t>
        </is>
      </c>
      <c r="H181" s="161" t="n">
        <v>23637</v>
      </c>
      <c r="I181" s="161" t="inlineStr">
        <is>
          <t>IV6406631</t>
        </is>
      </c>
    </row>
    <row r="182" ht="21.6" customHeight="1">
      <c r="B182" s="6" t="inlineStr">
        <is>
          <t>กิ๊บซุ้มล้อ Vigo (11) -- แถมฟรี</t>
        </is>
      </c>
      <c r="C182" s="8" t="inlineStr">
        <is>
          <t>500ตัว</t>
        </is>
      </c>
      <c r="G182" s="10" t="inlineStr">
        <is>
          <t>ทาเลนท์</t>
        </is>
      </c>
      <c r="H182" s="161" t="n">
        <v>23635</v>
      </c>
      <c r="I182" s="161" t="inlineStr">
        <is>
          <t>IV6411764</t>
        </is>
      </c>
    </row>
    <row r="183" ht="21.6" customHeight="1">
      <c r="B183" s="6" t="inlineStr">
        <is>
          <t>กิ๊บซุ้มล้อ Vigo (404)</t>
        </is>
      </c>
      <c r="C183" s="8" t="inlineStr">
        <is>
          <t>600ตัว</t>
        </is>
      </c>
      <c r="D183" s="9" t="n">
        <v>2</v>
      </c>
      <c r="F183" s="9" t="n">
        <v>1200</v>
      </c>
      <c r="G183" s="10" t="inlineStr">
        <is>
          <t>ร้าน 55 กิ๊บน๊อต</t>
        </is>
      </c>
      <c r="H183" s="161" t="n">
        <v>23812</v>
      </c>
      <c r="J183" s="8" t="inlineStr">
        <is>
          <t>ไม่มี VAT</t>
        </is>
      </c>
    </row>
    <row r="184" ht="21.6" customHeight="1">
      <c r="B184" s="6" t="inlineStr">
        <is>
          <t xml:space="preserve">กิ๊บซุ้มล้อ Vigo </t>
        </is>
      </c>
      <c r="C184" s="8" t="n">
        <v>300</v>
      </c>
      <c r="D184" s="9" t="n">
        <v>3</v>
      </c>
      <c r="F184" s="9">
        <f>SUM(C184*D184)</f>
        <v/>
      </c>
      <c r="G184" s="10" t="inlineStr">
        <is>
          <t>ต้นคิด</t>
        </is>
      </c>
      <c r="H184" s="161" t="n">
        <v>24160</v>
      </c>
    </row>
    <row r="185" ht="21.6" customHeight="1">
      <c r="B185" s="6" t="inlineStr">
        <is>
          <t xml:space="preserve">กิ๊บซุ้มล้อ Vigo (11) </t>
        </is>
      </c>
      <c r="C185" s="8" t="inlineStr">
        <is>
          <t>300ตัว</t>
        </is>
      </c>
      <c r="D185" s="9" t="n">
        <v>3.25</v>
      </c>
      <c r="F185" s="9" t="n">
        <v>975</v>
      </c>
      <c r="G185" s="10" t="inlineStr">
        <is>
          <t>ทาเลนท์</t>
        </is>
      </c>
      <c r="H185" s="161" t="n">
        <v>24184</v>
      </c>
      <c r="I185" s="161" t="inlineStr">
        <is>
          <t>IB3008935</t>
        </is>
      </c>
      <c r="J185" s="8" t="inlineStr">
        <is>
          <t>ราคานี้ยังไม่รวม VAT 7%</t>
        </is>
      </c>
    </row>
    <row r="186" ht="21.6" customHeight="1">
      <c r="B186" s="6" t="inlineStr">
        <is>
          <t>กิ๊บซุ้มล้อ Vigo (11) -- แถมฟรี</t>
        </is>
      </c>
      <c r="C186" s="8" t="inlineStr">
        <is>
          <t>100ตัว</t>
        </is>
      </c>
      <c r="G186" s="10" t="inlineStr">
        <is>
          <t>ทาเลนท์</t>
        </is>
      </c>
      <c r="H186" s="161" t="n">
        <v>24196</v>
      </c>
      <c r="I186" s="161" t="inlineStr">
        <is>
          <t>IB3009612</t>
        </is>
      </c>
    </row>
    <row r="187" ht="21.6" customHeight="1">
      <c r="B187" s="6" t="inlineStr">
        <is>
          <t xml:space="preserve">กิ๊บซุ้มล้อ Vigo (11) </t>
        </is>
      </c>
      <c r="C187" s="8" t="n">
        <v>500</v>
      </c>
      <c r="D187" s="9" t="n">
        <v>3.25</v>
      </c>
      <c r="F187" s="9">
        <f>SUM(D187*C187)</f>
        <v/>
      </c>
      <c r="G187" s="10" t="inlineStr">
        <is>
          <t>ทาเลนท์</t>
        </is>
      </c>
      <c r="H187" s="161" t="n">
        <v>24526</v>
      </c>
      <c r="I187" s="161" t="inlineStr">
        <is>
          <t>IV2229364</t>
        </is>
      </c>
      <c r="J187" s="8" t="inlineStr">
        <is>
          <t xml:space="preserve">ราคานี้ยังไม่รวม VAT </t>
        </is>
      </c>
    </row>
    <row r="188" ht="21.6" customHeight="1">
      <c r="B188" s="6" t="inlineStr">
        <is>
          <t>กิ๊บซุ้มล้อ Vigo (404)</t>
        </is>
      </c>
      <c r="C188" s="8" t="n">
        <v>400</v>
      </c>
      <c r="D188" s="9" t="n">
        <v>2</v>
      </c>
      <c r="F188" s="9">
        <f>SUM(C188*D188)</f>
        <v/>
      </c>
      <c r="G188" s="10" t="inlineStr">
        <is>
          <t>ร้าน 55 กิ๊บน๊อต</t>
        </is>
      </c>
      <c r="H188" s="161" t="n">
        <v>24603</v>
      </c>
      <c r="J188" s="8" t="inlineStr">
        <is>
          <t>ไม่มี VAT</t>
        </is>
      </c>
    </row>
    <row r="189" ht="21.6" customHeight="1">
      <c r="B189" s="6" t="inlineStr">
        <is>
          <t>กิ๊บซุ้มล้อ Vigo (404)</t>
        </is>
      </c>
      <c r="C189" s="8" t="n">
        <v>400</v>
      </c>
      <c r="D189" s="9" t="n">
        <v>2</v>
      </c>
      <c r="F189" s="9">
        <f>SUM(C189*D189)</f>
        <v/>
      </c>
      <c r="G189" s="10" t="inlineStr">
        <is>
          <t>ร้าน 55 กิ๊บน๊อต</t>
        </is>
      </c>
      <c r="H189" s="161" t="n">
        <v>24876</v>
      </c>
      <c r="J189" s="8" t="inlineStr">
        <is>
          <t>ไม่มี VAT</t>
        </is>
      </c>
    </row>
    <row r="190" ht="21.6" customHeight="1">
      <c r="B190" s="6" t="inlineStr">
        <is>
          <t xml:space="preserve">กิ๊บซุ้มล้อ Vigo (11) </t>
        </is>
      </c>
      <c r="C190" s="8" t="n">
        <v>200</v>
      </c>
      <c r="D190" s="9" t="n">
        <v>3.25</v>
      </c>
      <c r="F190" s="9">
        <f>SUM(D190*C190)</f>
        <v/>
      </c>
      <c r="G190" s="10" t="inlineStr">
        <is>
          <t>ทาเลนท์</t>
        </is>
      </c>
      <c r="H190" s="161" t="n">
        <v>25008</v>
      </c>
      <c r="I190" s="161" t="inlineStr">
        <is>
          <t>IV6809791</t>
        </is>
      </c>
      <c r="J190" s="8" t="inlineStr">
        <is>
          <t xml:space="preserve">ราคานี้ยังไม่รวม VAT </t>
        </is>
      </c>
    </row>
    <row r="192" ht="21.6" customHeight="1">
      <c r="B192" s="6" t="inlineStr">
        <is>
          <t>กิ๊บซุ้มล้อ REVO</t>
        </is>
      </c>
      <c r="C192" s="8" t="inlineStr">
        <is>
          <t>200ตัว</t>
        </is>
      </c>
      <c r="D192" s="9" t="n">
        <v>3</v>
      </c>
      <c r="F192" s="9" t="n">
        <v>600</v>
      </c>
      <c r="G192" s="10" t="inlineStr">
        <is>
          <t>ต้นคิด</t>
        </is>
      </c>
      <c r="H192" s="161" t="n">
        <v>23959</v>
      </c>
      <c r="J192" s="8" t="inlineStr">
        <is>
          <t>ไม่มี VAT</t>
        </is>
      </c>
    </row>
    <row r="193" ht="21.6" customHeight="1">
      <c r="B193" s="6" t="inlineStr">
        <is>
          <t>กิ๊บซุ้มล้อ REVO</t>
        </is>
      </c>
      <c r="C193" s="8" t="n">
        <v>200</v>
      </c>
      <c r="D193" s="9" t="n">
        <v>3</v>
      </c>
      <c r="F193" s="9">
        <f>SUM(C193*D193)</f>
        <v/>
      </c>
      <c r="G193" s="10" t="inlineStr">
        <is>
          <t>ต้นคิด</t>
        </is>
      </c>
      <c r="H193" s="161" t="n">
        <v>24190</v>
      </c>
    </row>
    <row r="194" ht="21.6" customHeight="1">
      <c r="B194" s="6" t="inlineStr">
        <is>
          <t>กิ๊บซุ้มล้อ REVO (122)</t>
        </is>
      </c>
      <c r="C194" s="8" t="n">
        <v>400</v>
      </c>
      <c r="D194" s="9" t="n">
        <v>2</v>
      </c>
      <c r="F194" s="9">
        <f>SUM(C194*D194)</f>
        <v/>
      </c>
      <c r="G194" s="10" t="inlineStr">
        <is>
          <t>ร้าน 55 กิ๊บน๊อต</t>
        </is>
      </c>
      <c r="H194" s="161" t="n">
        <v>24876</v>
      </c>
    </row>
    <row r="195" ht="21.6" customHeight="1">
      <c r="B195" s="6" t="inlineStr">
        <is>
          <t>กิ๊บซุ้มล้อ REVO (122)</t>
        </is>
      </c>
      <c r="C195" s="8" t="n">
        <v>200</v>
      </c>
      <c r="D195" s="9" t="n">
        <v>2</v>
      </c>
      <c r="F195" s="9">
        <f>SUM(C195*D195)</f>
        <v/>
      </c>
      <c r="G195" s="10" t="inlineStr">
        <is>
          <t>ร้าน 55 กิ๊บน๊อต</t>
        </is>
      </c>
      <c r="H195" s="161" t="n">
        <v>25009</v>
      </c>
    </row>
    <row r="197" ht="21.6" customHeight="1">
      <c r="B197" s="6" t="inlineStr">
        <is>
          <t>กิ๊บบังฝุ่น REVO</t>
        </is>
      </c>
      <c r="C197" s="8" t="n">
        <v>200</v>
      </c>
      <c r="D197" s="9" t="n">
        <v>3</v>
      </c>
      <c r="F197" s="9">
        <f>SUM(C197*D197)</f>
        <v/>
      </c>
      <c r="G197" s="10" t="inlineStr">
        <is>
          <t>ต้นคิด</t>
        </is>
      </c>
      <c r="H197" s="161" t="n">
        <v>24331</v>
      </c>
    </row>
    <row r="198" ht="21.6" customHeight="1">
      <c r="B198" s="6" t="inlineStr">
        <is>
          <t>กิ๊บบังฝุ่น REVO</t>
        </is>
      </c>
      <c r="C198" s="8" t="n">
        <v>200</v>
      </c>
      <c r="D198" s="9" t="n">
        <v>3</v>
      </c>
      <c r="F198" s="9">
        <f>SUM(C198*D198)</f>
        <v/>
      </c>
      <c r="G198" s="10" t="inlineStr">
        <is>
          <t>ต้นคิด</t>
        </is>
      </c>
      <c r="H198" s="161" t="n">
        <v>24526</v>
      </c>
    </row>
    <row r="200" ht="21.6" customHeight="1">
      <c r="B200" s="6" t="inlineStr">
        <is>
          <t>กิ๊บยึดพลาสติกใต้เครื่อง (ตัวใหญ่) VIGO</t>
        </is>
      </c>
      <c r="C200" s="8" t="inlineStr">
        <is>
          <t>100ตัว</t>
        </is>
      </c>
      <c r="D200" s="9" t="n">
        <v>8</v>
      </c>
      <c r="F200" s="9" t="n">
        <v>800</v>
      </c>
      <c r="G200" s="10" t="inlineStr">
        <is>
          <t>ต้นคิด</t>
        </is>
      </c>
      <c r="H200" s="161" t="n">
        <v>24095</v>
      </c>
    </row>
    <row r="202" ht="21.6" customHeight="1">
      <c r="B202" s="6" t="inlineStr">
        <is>
          <t>กิ๊บบังฝุ่น ไตรตัน</t>
        </is>
      </c>
      <c r="C202" s="8" t="inlineStr">
        <is>
          <t>100ตัว</t>
        </is>
      </c>
      <c r="D202" s="9" t="n">
        <v>3</v>
      </c>
      <c r="F202" s="9" t="n">
        <v>300</v>
      </c>
      <c r="G202" s="10" t="inlineStr">
        <is>
          <t>ต้นคิด</t>
        </is>
      </c>
      <c r="H202" s="161" t="n">
        <v>22406</v>
      </c>
    </row>
    <row r="203" ht="21.6" customHeight="1">
      <c r="B203" s="6" t="inlineStr">
        <is>
          <t>กิ๊บบังฝุ่น ไตรตัน</t>
        </is>
      </c>
      <c r="C203" s="8" t="inlineStr">
        <is>
          <t>100ตัว</t>
        </is>
      </c>
      <c r="D203" s="9" t="n">
        <v>3</v>
      </c>
      <c r="F203" s="9" t="n">
        <v>300</v>
      </c>
      <c r="G203" s="10" t="inlineStr">
        <is>
          <t>ต้นคิด</t>
        </is>
      </c>
      <c r="H203" s="161" t="n">
        <v>22772</v>
      </c>
    </row>
    <row r="204" ht="21.6" customHeight="1">
      <c r="B204" s="6" t="inlineStr">
        <is>
          <t>กิ๊บบังฝุ่น ไตรตัน</t>
        </is>
      </c>
      <c r="C204" s="8" t="inlineStr">
        <is>
          <t>100ตัว</t>
        </is>
      </c>
      <c r="D204" s="9" t="n">
        <v>3</v>
      </c>
      <c r="F204" s="9" t="n">
        <v>300</v>
      </c>
      <c r="G204" s="10" t="inlineStr">
        <is>
          <t>ต้นคิด</t>
        </is>
      </c>
      <c r="H204" s="161" t="n">
        <v>22837</v>
      </c>
    </row>
    <row r="205" ht="21.6" customHeight="1">
      <c r="B205" s="6" t="inlineStr">
        <is>
          <t>กิ๊บบังฝุ่น ไตรตัน</t>
        </is>
      </c>
      <c r="C205" s="8" t="inlineStr">
        <is>
          <t>100ตัว</t>
        </is>
      </c>
      <c r="D205" s="9" t="n">
        <v>3</v>
      </c>
      <c r="F205" s="9" t="n">
        <v>300</v>
      </c>
      <c r="G205" s="10" t="inlineStr">
        <is>
          <t>ต้นคิด</t>
        </is>
      </c>
      <c r="H205" s="161" t="n">
        <v>23810</v>
      </c>
    </row>
    <row r="206" ht="21.6" customHeight="1">
      <c r="B206" s="6" t="inlineStr">
        <is>
          <t>กิ๊บบังฝุ่น ไตรตัน</t>
        </is>
      </c>
      <c r="C206" s="8" t="n">
        <v>200</v>
      </c>
      <c r="D206" s="9" t="n">
        <v>3</v>
      </c>
      <c r="F206" s="9">
        <f>SUM(C206*D206)</f>
        <v/>
      </c>
      <c r="G206" s="10" t="inlineStr">
        <is>
          <t>ต้นคิด</t>
        </is>
      </c>
      <c r="H206" s="161" t="n">
        <v>24170</v>
      </c>
    </row>
    <row r="208" ht="21.6" customHeight="1">
      <c r="B208" s="6" t="inlineStr">
        <is>
          <t>กิ๊บบังฝุ่น Honda</t>
        </is>
      </c>
      <c r="C208" s="8" t="inlineStr">
        <is>
          <t>100ตัว</t>
        </is>
      </c>
      <c r="D208" s="9" t="n">
        <v>3</v>
      </c>
      <c r="F208" s="9" t="n">
        <v>300</v>
      </c>
      <c r="G208" s="10" t="inlineStr">
        <is>
          <t>ต้นคิด</t>
        </is>
      </c>
      <c r="H208" s="161" t="n">
        <v>22406</v>
      </c>
    </row>
    <row r="209" ht="21.6" customHeight="1">
      <c r="B209" s="6" t="inlineStr">
        <is>
          <t>กิ๊บบังฝุ่น Honda</t>
        </is>
      </c>
      <c r="C209" s="8" t="inlineStr">
        <is>
          <t>100ตัว</t>
        </is>
      </c>
      <c r="D209" s="9" t="n">
        <v>3</v>
      </c>
      <c r="F209" s="9" t="n">
        <v>300</v>
      </c>
      <c r="G209" s="10" t="inlineStr">
        <is>
          <t>ต้นคิด</t>
        </is>
      </c>
      <c r="H209" s="161" t="n">
        <v>22436</v>
      </c>
    </row>
    <row r="210" ht="21.6" customHeight="1">
      <c r="B210" s="6" t="inlineStr">
        <is>
          <t>กิ๊บบังฝุ่น Honda</t>
        </is>
      </c>
      <c r="C210" s="8" t="inlineStr">
        <is>
          <t>100ตัว</t>
        </is>
      </c>
      <c r="D210" s="9" t="n">
        <v>3</v>
      </c>
      <c r="F210" s="9" t="n">
        <v>300</v>
      </c>
      <c r="G210" s="10" t="inlineStr">
        <is>
          <t>ต้นคิด</t>
        </is>
      </c>
      <c r="H210" s="161" t="n">
        <v>22837</v>
      </c>
    </row>
    <row r="211" ht="21.6" customHeight="1">
      <c r="B211" s="6" t="inlineStr">
        <is>
          <t>กิ๊บบังฝุ่น Honda</t>
        </is>
      </c>
      <c r="C211" s="8" t="inlineStr">
        <is>
          <t>100ตัว</t>
        </is>
      </c>
      <c r="D211" s="9" t="n">
        <v>3</v>
      </c>
      <c r="F211" s="9" t="n">
        <v>300</v>
      </c>
      <c r="G211" s="10" t="inlineStr">
        <is>
          <t>ต้นคิด</t>
        </is>
      </c>
      <c r="H211" s="161" t="n">
        <v>22871</v>
      </c>
    </row>
    <row r="212" ht="21.6" customHeight="1">
      <c r="B212" s="6" t="inlineStr">
        <is>
          <t>กิ๊บบังฝุ่น Honda</t>
        </is>
      </c>
      <c r="C212" s="8" t="inlineStr">
        <is>
          <t>100ตัว</t>
        </is>
      </c>
      <c r="D212" s="9" t="n">
        <v>3</v>
      </c>
      <c r="F212" s="9" t="n">
        <v>300</v>
      </c>
      <c r="G212" s="10" t="inlineStr">
        <is>
          <t>ต้นคิด</t>
        </is>
      </c>
      <c r="H212" s="161" t="n">
        <v>23053</v>
      </c>
    </row>
    <row r="213" ht="21.6" customHeight="1">
      <c r="B213" s="6" t="inlineStr">
        <is>
          <t>กิ๊บบังฝุ่น Honda</t>
        </is>
      </c>
      <c r="C213" s="8" t="inlineStr">
        <is>
          <t>200ตัว</t>
        </is>
      </c>
      <c r="D213" s="9" t="n">
        <v>3</v>
      </c>
      <c r="F213" s="9" t="n">
        <v>600</v>
      </c>
      <c r="G213" s="10" t="inlineStr">
        <is>
          <t>ต้นคิด</t>
        </is>
      </c>
      <c r="H213" s="161" t="n">
        <v>23812</v>
      </c>
    </row>
    <row r="215" ht="21.6" customHeight="1">
      <c r="B215" s="6" t="inlineStr">
        <is>
          <t>กิ๊บบังฝุ่น BT50</t>
        </is>
      </c>
      <c r="C215" s="8" t="inlineStr">
        <is>
          <t>100ตัว</t>
        </is>
      </c>
      <c r="D215" s="9" t="n">
        <v>3</v>
      </c>
      <c r="F215" s="9" t="n">
        <v>300</v>
      </c>
      <c r="G215" s="10" t="inlineStr">
        <is>
          <t>ต้นคิด</t>
        </is>
      </c>
      <c r="H215" s="161" t="n">
        <v>22837</v>
      </c>
    </row>
    <row r="216" ht="21.6" customHeight="1">
      <c r="B216" s="6" t="inlineStr">
        <is>
          <t>กิ๊บบังฝุ่น BT50</t>
        </is>
      </c>
      <c r="C216" s="8" t="n">
        <v>300</v>
      </c>
      <c r="D216" s="9" t="n">
        <v>3</v>
      </c>
      <c r="F216" s="9">
        <f>SUM(C216*D216)</f>
        <v/>
      </c>
      <c r="G216" s="10" t="inlineStr">
        <is>
          <t>ต้นคิด</t>
        </is>
      </c>
      <c r="H216" s="161" t="n">
        <v>24170</v>
      </c>
    </row>
    <row r="217" ht="21.6" customHeight="1">
      <c r="B217" s="6" t="inlineStr">
        <is>
          <t>กิ๊บบังฝุ่น BT50</t>
        </is>
      </c>
      <c r="C217" s="8" t="n">
        <v>100</v>
      </c>
      <c r="D217" s="9" t="n">
        <v>3</v>
      </c>
      <c r="F217" s="9">
        <f>SUM(C217*D217)</f>
        <v/>
      </c>
      <c r="G217" s="10" t="inlineStr">
        <is>
          <t>ต้นคิด</t>
        </is>
      </c>
      <c r="H217" s="161" t="n">
        <v>24316</v>
      </c>
    </row>
    <row r="219" ht="21.6" customHeight="1">
      <c r="B219" s="6" t="inlineStr">
        <is>
          <t>กิ๊บบังฝุ่น MAZDA</t>
        </is>
      </c>
      <c r="C219" s="8" t="n">
        <v>200</v>
      </c>
      <c r="D219" s="9" t="n">
        <v>3</v>
      </c>
      <c r="F219" s="9">
        <f>SUM(C219*D219)</f>
        <v/>
      </c>
      <c r="G219" s="10" t="inlineStr">
        <is>
          <t>ต้นคิด</t>
        </is>
      </c>
      <c r="H219" s="161" t="n">
        <v>24180</v>
      </c>
    </row>
    <row r="221" ht="21.6" customHeight="1">
      <c r="B221" s="6" t="inlineStr">
        <is>
          <t>กิ๊บบังฝุ่น Ford</t>
        </is>
      </c>
      <c r="C221" s="8" t="inlineStr">
        <is>
          <t>100ตัว</t>
        </is>
      </c>
      <c r="D221" s="9" t="n">
        <v>3</v>
      </c>
      <c r="F221" s="9" t="n">
        <v>300</v>
      </c>
      <c r="G221" s="10" t="inlineStr">
        <is>
          <t>ต้นคิด</t>
        </is>
      </c>
      <c r="H221" s="161" t="n">
        <v>22837</v>
      </c>
    </row>
    <row r="222" ht="21.6" customHeight="1">
      <c r="B222" s="6" t="inlineStr">
        <is>
          <t>กิ๊บบังฝุ่น Ford</t>
        </is>
      </c>
      <c r="C222" s="8" t="inlineStr">
        <is>
          <t>100ตัว</t>
        </is>
      </c>
      <c r="D222" s="9" t="n">
        <v>3</v>
      </c>
      <c r="F222" s="9" t="n">
        <v>300</v>
      </c>
      <c r="G222" s="10" t="inlineStr">
        <is>
          <t>ต้นคิด</t>
        </is>
      </c>
      <c r="H222" s="161" t="n">
        <v>23053</v>
      </c>
    </row>
    <row r="223" ht="21.6" customHeight="1">
      <c r="B223" s="6" t="inlineStr">
        <is>
          <t>กิ๊บบังฝุ่น Ford (เก๋ง)</t>
        </is>
      </c>
      <c r="C223" s="8" t="n">
        <v>100</v>
      </c>
      <c r="D223" s="9" t="n">
        <v>3</v>
      </c>
      <c r="F223" s="9">
        <f>SUM(D223*C223)</f>
        <v/>
      </c>
      <c r="G223" s="10" t="inlineStr">
        <is>
          <t>ต้นคิด</t>
        </is>
      </c>
      <c r="H223" s="161" t="n">
        <v>24896</v>
      </c>
    </row>
    <row r="225" ht="21.6" customHeight="1">
      <c r="B225" s="6" t="inlineStr">
        <is>
          <t>กิ๊บบังฝุ่น สวิฟ</t>
        </is>
      </c>
      <c r="C225" s="8" t="inlineStr">
        <is>
          <t>200ตัว</t>
        </is>
      </c>
      <c r="D225" s="9" t="n">
        <v>3</v>
      </c>
      <c r="F225" s="9" t="n">
        <v>600</v>
      </c>
      <c r="G225" s="10" t="inlineStr">
        <is>
          <t>ต้นคิด</t>
        </is>
      </c>
      <c r="H225" s="161" t="n">
        <v>23810</v>
      </c>
    </row>
    <row r="226" ht="21.6" customHeight="1">
      <c r="B226" s="6" t="inlineStr">
        <is>
          <t>กิ๊บบังฝุ่น สวิฟ</t>
        </is>
      </c>
      <c r="C226" s="8" t="n">
        <v>300</v>
      </c>
      <c r="D226" s="9" t="n">
        <v>3</v>
      </c>
      <c r="F226" s="9">
        <f>SUM(C226*D226)</f>
        <v/>
      </c>
      <c r="G226" s="10" t="inlineStr">
        <is>
          <t>ต้นคิด</t>
        </is>
      </c>
      <c r="H226" s="161" t="n">
        <v>24160</v>
      </c>
    </row>
    <row r="227" ht="21.6" customHeight="1">
      <c r="B227" s="6" t="inlineStr">
        <is>
          <t>กิ๊บบังฝุ่น สวิฟ</t>
        </is>
      </c>
      <c r="C227" s="8" t="n">
        <v>200</v>
      </c>
      <c r="D227" s="9" t="n">
        <v>3</v>
      </c>
      <c r="F227" s="9">
        <f>SUM(C227*D227)</f>
        <v/>
      </c>
      <c r="G227" s="10" t="inlineStr">
        <is>
          <t>ต้นคิด</t>
        </is>
      </c>
      <c r="H227" s="161" t="n">
        <v>24896</v>
      </c>
    </row>
    <row r="229" ht="21.6" customHeight="1">
      <c r="B229" s="6" t="inlineStr">
        <is>
          <t>กิ๊บบังฝุ่น D-MAX มีเหล็ก</t>
        </is>
      </c>
      <c r="C229" s="8" t="inlineStr">
        <is>
          <t>50ตัว</t>
        </is>
      </c>
      <c r="D229" s="9" t="n">
        <v>8</v>
      </c>
      <c r="F229" s="9" t="n">
        <v>400</v>
      </c>
      <c r="G229" s="10" t="inlineStr">
        <is>
          <t>ต้นคิด</t>
        </is>
      </c>
      <c r="H229" s="161" t="n">
        <v>22406</v>
      </c>
    </row>
    <row r="230" ht="21.6" customHeight="1">
      <c r="B230" s="6" t="inlineStr">
        <is>
          <t>กิ๊บบังฝุ่น D-MAX มีเหล็ก</t>
        </is>
      </c>
      <c r="C230" s="8" t="inlineStr">
        <is>
          <t>50ตัว</t>
        </is>
      </c>
      <c r="D230" s="9" t="n">
        <v>8</v>
      </c>
      <c r="F230" s="9" t="n">
        <v>400</v>
      </c>
      <c r="G230" s="10" t="inlineStr">
        <is>
          <t>ต้นคิด</t>
        </is>
      </c>
      <c r="H230" s="161" t="n">
        <v>22464</v>
      </c>
    </row>
    <row r="231" ht="21.6" customHeight="1">
      <c r="B231" s="6" t="inlineStr">
        <is>
          <t>กิ๊บบังฝุ่น D-MAX มีเหล็ก</t>
        </is>
      </c>
      <c r="C231" s="8" t="inlineStr">
        <is>
          <t>50ตัว</t>
        </is>
      </c>
      <c r="D231" s="9" t="n">
        <v>8</v>
      </c>
      <c r="F231" s="9" t="n">
        <v>400</v>
      </c>
      <c r="G231" s="10" t="inlineStr">
        <is>
          <t>ต้นคิด</t>
        </is>
      </c>
      <c r="H231" s="161" t="n">
        <v>22837</v>
      </c>
    </row>
    <row r="232" ht="21.6" customHeight="1">
      <c r="B232" s="6" t="inlineStr">
        <is>
          <t>กิ๊บบังฝุ่น D-MAX มีเหล็ก</t>
        </is>
      </c>
      <c r="C232" s="8" t="inlineStr">
        <is>
          <t>50ตัว</t>
        </is>
      </c>
      <c r="D232" s="9" t="n">
        <v>8</v>
      </c>
      <c r="F232" s="9" t="n">
        <v>400</v>
      </c>
      <c r="G232" s="10" t="inlineStr">
        <is>
          <t>ต้นคิด</t>
        </is>
      </c>
      <c r="H232" s="161" t="n">
        <v>22871</v>
      </c>
    </row>
    <row r="233" ht="21.6" customHeight="1">
      <c r="B233" s="6" t="inlineStr">
        <is>
          <t>กิ๊บบังฝุ่น D-MAX มีเหล็ก</t>
        </is>
      </c>
      <c r="C233" s="8" t="inlineStr">
        <is>
          <t>100ตัว</t>
        </is>
      </c>
      <c r="D233" s="9" t="n">
        <v>8</v>
      </c>
      <c r="F233" s="9" t="n">
        <v>800</v>
      </c>
      <c r="G233" s="10" t="inlineStr">
        <is>
          <t>ต้นคิด</t>
        </is>
      </c>
      <c r="H233" s="161" t="n">
        <v>23053</v>
      </c>
    </row>
    <row r="235" ht="21.6" customHeight="1">
      <c r="B235" s="6" t="inlineStr">
        <is>
          <t>กิ๊บซุ้มล้อ D-MAX (2)</t>
        </is>
      </c>
      <c r="C235" s="8" t="inlineStr">
        <is>
          <t>100ตัว</t>
        </is>
      </c>
      <c r="D235" s="9" t="n">
        <v>3.25</v>
      </c>
      <c r="F235" s="9" t="n">
        <v>325</v>
      </c>
      <c r="G235" s="10" t="inlineStr">
        <is>
          <t>ทาเลนท์</t>
        </is>
      </c>
      <c r="H235" s="161" t="n">
        <v>23205</v>
      </c>
    </row>
    <row r="236" ht="21.6" customHeight="1">
      <c r="B236" s="6" t="inlineStr">
        <is>
          <t>กิ๊บซุ้มล้อ D-MAX (2)</t>
        </is>
      </c>
      <c r="C236" s="8" t="inlineStr">
        <is>
          <t>100ตัว</t>
        </is>
      </c>
      <c r="D236" s="9" t="n">
        <v>3.25</v>
      </c>
      <c r="F236" s="9" t="n">
        <v>325</v>
      </c>
      <c r="G236" s="10" t="inlineStr">
        <is>
          <t>ทาเลนท์</t>
        </is>
      </c>
      <c r="H236" s="161" t="n">
        <v>23233</v>
      </c>
    </row>
    <row r="237" ht="21.6" customHeight="1">
      <c r="B237" s="6" t="inlineStr">
        <is>
          <t>กิ๊บซุ้มล้อ D-MAX (2)</t>
        </is>
      </c>
      <c r="C237" s="8" t="inlineStr">
        <is>
          <t>250ตัว</t>
        </is>
      </c>
      <c r="D237" s="9" t="n">
        <v>3.25</v>
      </c>
      <c r="F237" s="9" t="n">
        <v>812.5</v>
      </c>
      <c r="G237" s="10" t="inlineStr">
        <is>
          <t>ทาเลนท์</t>
        </is>
      </c>
      <c r="H237" s="161" t="n">
        <v>23272</v>
      </c>
    </row>
    <row r="238" ht="21.6" customHeight="1">
      <c r="B238" s="6" t="inlineStr">
        <is>
          <t>กิ๊บซุ้มล้อ D-MAX -- แถมฟรี</t>
        </is>
      </c>
      <c r="C238" s="8" t="inlineStr">
        <is>
          <t>200ตัว</t>
        </is>
      </c>
      <c r="G238" s="10" t="inlineStr">
        <is>
          <t>ทาเลนท์</t>
        </is>
      </c>
      <c r="H238" s="161" t="n">
        <v>23357</v>
      </c>
    </row>
    <row r="239" ht="21.6" customHeight="1">
      <c r="B239" s="6" t="inlineStr">
        <is>
          <t>กิ๊บซุ้มล้อ D-MAX (2)</t>
        </is>
      </c>
      <c r="C239" s="8" t="inlineStr">
        <is>
          <t>200ตัว</t>
        </is>
      </c>
      <c r="D239" s="9" t="n">
        <v>3.25</v>
      </c>
      <c r="F239" s="9" t="n">
        <v>650</v>
      </c>
      <c r="G239" s="10" t="inlineStr">
        <is>
          <t>ทาเลนท์</t>
        </is>
      </c>
      <c r="H239" s="161" t="n">
        <v>23545</v>
      </c>
      <c r="I239" s="161" t="inlineStr">
        <is>
          <t>IV6406631</t>
        </is>
      </c>
    </row>
    <row r="240" ht="21.6" customHeight="1">
      <c r="B240" s="6" t="inlineStr">
        <is>
          <t>กิ๊บซุ้มล้อ D-MAX (2)</t>
        </is>
      </c>
      <c r="C240" s="8" t="inlineStr">
        <is>
          <t>200ตัว</t>
        </is>
      </c>
      <c r="D240" s="9" t="n">
        <v>3.25</v>
      </c>
      <c r="F240" s="9" t="n">
        <v>650</v>
      </c>
      <c r="G240" s="10" t="inlineStr">
        <is>
          <t>ทาเลนท์</t>
        </is>
      </c>
      <c r="H240" s="161" t="n">
        <v>23635</v>
      </c>
      <c r="I240" s="161" t="inlineStr">
        <is>
          <t>IV6411764</t>
        </is>
      </c>
    </row>
    <row r="241" ht="21.6" customHeight="1">
      <c r="B241" s="6" t="inlineStr">
        <is>
          <t>กิ๊บซุ้มล้อ D-MAX -- แถมฟรี</t>
        </is>
      </c>
      <c r="C241" s="8" t="n">
        <v>500</v>
      </c>
      <c r="G241" s="10" t="inlineStr">
        <is>
          <t>ทาเลนท์</t>
        </is>
      </c>
      <c r="H241" s="161" t="n">
        <v>24330</v>
      </c>
      <c r="I241" s="161" t="inlineStr">
        <is>
          <t>IV2217986</t>
        </is>
      </c>
    </row>
    <row r="243" ht="21.6" customHeight="1">
      <c r="B243" s="6" t="inlineStr">
        <is>
          <t>กิ๊บซุ้มล้อ D-MAX (มีเหล็ก)</t>
        </is>
      </c>
      <c r="C243" s="8" t="inlineStr">
        <is>
          <t>100ตัว</t>
        </is>
      </c>
      <c r="D243" s="9" t="n">
        <v>8</v>
      </c>
      <c r="F243" s="9" t="n">
        <v>800</v>
      </c>
      <c r="G243" s="10" t="inlineStr">
        <is>
          <t>ต้นคิด</t>
        </is>
      </c>
      <c r="H243" s="161" t="n">
        <v>23619</v>
      </c>
    </row>
    <row r="244" ht="21.6" customHeight="1">
      <c r="B244" s="6" t="inlineStr">
        <is>
          <t>กิ๊บซุ้มล้อ D-MAX (มีเหล็ก)</t>
        </is>
      </c>
      <c r="C244" s="8" t="inlineStr">
        <is>
          <t>200ตัว</t>
        </is>
      </c>
      <c r="D244" s="9" t="n">
        <v>8</v>
      </c>
      <c r="F244" s="9" t="n">
        <v>1600</v>
      </c>
      <c r="G244" s="10" t="inlineStr">
        <is>
          <t>ต้นคิด</t>
        </is>
      </c>
      <c r="H244" s="161" t="n">
        <v>23959</v>
      </c>
    </row>
    <row r="245" ht="21.6" customHeight="1">
      <c r="B245" s="6" t="inlineStr">
        <is>
          <t>กิ๊บซุ้มล้อแกนเหล็ก ISUZU (402)</t>
        </is>
      </c>
      <c r="C245" s="8" t="n">
        <v>40</v>
      </c>
      <c r="D245" s="9" t="n">
        <v>5</v>
      </c>
      <c r="F245" s="9">
        <f>SUM(D245*C245)</f>
        <v/>
      </c>
      <c r="G245" s="10" t="inlineStr">
        <is>
          <t>ร้าน 55 กิ๊บน๊อต</t>
        </is>
      </c>
      <c r="H245" s="161" t="n">
        <v>24876</v>
      </c>
    </row>
    <row r="247" ht="21.6" customHeight="1">
      <c r="B247" s="6" t="inlineStr">
        <is>
          <t>กิ๊บซุ้มล้อ มิราจ</t>
        </is>
      </c>
      <c r="C247" s="8" t="inlineStr">
        <is>
          <t>200ตัว</t>
        </is>
      </c>
      <c r="D247" s="9" t="n">
        <v>3</v>
      </c>
      <c r="F247" s="9" t="n">
        <v>600</v>
      </c>
      <c r="G247" s="10" t="inlineStr">
        <is>
          <t>ต้นคิด</t>
        </is>
      </c>
      <c r="H247" s="161" t="n">
        <v>23901</v>
      </c>
    </row>
    <row r="248" ht="21.6" customHeight="1">
      <c r="B248" s="6" t="inlineStr">
        <is>
          <t>กิ๊บซุ้มล้อ มิราจ</t>
        </is>
      </c>
      <c r="C248" s="8" t="n">
        <v>200</v>
      </c>
      <c r="D248" s="9" t="n">
        <v>3</v>
      </c>
      <c r="F248" s="9">
        <f>SUM(C248*D248)</f>
        <v/>
      </c>
      <c r="G248" s="10" t="inlineStr">
        <is>
          <t>ต้นคิด</t>
        </is>
      </c>
      <c r="H248" s="161" t="n">
        <v>24707</v>
      </c>
    </row>
    <row r="249" ht="21.6" customHeight="1">
      <c r="B249" s="6" t="inlineStr">
        <is>
          <t>กิ๊บซุ้มล้อ มิราจ</t>
        </is>
      </c>
      <c r="C249" s="8" t="n">
        <v>200</v>
      </c>
      <c r="D249" s="9" t="n">
        <v>3</v>
      </c>
      <c r="F249" s="9">
        <f>SUM(C249*D249)</f>
        <v/>
      </c>
      <c r="G249" s="10" t="inlineStr">
        <is>
          <t>ต้นคิด</t>
        </is>
      </c>
      <c r="H249" s="161" t="n">
        <v>24896</v>
      </c>
    </row>
    <row r="251" ht="21.6" customHeight="1">
      <c r="B251" s="6" t="inlineStr">
        <is>
          <t>กิ๊บบังฝุ่น ใต้เครื่อง 3ชั้น (กิ๊บสลับ)</t>
        </is>
      </c>
      <c r="C251" s="8" t="inlineStr">
        <is>
          <t>50ตัว</t>
        </is>
      </c>
      <c r="D251" s="9" t="n">
        <v>8</v>
      </c>
      <c r="F251" s="9" t="n">
        <v>400</v>
      </c>
      <c r="G251" s="10" t="inlineStr">
        <is>
          <t>ต้นคิด</t>
        </is>
      </c>
      <c r="H251" s="161" t="n">
        <v>22464</v>
      </c>
    </row>
    <row r="253" ht="21.6" customHeight="1">
      <c r="B253" s="6" t="inlineStr">
        <is>
          <t>กิ๊บบังฝุ่น หัวลูกศร</t>
        </is>
      </c>
      <c r="C253" s="8" t="inlineStr">
        <is>
          <t>100ตัว</t>
        </is>
      </c>
      <c r="D253" s="9" t="n">
        <v>3</v>
      </c>
      <c r="F253" s="9" t="n">
        <v>300</v>
      </c>
      <c r="G253" s="10" t="inlineStr">
        <is>
          <t>ต้นคิด</t>
        </is>
      </c>
      <c r="H253" s="161" t="n">
        <v>22436</v>
      </c>
    </row>
    <row r="254" ht="21.6" customHeight="1">
      <c r="B254" s="6" t="inlineStr">
        <is>
          <t>กิ๊บบังฝุ่น หัวลูกศร</t>
        </is>
      </c>
      <c r="C254" s="8" t="n">
        <v>100</v>
      </c>
      <c r="D254" s="9" t="n">
        <v>3</v>
      </c>
      <c r="F254" s="9" t="n">
        <v>300</v>
      </c>
      <c r="G254" s="10" t="inlineStr">
        <is>
          <t>ต้นคิด</t>
        </is>
      </c>
      <c r="H254" s="161" t="n">
        <v>24190</v>
      </c>
    </row>
    <row r="255" ht="21.6" customHeight="1">
      <c r="B255" s="6" t="inlineStr">
        <is>
          <t>กิ๊บบังฝุ่น หัวลูกศร</t>
        </is>
      </c>
      <c r="C255" s="8" t="n">
        <v>100</v>
      </c>
      <c r="D255" s="9" t="n">
        <v>3</v>
      </c>
      <c r="F255" s="9" t="n">
        <v>300</v>
      </c>
      <c r="G255" s="10" t="inlineStr">
        <is>
          <t>ต้นคิด</t>
        </is>
      </c>
      <c r="H255" s="161" t="n">
        <v>24316</v>
      </c>
    </row>
    <row r="257" ht="21.6" customHeight="1">
      <c r="B257" s="6" t="inlineStr">
        <is>
          <t>กิ๊บบังฝุ่น หัวบาก</t>
        </is>
      </c>
      <c r="C257" s="8" t="inlineStr">
        <is>
          <t>200ตัว</t>
        </is>
      </c>
      <c r="D257" s="9" t="n">
        <v>3</v>
      </c>
      <c r="F257" s="9" t="n">
        <v>600</v>
      </c>
      <c r="G257" s="10" t="inlineStr">
        <is>
          <t>ต้นคิด</t>
        </is>
      </c>
      <c r="H257" s="161" t="n">
        <v>22871</v>
      </c>
    </row>
    <row r="259" ht="21.6" customHeight="1">
      <c r="B259" s="6" t="inlineStr">
        <is>
          <t>กิ๊บบังฝุ่น แป้นโต</t>
        </is>
      </c>
      <c r="C259" s="8" t="inlineStr">
        <is>
          <t>300ตัว</t>
        </is>
      </c>
      <c r="D259" s="9" t="n">
        <v>3</v>
      </c>
      <c r="F259" s="9" t="n">
        <v>900</v>
      </c>
      <c r="G259" s="10" t="inlineStr">
        <is>
          <t>ต้นคิด</t>
        </is>
      </c>
      <c r="H259" s="161" t="n">
        <v>23053</v>
      </c>
    </row>
    <row r="261" ht="21.6" customHeight="1">
      <c r="B261" s="6" t="inlineStr">
        <is>
          <t>กิ๊บบังโคลน Honda ใหม่</t>
        </is>
      </c>
      <c r="C261" s="8" t="inlineStr">
        <is>
          <t>100ตัว</t>
        </is>
      </c>
      <c r="D261" s="9" t="n">
        <v>4</v>
      </c>
      <c r="F261" s="9" t="n">
        <v>400</v>
      </c>
      <c r="G261" s="10" t="inlineStr">
        <is>
          <t>ต้นคิด</t>
        </is>
      </c>
      <c r="H261" s="161" t="n">
        <v>22837</v>
      </c>
    </row>
    <row r="263" ht="21.6" customHeight="1">
      <c r="B263" s="6" t="inlineStr">
        <is>
          <t>กิ๊บข้างเครื่อง Vigo</t>
        </is>
      </c>
      <c r="C263" s="8" t="inlineStr">
        <is>
          <t>100ตัว</t>
        </is>
      </c>
      <c r="D263" s="9" t="n">
        <v>3.5</v>
      </c>
      <c r="F263" s="9" t="n">
        <v>350</v>
      </c>
      <c r="G263" s="10" t="inlineStr">
        <is>
          <t>ต้นคิด</t>
        </is>
      </c>
      <c r="H263" s="161" t="n">
        <v>22406</v>
      </c>
    </row>
    <row r="264" ht="21.6" customHeight="1">
      <c r="B264" s="6" t="inlineStr">
        <is>
          <t>กิ๊บข้างเครื่อง Vigo</t>
        </is>
      </c>
      <c r="C264" s="8" t="inlineStr">
        <is>
          <t>100ตัว</t>
        </is>
      </c>
      <c r="D264" s="9" t="n">
        <v>3.5</v>
      </c>
      <c r="F264" s="9" t="n">
        <v>350</v>
      </c>
      <c r="G264" s="10" t="inlineStr">
        <is>
          <t>ต้นคิด</t>
        </is>
      </c>
      <c r="H264" s="161" t="n">
        <v>22772</v>
      </c>
    </row>
    <row r="265" ht="21.6" customHeight="1">
      <c r="B265" s="6" t="inlineStr">
        <is>
          <t>กิ๊บข้างเครื่อง Vigo</t>
        </is>
      </c>
      <c r="C265" s="8" t="inlineStr">
        <is>
          <t>100ตัว</t>
        </is>
      </c>
      <c r="D265" s="9" t="n">
        <v>3.5</v>
      </c>
      <c r="F265" s="9" t="n">
        <v>350</v>
      </c>
      <c r="G265" s="10" t="inlineStr">
        <is>
          <t>ต้นคิด</t>
        </is>
      </c>
      <c r="H265" s="161" t="n">
        <v>22837</v>
      </c>
    </row>
    <row r="266" ht="21.6" customHeight="1">
      <c r="B266" s="6" t="inlineStr">
        <is>
          <t>กิ๊บข้างเครื่อง Vigo ลูกศร</t>
        </is>
      </c>
      <c r="C266" s="8" t="n">
        <v>300</v>
      </c>
      <c r="D266" s="9" t="n">
        <v>3.5</v>
      </c>
      <c r="F266" s="9">
        <f>SUM(D266*C266)</f>
        <v/>
      </c>
      <c r="G266" s="10" t="inlineStr">
        <is>
          <t>ต้นคิด</t>
        </is>
      </c>
      <c r="H266" s="161" t="n">
        <v>24896</v>
      </c>
    </row>
    <row r="268" ht="21.6" customHeight="1">
      <c r="B268" s="6" t="inlineStr">
        <is>
          <t>กิ๊บข้างเครื่อง REVO</t>
        </is>
      </c>
      <c r="C268" s="8" t="n">
        <v>100</v>
      </c>
      <c r="D268" s="9" t="n">
        <v>3.5</v>
      </c>
      <c r="F268" s="9">
        <f>SUM(C268*D268)</f>
        <v/>
      </c>
      <c r="G268" s="10" t="inlineStr">
        <is>
          <t>ต้นคิด</t>
        </is>
      </c>
      <c r="H268" s="161" t="n">
        <v>24707</v>
      </c>
    </row>
    <row r="270" ht="21.6" customHeight="1">
      <c r="B270" s="6" t="inlineStr">
        <is>
          <t>กิ๊บข้างเครื่อง ISUZU</t>
        </is>
      </c>
      <c r="C270" s="8" t="inlineStr">
        <is>
          <t>100ตัว</t>
        </is>
      </c>
      <c r="D270" s="9" t="n">
        <v>3</v>
      </c>
      <c r="F270" s="9" t="n">
        <v>300</v>
      </c>
      <c r="G270" s="10" t="inlineStr">
        <is>
          <t>ต้นคิด</t>
        </is>
      </c>
      <c r="H270" s="161" t="n">
        <v>22436</v>
      </c>
    </row>
    <row r="271" ht="21.6" customHeight="1">
      <c r="B271" s="6" t="inlineStr">
        <is>
          <t>กิ๊บข้างเครื่อง ISUZU</t>
        </is>
      </c>
      <c r="C271" s="8" t="inlineStr">
        <is>
          <t>100ตัว</t>
        </is>
      </c>
      <c r="D271" s="9" t="n">
        <v>3.5</v>
      </c>
      <c r="F271" s="9" t="n">
        <v>350</v>
      </c>
      <c r="G271" s="10" t="inlineStr">
        <is>
          <t>ต้นคิด</t>
        </is>
      </c>
      <c r="H271" s="161" t="n">
        <v>22871</v>
      </c>
    </row>
    <row r="273" ht="21.6" customHeight="1">
      <c r="B273" s="6" t="inlineStr">
        <is>
          <t>กิ๊บข้างแผงแอร์ ISUZU #503</t>
        </is>
      </c>
      <c r="C273" s="8" t="inlineStr">
        <is>
          <t>100ตัว</t>
        </is>
      </c>
      <c r="D273" s="9" t="n">
        <v>2</v>
      </c>
      <c r="F273" s="9" t="n">
        <v>200</v>
      </c>
      <c r="G273" s="10" t="inlineStr">
        <is>
          <t>55 กิ๊บน๊อต</t>
        </is>
      </c>
      <c r="H273" s="161" t="n">
        <v>23596</v>
      </c>
    </row>
    <row r="274" ht="21.6" customHeight="1">
      <c r="B274" s="6" t="inlineStr">
        <is>
          <t>กิ๊บข้างแผงแอร์ ISUZU #503</t>
        </is>
      </c>
      <c r="C274" s="8" t="inlineStr">
        <is>
          <t>300ตัว</t>
        </is>
      </c>
      <c r="D274" s="9" t="n">
        <v>2</v>
      </c>
      <c r="F274" s="9" t="n">
        <v>600</v>
      </c>
      <c r="G274" s="10" t="inlineStr">
        <is>
          <t>55 กิ๊บน๊อต</t>
        </is>
      </c>
      <c r="H274" s="161" t="n">
        <v>23830</v>
      </c>
    </row>
    <row r="276" ht="21.6" customHeight="1">
      <c r="B276" s="6" t="inlineStr">
        <is>
          <t>กิ๊บข้างเครื่อง D-MAX</t>
        </is>
      </c>
      <c r="C276" s="8" t="inlineStr">
        <is>
          <t>100ตัว</t>
        </is>
      </c>
      <c r="D276" s="9" t="n">
        <v>3.5</v>
      </c>
      <c r="F276" s="9" t="n">
        <v>350</v>
      </c>
      <c r="G276" s="10" t="inlineStr">
        <is>
          <t>ต้นคิด</t>
        </is>
      </c>
      <c r="H276" s="161" t="n">
        <v>22464</v>
      </c>
    </row>
    <row r="277" ht="21.6" customHeight="1">
      <c r="B277" s="6" t="inlineStr">
        <is>
          <t>กิ๊บข้างเครื่อง D-MAX</t>
        </is>
      </c>
      <c r="C277" s="8" t="inlineStr">
        <is>
          <t>100ตัว</t>
        </is>
      </c>
      <c r="D277" s="9" t="n">
        <v>3.5</v>
      </c>
      <c r="F277" s="9" t="n">
        <v>350</v>
      </c>
      <c r="G277" s="10" t="inlineStr">
        <is>
          <t>ต้นคิด</t>
        </is>
      </c>
      <c r="H277" s="161" t="n">
        <v>22772</v>
      </c>
    </row>
    <row r="278" ht="21.6" customHeight="1">
      <c r="B278" s="6" t="inlineStr">
        <is>
          <t>กิ๊บข้างเครื่อง D-MAX</t>
        </is>
      </c>
      <c r="C278" s="8" t="inlineStr">
        <is>
          <t>100ตัว</t>
        </is>
      </c>
      <c r="D278" s="9" t="n">
        <v>3.5</v>
      </c>
      <c r="F278" s="9" t="n">
        <v>350</v>
      </c>
      <c r="G278" s="10" t="inlineStr">
        <is>
          <t>ต้นคิด</t>
        </is>
      </c>
      <c r="H278" s="161" t="n">
        <v>22837</v>
      </c>
    </row>
    <row r="279" ht="21.6" customHeight="1">
      <c r="B279" s="6" t="inlineStr">
        <is>
          <t>กิ๊บข้างเครื่อง D-MAX</t>
        </is>
      </c>
      <c r="C279" s="8" t="n">
        <v>200</v>
      </c>
      <c r="D279" s="9" t="n">
        <v>3</v>
      </c>
      <c r="F279" s="9">
        <f>SUM(C279*D279)</f>
        <v/>
      </c>
      <c r="G279" s="10" t="inlineStr">
        <is>
          <t>ต้นคิด</t>
        </is>
      </c>
      <c r="H279" s="161" t="n">
        <v>24190</v>
      </c>
    </row>
    <row r="281" ht="21.6" customHeight="1">
      <c r="B281" s="6" t="inlineStr">
        <is>
          <t>กิ๊บคิ้วโปร่งล้อ Triton</t>
        </is>
      </c>
      <c r="C281" s="8" t="inlineStr">
        <is>
          <t>100ตัว</t>
        </is>
      </c>
      <c r="D281" s="9" t="n">
        <v>3.5</v>
      </c>
      <c r="F281" s="9" t="n">
        <v>350</v>
      </c>
      <c r="G281" s="10" t="inlineStr">
        <is>
          <t>ต้นคิด</t>
        </is>
      </c>
      <c r="H281" s="161" t="n">
        <v>22406</v>
      </c>
    </row>
    <row r="283" ht="21.6" customHeight="1">
      <c r="B283" s="6" t="inlineStr">
        <is>
          <t>กิ๊บคิ้วโปร่งกันชน (46)</t>
        </is>
      </c>
      <c r="C283" s="8" t="inlineStr">
        <is>
          <t>200ตัว</t>
        </is>
      </c>
      <c r="D283" s="9" t="n">
        <v>4.25</v>
      </c>
      <c r="F283" s="9" t="n">
        <v>850</v>
      </c>
      <c r="G283" s="10" t="inlineStr">
        <is>
          <t>ทาเลนท์</t>
        </is>
      </c>
      <c r="H283" s="161" t="n">
        <v>23521</v>
      </c>
    </row>
    <row r="285" ht="21.6" customHeight="1">
      <c r="B285" s="6" t="inlineStr">
        <is>
          <t>กิ๊บคิ้วโปร่งล้อ D-MAX (48)</t>
        </is>
      </c>
      <c r="C285" s="8" t="inlineStr">
        <is>
          <t>100ตัว</t>
        </is>
      </c>
      <c r="D285" s="9" t="n">
        <v>4.25</v>
      </c>
      <c r="F285" s="9" t="n">
        <v>425</v>
      </c>
      <c r="G285" s="10" t="inlineStr">
        <is>
          <t>ทาเลนท์</t>
        </is>
      </c>
      <c r="H285" s="161" t="n">
        <v>23205</v>
      </c>
    </row>
    <row r="286" ht="21.6" customHeight="1">
      <c r="B286" s="6" t="inlineStr">
        <is>
          <t>กิ๊บคิ้วโปร่งล้อ D-MAX (48)</t>
        </is>
      </c>
      <c r="C286" s="8" t="inlineStr">
        <is>
          <t>100ตัว</t>
        </is>
      </c>
      <c r="D286" s="9" t="n">
        <v>4.25</v>
      </c>
      <c r="F286" s="9" t="n">
        <v>425</v>
      </c>
      <c r="G286" s="10" t="inlineStr">
        <is>
          <t>ทาเลนท์</t>
        </is>
      </c>
      <c r="H286" s="161" t="n">
        <v>23233</v>
      </c>
    </row>
    <row r="287" ht="21.6" customHeight="1">
      <c r="B287" s="6" t="inlineStr">
        <is>
          <t>กิ๊บคิ้วโปร่งล้อ D-MAX (48)</t>
        </is>
      </c>
      <c r="C287" s="8" t="inlineStr">
        <is>
          <t>100ตัว</t>
        </is>
      </c>
      <c r="D287" s="9" t="n">
        <v>4.25</v>
      </c>
      <c r="F287" s="9" t="n">
        <v>425</v>
      </c>
      <c r="G287" s="10" t="inlineStr">
        <is>
          <t>ทาเลนท์</t>
        </is>
      </c>
      <c r="H287" s="161" t="n">
        <v>23521</v>
      </c>
    </row>
    <row r="288" ht="21.6" customHeight="1">
      <c r="B288" s="6" t="inlineStr">
        <is>
          <t>กิ๊บคิ้วโปร่งล้อ D-MAX (48)</t>
        </is>
      </c>
      <c r="C288" s="8" t="inlineStr">
        <is>
          <t>100ตัว</t>
        </is>
      </c>
      <c r="D288" s="9" t="n">
        <v>4.25</v>
      </c>
      <c r="F288" s="9" t="n">
        <v>425</v>
      </c>
      <c r="G288" s="10" t="inlineStr">
        <is>
          <t>ทาเลนท์</t>
        </is>
      </c>
      <c r="H288" s="161" t="n">
        <v>23545</v>
      </c>
      <c r="I288" s="161" t="inlineStr">
        <is>
          <t>IV6406631</t>
        </is>
      </c>
      <c r="J288" s="8" t="inlineStr">
        <is>
          <t>ราคานี้ยังไม่รวม VAT 7%</t>
        </is>
      </c>
    </row>
    <row r="290" ht="21.6" customHeight="1">
      <c r="B290" s="6" t="inlineStr">
        <is>
          <t>กิ๊บคิ้วโปร่งล้อ (6)</t>
        </is>
      </c>
      <c r="C290" s="8" t="inlineStr">
        <is>
          <t>100ตัว</t>
        </is>
      </c>
      <c r="D290" s="9" t="n">
        <v>3.25</v>
      </c>
      <c r="F290" s="9" t="n">
        <v>325</v>
      </c>
      <c r="G290" s="10" t="inlineStr">
        <is>
          <t>ทาเลนท์</t>
        </is>
      </c>
      <c r="H290" s="161" t="n">
        <v>23205</v>
      </c>
    </row>
    <row r="291" ht="21.6" customHeight="1">
      <c r="B291" s="6" t="inlineStr">
        <is>
          <t>กิ๊บคิ้วโปร่งล้อ (6)</t>
        </is>
      </c>
      <c r="C291" s="8" t="inlineStr">
        <is>
          <t>100ตัว</t>
        </is>
      </c>
      <c r="D291" s="9" t="n">
        <v>3.25</v>
      </c>
      <c r="F291" s="9" t="n">
        <v>325</v>
      </c>
      <c r="G291" s="10" t="inlineStr">
        <is>
          <t>ทาเลนท์</t>
        </is>
      </c>
      <c r="H291" s="161" t="n">
        <v>23233</v>
      </c>
    </row>
    <row r="292" ht="21.6" customHeight="1">
      <c r="B292" s="6" t="inlineStr">
        <is>
          <t>กิ๊บคิ้วโปร่งล้อ (6) -- แถมฟรี</t>
        </is>
      </c>
      <c r="C292" s="8" t="inlineStr">
        <is>
          <t>100ตัว</t>
        </is>
      </c>
      <c r="G292" s="10" t="inlineStr">
        <is>
          <t>ทาเลนท์</t>
        </is>
      </c>
      <c r="H292" s="161" t="n">
        <v>23272</v>
      </c>
    </row>
    <row r="293" ht="21.6" customHeight="1">
      <c r="B293" s="6" t="inlineStr">
        <is>
          <t>กิ๊บคิ้วโปร่งล้อ (6) -- ราคาโปรโมชั่น 500 ตัว</t>
        </is>
      </c>
      <c r="C293" s="8" t="inlineStr">
        <is>
          <t>200ตัว</t>
        </is>
      </c>
      <c r="D293" s="9" t="n">
        <v>1</v>
      </c>
      <c r="F293" s="9" t="n">
        <v>200</v>
      </c>
      <c r="G293" s="10" t="inlineStr">
        <is>
          <t>ทาเลนท์</t>
        </is>
      </c>
      <c r="H293" s="161" t="n">
        <v>23331</v>
      </c>
    </row>
    <row r="294" ht="21.6" customHeight="1">
      <c r="B294" s="6" t="inlineStr">
        <is>
          <t>กิ๊บคิ้วโปร่งล้อ (6)</t>
        </is>
      </c>
      <c r="C294" s="8" t="inlineStr">
        <is>
          <t>200ตัว</t>
        </is>
      </c>
      <c r="D294" s="9" t="n">
        <v>3.25</v>
      </c>
      <c r="F294" s="9" t="n">
        <v>650</v>
      </c>
      <c r="G294" s="10" t="inlineStr">
        <is>
          <t>ทาเลนท์</t>
        </is>
      </c>
      <c r="H294" s="161" t="n">
        <v>23545</v>
      </c>
      <c r="I294" s="161" t="inlineStr">
        <is>
          <t>IV6406631</t>
        </is>
      </c>
      <c r="J294" s="8" t="inlineStr">
        <is>
          <t>ราคานี้ยังไม่รวม VAT 7%</t>
        </is>
      </c>
    </row>
    <row r="296" ht="21.6" customHeight="1">
      <c r="B296" s="6" t="inlineStr">
        <is>
          <t>กิ๊บคิ้วโปร่งล้อ Toyota</t>
        </is>
      </c>
      <c r="C296" s="8" t="inlineStr">
        <is>
          <t>100ตัว</t>
        </is>
      </c>
      <c r="D296" s="9" t="n">
        <v>3.5</v>
      </c>
      <c r="F296" s="9" t="n">
        <v>350</v>
      </c>
      <c r="G296" s="10" t="inlineStr">
        <is>
          <t>ต้นคิด</t>
        </is>
      </c>
      <c r="H296" s="161" t="n">
        <v>22464</v>
      </c>
    </row>
    <row r="298" ht="21.6" customHeight="1">
      <c r="B298" s="6" t="inlineStr">
        <is>
          <t>กิ๊บคิ้วโปร่งล้อ Vigo แดง</t>
        </is>
      </c>
      <c r="C298" s="8" t="inlineStr">
        <is>
          <t>100ตัว</t>
        </is>
      </c>
      <c r="D298" s="9" t="n">
        <v>3.5</v>
      </c>
      <c r="F298" s="9" t="n">
        <v>350</v>
      </c>
      <c r="G298" s="10" t="inlineStr">
        <is>
          <t>ต้นคิด</t>
        </is>
      </c>
      <c r="H298" s="161" t="n">
        <v>22464</v>
      </c>
    </row>
    <row r="299" ht="21.6" customHeight="1">
      <c r="B299" s="6" t="inlineStr">
        <is>
          <t>กิ๊บคิ้วโปร่งล้อ Vigo แดง</t>
        </is>
      </c>
      <c r="C299" s="8" t="inlineStr">
        <is>
          <t>100ตัว</t>
        </is>
      </c>
      <c r="D299" s="9" t="n">
        <v>3.5</v>
      </c>
      <c r="F299" s="9" t="n">
        <v>350</v>
      </c>
      <c r="G299" s="10" t="inlineStr">
        <is>
          <t>ต้นคิด</t>
        </is>
      </c>
      <c r="H299" s="161" t="n">
        <v>22772</v>
      </c>
    </row>
    <row r="300" ht="21.6" customHeight="1">
      <c r="B300" s="6" t="inlineStr">
        <is>
          <t>กิ๊บคิ้วโปร่งล้อ Vigo แดง</t>
        </is>
      </c>
      <c r="C300" s="8" t="inlineStr">
        <is>
          <t>100ตัว</t>
        </is>
      </c>
      <c r="D300" s="9" t="n">
        <v>3.5</v>
      </c>
      <c r="F300" s="9" t="n">
        <v>350</v>
      </c>
      <c r="G300" s="10" t="inlineStr">
        <is>
          <t>ต้นคิด</t>
        </is>
      </c>
      <c r="H300" s="161" t="n">
        <v>22871</v>
      </c>
    </row>
    <row r="301" ht="21.6" customHeight="1">
      <c r="B301" s="6" t="inlineStr">
        <is>
          <t>กิ๊บคิ้วโปร่งล้อ Vigo แดง</t>
        </is>
      </c>
      <c r="C301" s="8" t="inlineStr">
        <is>
          <t>100ตัว</t>
        </is>
      </c>
      <c r="D301" s="9" t="n">
        <v>3.5</v>
      </c>
      <c r="F301" s="9" t="n">
        <v>350</v>
      </c>
      <c r="G301" s="10" t="inlineStr">
        <is>
          <t>ต้นคิด</t>
        </is>
      </c>
      <c r="H301" s="161" t="n">
        <v>23053</v>
      </c>
    </row>
    <row r="302" ht="21.6" customHeight="1">
      <c r="B302" s="6" t="inlineStr">
        <is>
          <t>กิ๊บคิ้วโปร่งล้อ Vigo แดง -- แถมฟรี</t>
        </is>
      </c>
      <c r="C302" s="8" t="inlineStr">
        <is>
          <t>100ตัว</t>
        </is>
      </c>
      <c r="G302" s="10" t="inlineStr">
        <is>
          <t>ทาเลนท์</t>
        </is>
      </c>
      <c r="H302" s="161" t="n">
        <v>23206</v>
      </c>
    </row>
    <row r="303" ht="21.6" customHeight="1">
      <c r="B303" s="6" t="inlineStr">
        <is>
          <t>กิ๊บคิ้วโปร่งล้อ Vigo แดง</t>
        </is>
      </c>
      <c r="C303" s="8" t="n">
        <v>100</v>
      </c>
      <c r="D303" s="9" t="n">
        <v>3.5</v>
      </c>
      <c r="F303" s="9" t="n">
        <v>350</v>
      </c>
      <c r="G303" s="10" t="inlineStr">
        <is>
          <t>ต้นคิด</t>
        </is>
      </c>
      <c r="H303" s="161" t="n">
        <v>24434</v>
      </c>
    </row>
    <row r="305" ht="21.6" customHeight="1">
      <c r="B305" s="6" t="inlineStr">
        <is>
          <t>กิ๊บคิ้วโปร่งล้อ Vigo น้ำเงิน</t>
        </is>
      </c>
      <c r="C305" s="8" t="inlineStr">
        <is>
          <t>100ตัว</t>
        </is>
      </c>
      <c r="D305" s="9" t="n">
        <v>3.5</v>
      </c>
      <c r="F305" s="9" t="n">
        <v>350</v>
      </c>
      <c r="G305" s="10" t="inlineStr">
        <is>
          <t>ต้นคิด</t>
        </is>
      </c>
      <c r="H305" s="161" t="n">
        <v>22772</v>
      </c>
    </row>
    <row r="306" ht="21.6" customHeight="1">
      <c r="B306" s="6" t="inlineStr">
        <is>
          <t>กิ๊บคิ้วโปร่งล้อ Vigo น้ำเงิน</t>
        </is>
      </c>
      <c r="C306" s="8" t="inlineStr">
        <is>
          <t>100ตัว</t>
        </is>
      </c>
      <c r="D306" s="9" t="n">
        <v>3.5</v>
      </c>
      <c r="F306" s="9" t="n">
        <v>350</v>
      </c>
      <c r="G306" s="10" t="inlineStr">
        <is>
          <t>ต้นคิด</t>
        </is>
      </c>
      <c r="H306" s="161" t="n">
        <v>23053</v>
      </c>
    </row>
    <row r="308" ht="21.6" customHeight="1">
      <c r="B308" s="6" t="inlineStr">
        <is>
          <t>กิ๊บคิ้วโปร่งล้อ Vigo เขียว</t>
        </is>
      </c>
      <c r="C308" s="8" t="inlineStr">
        <is>
          <t>100ตัว</t>
        </is>
      </c>
      <c r="D308" s="9" t="n">
        <v>3.5</v>
      </c>
      <c r="F308" s="9" t="n">
        <v>350</v>
      </c>
      <c r="G308" s="10" t="inlineStr">
        <is>
          <t>ต้นคิด</t>
        </is>
      </c>
      <c r="H308" s="161" t="n">
        <v>22464</v>
      </c>
    </row>
    <row r="310" ht="21.6" customHeight="1">
      <c r="B310" s="6" t="inlineStr">
        <is>
          <t>กิ๊บคิ้วโปร่งล้อ Vigo แชมป์ (17) -- แถมฟรี</t>
        </is>
      </c>
      <c r="C310" s="8" t="inlineStr">
        <is>
          <t>100ตัว</t>
        </is>
      </c>
      <c r="G310" s="10" t="inlineStr">
        <is>
          <t>ทาเลนท์</t>
        </is>
      </c>
      <c r="H310" s="161" t="n">
        <v>23233</v>
      </c>
    </row>
    <row r="311" ht="21.6" customHeight="1">
      <c r="B311" s="6" t="inlineStr">
        <is>
          <t>กิ๊บคิ้วโปร่งล้อ Vigo แชมป์ (17)</t>
        </is>
      </c>
      <c r="C311" s="8" t="inlineStr">
        <is>
          <t>100ตัว</t>
        </is>
      </c>
      <c r="D311" s="9" t="n">
        <v>3.25</v>
      </c>
      <c r="F311" s="9" t="n">
        <v>325</v>
      </c>
      <c r="G311" s="10" t="inlineStr">
        <is>
          <t>ทาเลนท์</t>
        </is>
      </c>
      <c r="H311" s="161" t="n">
        <v>23357</v>
      </c>
    </row>
    <row r="312" ht="21.6" customHeight="1">
      <c r="B312" s="6" t="inlineStr">
        <is>
          <t>กิ๊บคิ้วโปร่งล้อ Vigo แชมป์ (17)</t>
        </is>
      </c>
      <c r="C312" s="8" t="inlineStr">
        <is>
          <t>200ตัว</t>
        </is>
      </c>
      <c r="D312" s="9" t="n">
        <v>3.25</v>
      </c>
      <c r="F312" s="9" t="n">
        <v>650</v>
      </c>
      <c r="G312" s="10" t="inlineStr">
        <is>
          <t>ทาเลนท์</t>
        </is>
      </c>
      <c r="H312" s="161" t="n">
        <v>23545</v>
      </c>
      <c r="I312" s="161" t="inlineStr">
        <is>
          <t>IV6406631</t>
        </is>
      </c>
      <c r="J312" s="8" t="inlineStr">
        <is>
          <t>ราคานี้ยังไม่รวม VAT7%</t>
        </is>
      </c>
    </row>
    <row r="314" ht="21.6" customHeight="1">
      <c r="B314" s="6" t="inlineStr">
        <is>
          <t>กิ๊บคิ้วโปร่งล้อปลายกันชน Vigo แชมป์</t>
        </is>
      </c>
      <c r="C314" s="8" t="n">
        <v>100</v>
      </c>
      <c r="D314" s="9" t="n">
        <v>8</v>
      </c>
      <c r="F314" s="9">
        <f>SUM(C314*D314)</f>
        <v/>
      </c>
      <c r="G314" s="10" t="inlineStr">
        <is>
          <t>ต้นคิด</t>
        </is>
      </c>
      <c r="H314" s="161" t="n">
        <v>24707</v>
      </c>
    </row>
    <row r="316" ht="21.6" customHeight="1">
      <c r="B316" s="6" t="inlineStr">
        <is>
          <t>กิ๊บคิ้วโปร่งล้อ ไตรตัน (16)</t>
        </is>
      </c>
      <c r="C316" s="8" t="inlineStr">
        <is>
          <t>32ตัว</t>
        </is>
      </c>
      <c r="D316" s="9" t="n">
        <v>1</v>
      </c>
      <c r="F316" s="9" t="n">
        <v>32</v>
      </c>
      <c r="G316" s="10" t="inlineStr">
        <is>
          <t>ทาเลนท์</t>
        </is>
      </c>
      <c r="H316" s="161" t="n">
        <v>23533</v>
      </c>
      <c r="I316" s="161" t="inlineStr">
        <is>
          <t>IV6405945</t>
        </is>
      </c>
      <c r="J316" s="8" t="inlineStr">
        <is>
          <t>ราคานี้ยังไม่รวม VAT7%</t>
        </is>
      </c>
    </row>
    <row r="318" ht="21.6" customHeight="1">
      <c r="B318" s="6" t="inlineStr">
        <is>
          <t>กิ๊บคิ้วโปร่งล้อ FORD</t>
        </is>
      </c>
      <c r="C318" s="8" t="n">
        <v>100</v>
      </c>
      <c r="D318" s="9" t="n">
        <v>6</v>
      </c>
      <c r="F318" s="9">
        <f>SUM(D318*C318)</f>
        <v/>
      </c>
      <c r="G318" s="10" t="inlineStr">
        <is>
          <t>ต้นคิด</t>
        </is>
      </c>
      <c r="H318" s="161" t="n">
        <v>24526</v>
      </c>
    </row>
    <row r="320" ht="21.6" customHeight="1">
      <c r="B320" s="6" t="inlineStr">
        <is>
          <t>กิ๊บกาบ มิตซู</t>
        </is>
      </c>
      <c r="C320" s="8" t="n">
        <v>100</v>
      </c>
      <c r="D320" s="9" t="n">
        <v>3</v>
      </c>
      <c r="F320" s="9">
        <f>SUM(C320*D320)</f>
        <v/>
      </c>
      <c r="G320" s="10" t="inlineStr">
        <is>
          <t>ต้นคิด</t>
        </is>
      </c>
      <c r="H320" s="161" t="n">
        <v>24434</v>
      </c>
    </row>
    <row r="322" ht="21.6" customHeight="1">
      <c r="B322" s="6" t="inlineStr">
        <is>
          <t>กิ๊บกาบ CRV</t>
        </is>
      </c>
      <c r="C322" s="8" t="n">
        <v>100</v>
      </c>
      <c r="D322" s="9" t="n">
        <v>3</v>
      </c>
      <c r="F322" s="9">
        <f>SUM(C322*D322)</f>
        <v/>
      </c>
      <c r="G322" s="10" t="inlineStr">
        <is>
          <t>ต้นคิด</t>
        </is>
      </c>
      <c r="H322" s="161" t="n">
        <v>24434</v>
      </c>
    </row>
    <row r="324" ht="21.6" customHeight="1">
      <c r="B324" s="6" t="inlineStr">
        <is>
          <t>กิ๊บกาบ วีโก้</t>
        </is>
      </c>
      <c r="C324" s="8" t="n">
        <v>100</v>
      </c>
      <c r="D324" s="9" t="n">
        <v>2</v>
      </c>
      <c r="F324" s="9">
        <f>SUM(C324*D324)</f>
        <v/>
      </c>
      <c r="G324" s="10" t="inlineStr">
        <is>
          <t>ต้นคิด</t>
        </is>
      </c>
      <c r="H324" s="161" t="n">
        <v>24434</v>
      </c>
    </row>
    <row r="326" ht="21.6" customHeight="1">
      <c r="B326" s="6" t="inlineStr">
        <is>
          <t>กิ๊บกาบบันได</t>
        </is>
      </c>
      <c r="C326" s="8" t="n">
        <v>195</v>
      </c>
      <c r="D326" s="9" t="n">
        <v>3.8</v>
      </c>
      <c r="F326" s="9">
        <f>SUM(D326*C326)</f>
        <v/>
      </c>
      <c r="H326" s="161" t="n">
        <v>24896</v>
      </c>
    </row>
    <row r="328" ht="21.6" customHeight="1">
      <c r="B328" s="6" t="inlineStr">
        <is>
          <t>กิ๊บยางรองฝากระโปรงหน้า โตโยต้า (502)</t>
        </is>
      </c>
      <c r="C328" s="8" t="n">
        <v>200</v>
      </c>
      <c r="D328" s="9" t="n">
        <v>2</v>
      </c>
      <c r="F328" s="9">
        <f>SUM(C328*D328)</f>
        <v/>
      </c>
      <c r="G328" s="10" t="inlineStr">
        <is>
          <t>55 กิ๊บน๊อต</t>
        </is>
      </c>
      <c r="H328" s="161" t="n">
        <v>24551</v>
      </c>
    </row>
    <row r="330" ht="21.6" customHeight="1">
      <c r="B330" s="6" t="inlineStr">
        <is>
          <t>กิ๊บแผ่นกันร้อน D-MAX</t>
        </is>
      </c>
      <c r="C330" s="8" t="inlineStr">
        <is>
          <t>100ตัว</t>
        </is>
      </c>
      <c r="D330" s="9" t="n">
        <v>3.5</v>
      </c>
      <c r="F330" s="9" t="n">
        <v>350</v>
      </c>
      <c r="G330" s="10" t="inlineStr">
        <is>
          <t>ต้นคิด</t>
        </is>
      </c>
      <c r="H330" s="161" t="n">
        <v>22406</v>
      </c>
    </row>
    <row r="331" ht="21.6" customHeight="1">
      <c r="B331" s="6" t="inlineStr">
        <is>
          <t>กิ๊บแผ่นกันร้อน D-MAX</t>
        </is>
      </c>
      <c r="C331" s="8" t="inlineStr">
        <is>
          <t>100ตัว</t>
        </is>
      </c>
      <c r="D331" s="9" t="n">
        <v>3.5</v>
      </c>
      <c r="F331" s="9" t="n">
        <v>350</v>
      </c>
      <c r="G331" s="10" t="inlineStr">
        <is>
          <t>ต้นคิด</t>
        </is>
      </c>
      <c r="H331" s="161" t="n">
        <v>22837</v>
      </c>
    </row>
    <row r="332" ht="21.6" customHeight="1">
      <c r="B332" s="6" t="inlineStr">
        <is>
          <t>กิ๊บแผ่นกันร้อน D-MAX (14)</t>
        </is>
      </c>
      <c r="C332" s="8" t="n">
        <v>400</v>
      </c>
      <c r="D332" s="9" t="n">
        <v>3.25</v>
      </c>
      <c r="F332" s="9">
        <f>SUM(D332*C332)</f>
        <v/>
      </c>
      <c r="G332" s="10" t="inlineStr">
        <is>
          <t>ทาเลนท์</t>
        </is>
      </c>
      <c r="H332" s="161" t="n">
        <v>24526</v>
      </c>
      <c r="I332" s="161" t="inlineStr">
        <is>
          <t>IV2229364</t>
        </is>
      </c>
    </row>
    <row r="334" ht="21.6" customHeight="1">
      <c r="B334" s="6" t="inlineStr">
        <is>
          <t>กิ๊บแผ่นกันร้อน Vigo</t>
        </is>
      </c>
      <c r="C334" s="8" t="inlineStr">
        <is>
          <t>100ตัว</t>
        </is>
      </c>
      <c r="D334" s="9" t="n">
        <v>3.5</v>
      </c>
      <c r="F334" s="9" t="n">
        <v>350</v>
      </c>
      <c r="G334" s="10" t="inlineStr">
        <is>
          <t>ต้นคิด</t>
        </is>
      </c>
      <c r="H334" s="161" t="n">
        <v>22772</v>
      </c>
    </row>
    <row r="335" ht="21.6" customHeight="1">
      <c r="B335" s="6" t="inlineStr">
        <is>
          <t>กิ๊บแผ่นกันร้อน Vigo</t>
        </is>
      </c>
      <c r="C335" s="8" t="n">
        <v>200</v>
      </c>
      <c r="D335" s="9" t="n">
        <v>3</v>
      </c>
      <c r="F335" s="9">
        <f>SUM(C335*D335)</f>
        <v/>
      </c>
      <c r="G335" s="10" t="inlineStr">
        <is>
          <t>ต้นคิด</t>
        </is>
      </c>
      <c r="H335" s="161" t="n">
        <v>24190</v>
      </c>
    </row>
    <row r="336" ht="21.6" customHeight="1">
      <c r="B336" s="6" t="inlineStr">
        <is>
          <t>กิ๊บแผ่นกันร้อน Vigo</t>
        </is>
      </c>
      <c r="C336" s="8" t="n">
        <v>200</v>
      </c>
      <c r="D336" s="9" t="n">
        <v>3</v>
      </c>
      <c r="F336" s="9">
        <f>SUM(C336*D336)</f>
        <v/>
      </c>
      <c r="G336" s="10" t="inlineStr">
        <is>
          <t>ต้นคิด</t>
        </is>
      </c>
      <c r="H336" s="161" t="n">
        <v>24331</v>
      </c>
    </row>
    <row r="338" ht="21.6" customHeight="1">
      <c r="B338" s="6" t="inlineStr">
        <is>
          <t>กิ๊บแผ่นกันร้อน Toyota Lexus (19)</t>
        </is>
      </c>
      <c r="C338" s="8" t="inlineStr">
        <is>
          <t>100ตัว</t>
        </is>
      </c>
      <c r="D338" s="9" t="n">
        <v>3.25</v>
      </c>
      <c r="F338" s="9" t="n">
        <v>325</v>
      </c>
      <c r="G338" s="10" t="inlineStr">
        <is>
          <t>ทาเลนท์</t>
        </is>
      </c>
      <c r="H338" s="161" t="n">
        <v>23395</v>
      </c>
    </row>
    <row r="340" ht="21.6" customHeight="1">
      <c r="B340" s="6" t="inlineStr">
        <is>
          <t>กิ๊บแผ่นกันร้อน Toyota (29)</t>
        </is>
      </c>
      <c r="C340" s="8" t="inlineStr">
        <is>
          <t>100ตัว</t>
        </is>
      </c>
      <c r="D340" s="9" t="n">
        <v>3.25</v>
      </c>
      <c r="F340" s="9" t="n">
        <v>325</v>
      </c>
      <c r="G340" s="10" t="inlineStr">
        <is>
          <t>ทาเลนท์</t>
        </is>
      </c>
      <c r="H340" s="161" t="n">
        <v>23205</v>
      </c>
    </row>
    <row r="342" ht="21.6" customHeight="1">
      <c r="B342" s="6" t="inlineStr">
        <is>
          <t>กิ๊บแผ่นกันร้อน MTX</t>
        </is>
      </c>
      <c r="C342" s="8" t="inlineStr">
        <is>
          <t>70ตัว</t>
        </is>
      </c>
      <c r="D342" s="9" t="n">
        <v>3.5</v>
      </c>
      <c r="F342" s="9" t="n">
        <v>245</v>
      </c>
      <c r="G342" s="10" t="inlineStr">
        <is>
          <t>ต้นคิด</t>
        </is>
      </c>
      <c r="H342" s="161" t="n">
        <v>22772</v>
      </c>
    </row>
    <row r="344" ht="21.6" customHeight="1">
      <c r="B344" s="6" t="inlineStr">
        <is>
          <t>กิ๊บแผ่นกันร้อน Mitsu</t>
        </is>
      </c>
      <c r="C344" s="8" t="inlineStr">
        <is>
          <t>50ตัว</t>
        </is>
      </c>
      <c r="D344" s="9" t="n">
        <v>3.5</v>
      </c>
      <c r="F344" s="9" t="n">
        <v>175</v>
      </c>
      <c r="G344" s="10" t="inlineStr">
        <is>
          <t>ต้นคิด</t>
        </is>
      </c>
      <c r="H344" s="161" t="n">
        <v>22406</v>
      </c>
    </row>
    <row r="345" ht="21.6" customHeight="1">
      <c r="B345" s="6" t="inlineStr">
        <is>
          <t>กิ๊บแผ่นกันร้อน Mitsu</t>
        </is>
      </c>
      <c r="C345" s="8" t="inlineStr">
        <is>
          <t>50ตัว</t>
        </is>
      </c>
      <c r="D345" s="9" t="n">
        <v>3.5</v>
      </c>
      <c r="F345" s="9" t="n">
        <v>175</v>
      </c>
      <c r="G345" s="10" t="inlineStr">
        <is>
          <t>ต้นคิด</t>
        </is>
      </c>
      <c r="H345" s="161" t="n">
        <v>23053</v>
      </c>
    </row>
    <row r="347" ht="21.6" customHeight="1">
      <c r="B347" s="6" t="inlineStr">
        <is>
          <t>กิ๊บแผ่นกันร้อน ไตรตัน</t>
        </is>
      </c>
      <c r="C347" s="8" t="inlineStr">
        <is>
          <t>100ตัว</t>
        </is>
      </c>
      <c r="D347" s="9" t="n">
        <v>3</v>
      </c>
      <c r="F347" s="9" t="n">
        <v>300</v>
      </c>
      <c r="G347" s="10" t="inlineStr">
        <is>
          <t>ต้นคิด</t>
        </is>
      </c>
      <c r="H347" s="161" t="n">
        <v>23810</v>
      </c>
    </row>
    <row r="349" ht="21.6" customHeight="1">
      <c r="B349" s="6" t="inlineStr">
        <is>
          <t>กิ๊บแผ่นกันร้อน ฮอนด้า</t>
        </is>
      </c>
      <c r="C349" s="8" t="n">
        <v>100</v>
      </c>
      <c r="D349" s="9" t="n">
        <v>3.5</v>
      </c>
      <c r="F349" s="9">
        <f>SUM(D349*C349)</f>
        <v/>
      </c>
      <c r="G349" s="10" t="inlineStr">
        <is>
          <t>ต้นคิด</t>
        </is>
      </c>
      <c r="H349" s="161" t="n">
        <v>24434</v>
      </c>
    </row>
    <row r="351" ht="21.6" customHeight="1">
      <c r="B351" s="6" t="inlineStr">
        <is>
          <t>กิ๊บคอจิ้งหรีด D-MAX</t>
        </is>
      </c>
      <c r="C351" s="8" t="inlineStr">
        <is>
          <t>100ตัว</t>
        </is>
      </c>
      <c r="D351" s="9" t="n">
        <v>3.5</v>
      </c>
      <c r="F351" s="9" t="n">
        <v>350</v>
      </c>
      <c r="G351" s="10" t="inlineStr">
        <is>
          <t>ต้นคิด</t>
        </is>
      </c>
      <c r="H351" s="161" t="n">
        <v>22464</v>
      </c>
    </row>
    <row r="353" ht="21.6" customHeight="1">
      <c r="B353" s="6" t="inlineStr">
        <is>
          <t>กิ๊บคอจิ้งหรีด Vigo</t>
        </is>
      </c>
      <c r="C353" s="8" t="inlineStr">
        <is>
          <t>100ตัว</t>
        </is>
      </c>
      <c r="D353" s="9" t="n">
        <v>3.5</v>
      </c>
      <c r="F353" s="9" t="n">
        <v>350</v>
      </c>
      <c r="G353" s="10" t="inlineStr">
        <is>
          <t>ต้นคิด</t>
        </is>
      </c>
      <c r="H353" s="161" t="n">
        <v>22772</v>
      </c>
    </row>
    <row r="354" ht="21.6" customHeight="1">
      <c r="B354" s="6" t="inlineStr">
        <is>
          <t>กิ๊บคอจิ้งหรีด Vigo</t>
        </is>
      </c>
      <c r="C354" s="8" t="inlineStr">
        <is>
          <t>100ตัว</t>
        </is>
      </c>
      <c r="D354" s="9" t="n">
        <v>3.5</v>
      </c>
      <c r="F354" s="9" t="n">
        <v>350</v>
      </c>
      <c r="G354" s="10" t="inlineStr">
        <is>
          <t>ต้นคิด</t>
        </is>
      </c>
      <c r="H354" s="161" t="n">
        <v>22837</v>
      </c>
    </row>
    <row r="355" ht="21.6" customHeight="1">
      <c r="B355" s="6" t="inlineStr">
        <is>
          <t>กิ๊บคอจิ้งหรีด Vigo</t>
        </is>
      </c>
      <c r="C355" s="8" t="inlineStr">
        <is>
          <t>100ตัว</t>
        </is>
      </c>
      <c r="D355" s="9" t="n">
        <v>3.5</v>
      </c>
      <c r="F355" s="9" t="n">
        <v>350</v>
      </c>
      <c r="G355" s="10" t="inlineStr">
        <is>
          <t>ต้นคิด</t>
        </is>
      </c>
      <c r="H355" s="161" t="n">
        <v>22871</v>
      </c>
    </row>
    <row r="357" ht="21.6" customHeight="1">
      <c r="B357" s="6" t="inlineStr">
        <is>
          <t>กิ๊บคอจิ้งหรีด Vigo -- ตัวยึดข้าง</t>
        </is>
      </c>
      <c r="C357" s="8" t="inlineStr">
        <is>
          <t>100ตัว</t>
        </is>
      </c>
      <c r="D357" s="9" t="n">
        <v>3</v>
      </c>
      <c r="F357" s="9" t="n">
        <v>300</v>
      </c>
      <c r="G357" s="10" t="inlineStr">
        <is>
          <t>ต้นคิด</t>
        </is>
      </c>
      <c r="H357" s="161" t="n">
        <v>23619</v>
      </c>
    </row>
    <row r="358" ht="21.6" customHeight="1">
      <c r="B358" s="6" t="inlineStr">
        <is>
          <t>กิ๊บคอจิ้งหรีด Vigo -- ตัวยึดข้าง</t>
        </is>
      </c>
      <c r="C358" s="8" t="inlineStr">
        <is>
          <t>100ตัว</t>
        </is>
      </c>
      <c r="D358" s="9" t="n">
        <v>3</v>
      </c>
      <c r="F358" s="9" t="n">
        <v>300</v>
      </c>
      <c r="G358" s="10" t="inlineStr">
        <is>
          <t>ต้นคิด</t>
        </is>
      </c>
      <c r="H358" s="161" t="n">
        <v>23810</v>
      </c>
    </row>
    <row r="360" ht="21.6" customHeight="1">
      <c r="B360" s="6" t="inlineStr">
        <is>
          <t>กิ๊บคอจิ้งหรีด/ช่องลม B310 Vigo -- ขายาวสุด</t>
        </is>
      </c>
      <c r="C360" s="8" t="n">
        <v>200</v>
      </c>
      <c r="D360" s="9" t="n">
        <v>3</v>
      </c>
      <c r="F360" s="9">
        <f>SUM(D360*C360)</f>
        <v/>
      </c>
      <c r="G360" s="10" t="inlineStr">
        <is>
          <t>ต้นคิด</t>
        </is>
      </c>
      <c r="H360" s="161" t="n">
        <v>24600</v>
      </c>
    </row>
    <row r="362" ht="21.6" customHeight="1">
      <c r="B362" s="6" t="inlineStr">
        <is>
          <t>กิ๊บคิ้วรีดน้ำ MTX</t>
        </is>
      </c>
      <c r="C362" s="8" t="inlineStr">
        <is>
          <t>100ตัว</t>
        </is>
      </c>
      <c r="D362" s="9" t="n">
        <v>2</v>
      </c>
      <c r="F362" s="9" t="n">
        <v>200</v>
      </c>
      <c r="G362" s="10" t="inlineStr">
        <is>
          <t>ต้นคิด</t>
        </is>
      </c>
      <c r="H362" s="161" t="n">
        <v>22464</v>
      </c>
    </row>
    <row r="363" ht="21.6" customHeight="1">
      <c r="B363" s="6" t="inlineStr">
        <is>
          <t>กิ๊บคิ้วรีดน้ำ MTX</t>
        </is>
      </c>
      <c r="C363" s="8" t="inlineStr">
        <is>
          <t>100ตัว</t>
        </is>
      </c>
      <c r="D363" s="9" t="n">
        <v>2</v>
      </c>
      <c r="F363" s="9" t="n">
        <v>200</v>
      </c>
      <c r="G363" s="10" t="inlineStr">
        <is>
          <t>ต้นคิด</t>
        </is>
      </c>
      <c r="H363" s="161" t="n">
        <v>22772</v>
      </c>
    </row>
    <row r="365" ht="21.6" customHeight="1">
      <c r="B365" s="6" t="inlineStr">
        <is>
          <t>กิ๊บคิ้วรีดน้ำ Honda</t>
        </is>
      </c>
      <c r="C365" s="8" t="inlineStr">
        <is>
          <t>100ตัว</t>
        </is>
      </c>
      <c r="D365" s="9" t="n">
        <v>2</v>
      </c>
      <c r="F365" s="9" t="n">
        <v>200</v>
      </c>
      <c r="G365" s="10" t="inlineStr">
        <is>
          <t>ต้นคิด</t>
        </is>
      </c>
      <c r="H365" s="161" t="n">
        <v>22772</v>
      </c>
    </row>
    <row r="367" ht="21.6" customHeight="1">
      <c r="B367" s="6" t="inlineStr">
        <is>
          <t>กิ๊บปลายยางรีดน้ำ</t>
        </is>
      </c>
      <c r="C367" s="8" t="inlineStr">
        <is>
          <t>100ตัว</t>
        </is>
      </c>
      <c r="D367" s="9" t="n">
        <v>2</v>
      </c>
      <c r="F367" s="9" t="n">
        <v>200</v>
      </c>
      <c r="G367" s="10" t="inlineStr">
        <is>
          <t>ต้นคิด</t>
        </is>
      </c>
      <c r="H367" s="161" t="n">
        <v>23901</v>
      </c>
    </row>
    <row r="369" ht="21.6" customHeight="1">
      <c r="B369" s="6" t="inlineStr">
        <is>
          <t>กิ๊บแผงข้าง Vigo</t>
        </is>
      </c>
      <c r="C369" s="8" t="inlineStr">
        <is>
          <t>100ตัว</t>
        </is>
      </c>
      <c r="D369" s="9" t="n">
        <v>3.5</v>
      </c>
      <c r="F369" s="9" t="n">
        <v>350</v>
      </c>
      <c r="G369" s="10" t="inlineStr">
        <is>
          <t>ต้นคิด</t>
        </is>
      </c>
      <c r="H369" s="161" t="n">
        <v>22406</v>
      </c>
    </row>
    <row r="371" ht="21.6" customHeight="1">
      <c r="B371" s="6" t="inlineStr">
        <is>
          <t>กิ๊บแผงประตู Honda</t>
        </is>
      </c>
      <c r="C371" s="8" t="inlineStr">
        <is>
          <t>100ตัว</t>
        </is>
      </c>
      <c r="D371" s="9" t="n">
        <v>3</v>
      </c>
      <c r="F371" s="9" t="n">
        <v>300</v>
      </c>
      <c r="G371" s="10" t="inlineStr">
        <is>
          <t>ต้นคิด</t>
        </is>
      </c>
      <c r="H371" s="161" t="n">
        <v>22772</v>
      </c>
    </row>
    <row r="373" ht="21.6" customHeight="1">
      <c r="B373" s="6" t="inlineStr">
        <is>
          <t>กิ๊บแผงประตู Toyota สีขาว (32)</t>
        </is>
      </c>
      <c r="C373" s="8" t="inlineStr">
        <is>
          <t>100ตัว</t>
        </is>
      </c>
      <c r="D373" s="9" t="n">
        <v>3.25</v>
      </c>
      <c r="F373" s="9" t="n">
        <v>325</v>
      </c>
      <c r="G373" s="10" t="inlineStr">
        <is>
          <t>ทาเลนท์</t>
        </is>
      </c>
      <c r="H373" s="161" t="n">
        <v>23205</v>
      </c>
    </row>
    <row r="374" ht="21.6" customHeight="1">
      <c r="B374" s="6" t="inlineStr">
        <is>
          <t>กิ๊บแผงประตู Toyota สีขาว (32)</t>
        </is>
      </c>
      <c r="C374" s="8" t="inlineStr">
        <is>
          <t>100ตัว</t>
        </is>
      </c>
      <c r="D374" s="9" t="n">
        <v>3.25</v>
      </c>
      <c r="F374" s="9" t="n">
        <v>325</v>
      </c>
      <c r="G374" s="10" t="inlineStr">
        <is>
          <t>ทาเลนท์</t>
        </is>
      </c>
      <c r="H374" s="161" t="n">
        <v>23233</v>
      </c>
    </row>
    <row r="375" ht="21.6" customHeight="1">
      <c r="B375" s="6" t="inlineStr">
        <is>
          <t>กิ๊บแผงประตู Toyota สีขาว 1ชั้น (306)</t>
        </is>
      </c>
      <c r="C375" s="8" t="n">
        <v>100</v>
      </c>
      <c r="D375" s="9" t="n">
        <v>2</v>
      </c>
      <c r="F375" s="9">
        <f>SUM(C375*D375)</f>
        <v/>
      </c>
      <c r="G375" s="10" t="inlineStr">
        <is>
          <t>55 กิ๊บน๊อต</t>
        </is>
      </c>
      <c r="H375" s="161" t="n">
        <v>24551</v>
      </c>
    </row>
    <row r="377" ht="21.6" customHeight="1">
      <c r="B377" s="6" t="inlineStr">
        <is>
          <t>กิ๊บแผงใต้กันชนโตโยต้าวีโก้ (49)</t>
        </is>
      </c>
      <c r="C377" s="8" t="inlineStr">
        <is>
          <t>100ตัว</t>
        </is>
      </c>
      <c r="D377" s="9" t="n">
        <v>4.85</v>
      </c>
      <c r="F377" s="9" t="n">
        <v>485</v>
      </c>
      <c r="G377" s="10" t="inlineStr">
        <is>
          <t>ทาเลนท์</t>
        </is>
      </c>
      <c r="H377" s="161" t="n">
        <v>23521</v>
      </c>
    </row>
    <row r="379" ht="21.6" customHeight="1">
      <c r="B379" s="6" t="inlineStr">
        <is>
          <t>กิ๊บแผงนวมปีกเล็กสีดำ (41)</t>
        </is>
      </c>
      <c r="C379" s="8" t="inlineStr">
        <is>
          <t>100ตัว</t>
        </is>
      </c>
      <c r="D379" s="9" t="n">
        <v>3.25</v>
      </c>
      <c r="F379" s="9" t="n">
        <v>325</v>
      </c>
      <c r="G379" s="10" t="inlineStr">
        <is>
          <t>ทาเลนท์</t>
        </is>
      </c>
      <c r="H379" s="161" t="n">
        <v>23398</v>
      </c>
    </row>
    <row r="380" ht="21.6" customHeight="1">
      <c r="B380" s="6" t="inlineStr">
        <is>
          <t>กิ๊บแผงนวม Toyota (118)</t>
        </is>
      </c>
      <c r="C380" s="8" t="n">
        <v>200</v>
      </c>
      <c r="D380" s="9" t="n">
        <v>2</v>
      </c>
      <c r="F380" s="9">
        <f>SUM(D380*C380)</f>
        <v/>
      </c>
      <c r="G380" s="10" t="inlineStr">
        <is>
          <t>55 กิ๊บน๊อต</t>
        </is>
      </c>
      <c r="H380" s="161" t="n">
        <v>25009</v>
      </c>
    </row>
    <row r="382" ht="21.6" customHeight="1">
      <c r="B382" s="6" t="inlineStr">
        <is>
          <t>กิ๊บพรมท้าย VIOS</t>
        </is>
      </c>
      <c r="C382" s="8" t="inlineStr">
        <is>
          <t>100ตัว</t>
        </is>
      </c>
      <c r="D382" s="9" t="n">
        <v>3.5</v>
      </c>
      <c r="F382" s="9" t="n">
        <v>350</v>
      </c>
      <c r="G382" s="10" t="inlineStr">
        <is>
          <t>ต้นคิด</t>
        </is>
      </c>
      <c r="H382" s="161" t="n">
        <v>22871</v>
      </c>
    </row>
    <row r="383" ht="21.6" customHeight="1">
      <c r="B383" s="6" t="inlineStr">
        <is>
          <t>กิ๊บพรมท้าย VIOS</t>
        </is>
      </c>
      <c r="C383" s="8" t="inlineStr">
        <is>
          <t>100ตัว</t>
        </is>
      </c>
      <c r="D383" s="9" t="n">
        <v>3</v>
      </c>
      <c r="F383" s="9" t="n">
        <v>300</v>
      </c>
      <c r="G383" s="10" t="inlineStr">
        <is>
          <t>ต้นคิด</t>
        </is>
      </c>
      <c r="H383" s="161" t="n">
        <v>23053</v>
      </c>
    </row>
    <row r="385" ht="21.6" customHeight="1">
      <c r="B385" s="6" t="inlineStr">
        <is>
          <t>กิ๊บพรม Honda</t>
        </is>
      </c>
      <c r="C385" s="8" t="inlineStr">
        <is>
          <t>100ตัว</t>
        </is>
      </c>
      <c r="D385" s="9" t="n">
        <v>3</v>
      </c>
      <c r="F385" s="9" t="n">
        <v>300</v>
      </c>
      <c r="G385" s="10" t="inlineStr">
        <is>
          <t>ต้นคิด</t>
        </is>
      </c>
      <c r="H385" s="161" t="n">
        <v>23053</v>
      </c>
    </row>
    <row r="386" ht="21.6" customHeight="1">
      <c r="B386" s="6" t="inlineStr">
        <is>
          <t>กิ๊บพรม Honda</t>
        </is>
      </c>
      <c r="C386" s="8" t="n">
        <v>100</v>
      </c>
      <c r="D386" s="9" t="n">
        <v>3</v>
      </c>
      <c r="F386" s="9">
        <f>SUM(D386*C386)</f>
        <v/>
      </c>
      <c r="G386" s="10" t="inlineStr">
        <is>
          <t>ต้นคิด</t>
        </is>
      </c>
      <c r="H386" s="161" t="n">
        <v>24526</v>
      </c>
      <c r="J386" s="8" t="inlineStr">
        <is>
          <t>ยึดมุมไฟ ฟอร์ด</t>
        </is>
      </c>
    </row>
    <row r="388" ht="21.6" customHeight="1">
      <c r="B388" s="6" t="inlineStr">
        <is>
          <t>กิ๊บยางจมูก Vigo</t>
        </is>
      </c>
      <c r="C388" s="8" t="inlineStr">
        <is>
          <t>50ตัว</t>
        </is>
      </c>
      <c r="D388" s="9" t="n">
        <v>3</v>
      </c>
      <c r="F388" s="9" t="n">
        <v>150</v>
      </c>
      <c r="G388" s="10" t="inlineStr">
        <is>
          <t>ต้นคิด</t>
        </is>
      </c>
      <c r="H388" s="161" t="n">
        <v>22464</v>
      </c>
    </row>
    <row r="389" ht="21.6" customHeight="1">
      <c r="B389" s="6" t="inlineStr">
        <is>
          <t>กิ๊บยางจมูก Vigo</t>
        </is>
      </c>
      <c r="C389" s="8" t="inlineStr">
        <is>
          <t>200ตัว</t>
        </is>
      </c>
      <c r="D389" s="9" t="n">
        <v>3</v>
      </c>
      <c r="F389" s="9" t="n">
        <v>600</v>
      </c>
      <c r="G389" s="10" t="inlineStr">
        <is>
          <t>ต้นคิด</t>
        </is>
      </c>
      <c r="H389" s="161" t="n">
        <v>24331</v>
      </c>
    </row>
    <row r="391" ht="21.6" customHeight="1">
      <c r="B391" s="6" t="inlineStr">
        <is>
          <t>กิ๊บทั่วไป (5) -- แถมฟรี</t>
        </is>
      </c>
      <c r="C391" s="8" t="inlineStr">
        <is>
          <t>100ตัว</t>
        </is>
      </c>
      <c r="G391" s="10" t="inlineStr">
        <is>
          <t>ทาเลนท์</t>
        </is>
      </c>
      <c r="H391" s="161" t="n">
        <v>23233</v>
      </c>
    </row>
    <row r="393" ht="21.6" customHeight="1">
      <c r="B393" s="6" t="inlineStr">
        <is>
          <t>กิ๊บทั่วไป (36) -- แถมฟรี</t>
        </is>
      </c>
      <c r="C393" s="8" t="inlineStr">
        <is>
          <t>100ตัว</t>
        </is>
      </c>
      <c r="G393" s="10" t="inlineStr">
        <is>
          <t>ทาเลนท์</t>
        </is>
      </c>
      <c r="H393" s="161" t="n">
        <v>23205</v>
      </c>
    </row>
    <row r="394" ht="21.6" customHeight="1">
      <c r="B394" s="6" t="inlineStr">
        <is>
          <t>กิ๊บทั่วไป (36) -- แถมฟรี</t>
        </is>
      </c>
      <c r="C394" s="8" t="inlineStr">
        <is>
          <t>100ตัว</t>
        </is>
      </c>
      <c r="G394" s="10" t="inlineStr">
        <is>
          <t>ทาเลนท์</t>
        </is>
      </c>
      <c r="H394" s="161" t="n">
        <v>23205</v>
      </c>
    </row>
    <row r="395" ht="21.6" customHeight="1">
      <c r="B395" s="6" t="inlineStr">
        <is>
          <t>กิ๊บทั่วไป (36) -- แถมฟรี</t>
        </is>
      </c>
      <c r="C395" s="8" t="inlineStr">
        <is>
          <t>100ตัว</t>
        </is>
      </c>
      <c r="G395" s="10" t="inlineStr">
        <is>
          <t>ทาเลนท์</t>
        </is>
      </c>
      <c r="H395" s="161" t="n">
        <v>23233</v>
      </c>
    </row>
    <row r="396" ht="21.6" customHeight="1">
      <c r="B396" s="6" t="inlineStr">
        <is>
          <t xml:space="preserve">กิ๊บทั่วไป (36) </t>
        </is>
      </c>
      <c r="C396" s="8" t="inlineStr">
        <is>
          <t>200ตัว</t>
        </is>
      </c>
      <c r="D396" s="9" t="n">
        <v>3.25</v>
      </c>
      <c r="F396" s="9" t="n">
        <v>650</v>
      </c>
      <c r="G396" s="10" t="inlineStr">
        <is>
          <t>ทาเลนท์</t>
        </is>
      </c>
      <c r="H396" s="161" t="n">
        <v>23357</v>
      </c>
    </row>
    <row r="397" ht="21.6" customHeight="1">
      <c r="B397" s="6" t="inlineStr">
        <is>
          <t xml:space="preserve">กิ๊บทั่วไป (36) </t>
        </is>
      </c>
      <c r="C397" s="8" t="inlineStr">
        <is>
          <t>100ตัว</t>
        </is>
      </c>
      <c r="D397" s="9" t="n">
        <v>3.25</v>
      </c>
      <c r="F397" s="9" t="n">
        <v>325</v>
      </c>
      <c r="G397" s="10" t="inlineStr">
        <is>
          <t>ทาเลนท์</t>
        </is>
      </c>
      <c r="H397" s="161" t="n">
        <v>23395</v>
      </c>
    </row>
    <row r="399" ht="21.6" customHeight="1">
      <c r="B399" s="6" t="inlineStr">
        <is>
          <t>กิ๊บทั่วไป (80) -- แถมฟรี</t>
        </is>
      </c>
      <c r="C399" s="8" t="inlineStr">
        <is>
          <t>100ตัว</t>
        </is>
      </c>
      <c r="G399" s="10" t="inlineStr">
        <is>
          <t>ทาเลนท์</t>
        </is>
      </c>
      <c r="H399" s="161" t="n">
        <v>23205</v>
      </c>
    </row>
    <row r="400" ht="21.6" customHeight="1">
      <c r="B400" s="6" t="inlineStr">
        <is>
          <t>กิ๊บทั่วไป (80) -- แถมฟรี</t>
        </is>
      </c>
      <c r="C400" s="8" t="inlineStr">
        <is>
          <t>100ตัว</t>
        </is>
      </c>
      <c r="G400" s="10" t="inlineStr">
        <is>
          <t>ทาเลนท์</t>
        </is>
      </c>
      <c r="H400" s="161" t="n">
        <v>23233</v>
      </c>
    </row>
    <row r="401" ht="21.6" customHeight="1">
      <c r="B401" s="6" t="inlineStr">
        <is>
          <t xml:space="preserve">กิ๊บทั่วไป (80) </t>
        </is>
      </c>
      <c r="C401" s="8" t="inlineStr">
        <is>
          <t>100ตัว</t>
        </is>
      </c>
      <c r="D401" s="9" t="n">
        <v>3.25</v>
      </c>
      <c r="F401" s="9" t="n">
        <v>325</v>
      </c>
      <c r="G401" s="10" t="inlineStr">
        <is>
          <t>ทาเลนท์</t>
        </is>
      </c>
      <c r="H401" s="161" t="n">
        <v>23395</v>
      </c>
    </row>
    <row r="403" ht="21.6" customHeight="1">
      <c r="B403" s="6" t="inlineStr">
        <is>
          <t xml:space="preserve">กิ๊บทั่วไป (85) </t>
        </is>
      </c>
      <c r="C403" s="8" t="inlineStr">
        <is>
          <t>200ตัว</t>
        </is>
      </c>
      <c r="D403" s="9" t="n">
        <v>3.25</v>
      </c>
      <c r="F403" s="9" t="n">
        <v>650</v>
      </c>
      <c r="G403" s="10" t="inlineStr">
        <is>
          <t>ทาเลนท์</t>
        </is>
      </c>
      <c r="H403" s="161" t="n">
        <v>23357</v>
      </c>
    </row>
    <row r="404" ht="21.6" customHeight="1">
      <c r="B404" s="6" t="inlineStr">
        <is>
          <t xml:space="preserve">กิ๊บทั่วไป (85) </t>
        </is>
      </c>
      <c r="C404" s="8" t="inlineStr">
        <is>
          <t>100ตัว</t>
        </is>
      </c>
      <c r="D404" s="9" t="n">
        <v>3.25</v>
      </c>
      <c r="F404" s="9" t="n">
        <v>325</v>
      </c>
      <c r="G404" s="10" t="inlineStr">
        <is>
          <t>ทาเลนท์</t>
        </is>
      </c>
      <c r="H404" s="161" t="n">
        <v>23395</v>
      </c>
    </row>
    <row r="406" ht="21.6" customHeight="1">
      <c r="B406" s="6" t="inlineStr">
        <is>
          <t>กิ๊บทั่วไป (92) -- แถมฟรี</t>
        </is>
      </c>
      <c r="C406" s="8" t="n">
        <v>100</v>
      </c>
      <c r="F406" s="9">
        <f>SUM(D406*C406)</f>
        <v/>
      </c>
      <c r="G406" s="10" t="inlineStr">
        <is>
          <t>ทาเลนท์</t>
        </is>
      </c>
      <c r="H406" s="161" t="n">
        <v>25008</v>
      </c>
      <c r="I406" s="161" t="inlineStr">
        <is>
          <t>IV6809791</t>
        </is>
      </c>
    </row>
    <row r="408" ht="21.6" customHeight="1">
      <c r="B408" s="6" t="inlineStr">
        <is>
          <t xml:space="preserve">กิ๊บทั่วไป (93) </t>
        </is>
      </c>
      <c r="C408" s="8" t="n">
        <v>200</v>
      </c>
      <c r="D408" s="9" t="n">
        <v>3.25</v>
      </c>
      <c r="F408" s="9">
        <f>SUM(D408*C408)</f>
        <v/>
      </c>
      <c r="G408" s="10" t="inlineStr">
        <is>
          <t>ทาเลนท์</t>
        </is>
      </c>
      <c r="H408" s="161" t="n">
        <v>24330</v>
      </c>
      <c r="I408" s="161" t="inlineStr">
        <is>
          <t>IV2217986</t>
        </is>
      </c>
    </row>
    <row r="410" ht="21.6" customHeight="1">
      <c r="B410" s="6" t="inlineStr">
        <is>
          <t xml:space="preserve">กิ๊บทั่วไป (100) </t>
        </is>
      </c>
      <c r="C410" s="8" t="inlineStr">
        <is>
          <t>100ตัว</t>
        </is>
      </c>
      <c r="D410" s="9" t="n">
        <v>3.25</v>
      </c>
      <c r="F410" s="9" t="n">
        <v>325</v>
      </c>
      <c r="G410" s="10" t="inlineStr">
        <is>
          <t>ทาเลนท์</t>
        </is>
      </c>
      <c r="H410" s="161" t="n">
        <v>23392</v>
      </c>
    </row>
    <row r="412" ht="21.6" customHeight="1">
      <c r="B412" s="6" t="inlineStr">
        <is>
          <t xml:space="preserve">กิ๊บทั่วไป (101) </t>
        </is>
      </c>
      <c r="C412" s="8" t="inlineStr">
        <is>
          <t>100ตัว</t>
        </is>
      </c>
      <c r="D412" s="9" t="n">
        <v>3.25</v>
      </c>
      <c r="F412" s="9" t="n">
        <v>325</v>
      </c>
      <c r="G412" s="10" t="inlineStr">
        <is>
          <t>ทาเลนท์</t>
        </is>
      </c>
      <c r="H412" s="161" t="n">
        <v>24184</v>
      </c>
      <c r="I412" s="161" t="inlineStr">
        <is>
          <t>IB3008935</t>
        </is>
      </c>
    </row>
    <row r="413" ht="21.6" customHeight="1">
      <c r="B413" s="6" t="inlineStr">
        <is>
          <t xml:space="preserve">กิ๊บทั่วไป (101) </t>
        </is>
      </c>
      <c r="C413" s="8" t="n">
        <v>100</v>
      </c>
      <c r="D413" s="9" t="n">
        <v>3.25</v>
      </c>
      <c r="F413" s="9">
        <f>SUM(D413*C413)</f>
        <v/>
      </c>
      <c r="G413" s="10" t="inlineStr">
        <is>
          <t>ทาเลนท์</t>
        </is>
      </c>
      <c r="H413" s="161" t="n">
        <v>24526</v>
      </c>
      <c r="I413" s="161" t="inlineStr">
        <is>
          <t>IV2229364</t>
        </is>
      </c>
    </row>
    <row r="415" ht="21.6" customHeight="1">
      <c r="B415" s="6" t="inlineStr">
        <is>
          <t xml:space="preserve">กิ๊บทั่วไป (105) </t>
        </is>
      </c>
      <c r="C415" s="8" t="inlineStr">
        <is>
          <t>40ตัว</t>
        </is>
      </c>
      <c r="G415" s="10" t="inlineStr">
        <is>
          <t>ทาเลนท์</t>
        </is>
      </c>
      <c r="H415" s="161" t="n">
        <v>23357</v>
      </c>
    </row>
    <row r="417" ht="21.6" customHeight="1">
      <c r="B417" s="6" t="inlineStr">
        <is>
          <t xml:space="preserve">กิ๊บทั่วไป (113) </t>
        </is>
      </c>
      <c r="C417" s="8" t="n">
        <v>100</v>
      </c>
      <c r="D417" s="9" t="n">
        <v>3.25</v>
      </c>
      <c r="F417" s="9">
        <f>SUM(D417*C417)</f>
        <v/>
      </c>
      <c r="G417" s="10" t="inlineStr">
        <is>
          <t>ทาเลนท์</t>
        </is>
      </c>
      <c r="H417" s="161" t="n">
        <v>25008</v>
      </c>
      <c r="I417" s="161" t="inlineStr">
        <is>
          <t>IV6809791</t>
        </is>
      </c>
      <c r="J417" s="8" t="inlineStr">
        <is>
          <t>ราคาไม่รวม VAT</t>
        </is>
      </c>
    </row>
    <row r="419" ht="21.6" customHeight="1">
      <c r="B419" s="6" t="inlineStr">
        <is>
          <t>ครอบบันได อัลติส</t>
        </is>
      </c>
      <c r="C419" s="8" t="inlineStr">
        <is>
          <t>20อัน</t>
        </is>
      </c>
      <c r="D419" s="9" t="n">
        <v>10</v>
      </c>
      <c r="F419" s="9" t="n">
        <v>200</v>
      </c>
      <c r="G419" s="10" t="inlineStr">
        <is>
          <t>ต้นคิด</t>
        </is>
      </c>
      <c r="H419" s="161" t="n">
        <v>22406</v>
      </c>
    </row>
    <row r="420" ht="21.6" customHeight="1">
      <c r="B420" s="6" t="inlineStr">
        <is>
          <t>ครอบบันได อัลติส</t>
        </is>
      </c>
      <c r="C420" s="8" t="n">
        <v>100</v>
      </c>
      <c r="D420" s="9" t="n">
        <v>10</v>
      </c>
      <c r="F420" s="9">
        <f>SUM(D420*C420)</f>
        <v/>
      </c>
      <c r="G420" s="10" t="inlineStr">
        <is>
          <t>ต้นคิด</t>
        </is>
      </c>
      <c r="H420" s="161" t="n">
        <v>24526</v>
      </c>
    </row>
    <row r="421" ht="21.6" customHeight="1">
      <c r="B421" s="6" t="inlineStr">
        <is>
          <t>ครอบบันได อัลติส</t>
        </is>
      </c>
      <c r="C421" s="8" t="n">
        <v>100</v>
      </c>
      <c r="D421" s="9" t="n">
        <v>10</v>
      </c>
      <c r="F421" s="9">
        <f>SUM(D421*C421)</f>
        <v/>
      </c>
      <c r="G421" s="10" t="inlineStr">
        <is>
          <t>ต้นคิด</t>
        </is>
      </c>
      <c r="H421" s="161" t="n">
        <v>24896</v>
      </c>
    </row>
    <row r="423" ht="21.6" customHeight="1">
      <c r="B423" s="6" t="inlineStr">
        <is>
          <t>กิ๊บยึดบันได อัลติส</t>
        </is>
      </c>
      <c r="C423" s="8" t="inlineStr">
        <is>
          <t>50อัน</t>
        </is>
      </c>
      <c r="D423" s="9" t="n">
        <v>3</v>
      </c>
      <c r="F423" s="9" t="n">
        <v>150</v>
      </c>
      <c r="G423" s="10" t="inlineStr">
        <is>
          <t>ต้นคิด</t>
        </is>
      </c>
      <c r="H423" s="161" t="n">
        <v>22406</v>
      </c>
    </row>
    <row r="424" ht="21.6" customHeight="1">
      <c r="B424" s="6" t="inlineStr">
        <is>
          <t>กิ๊บยึดบันได อัลติส</t>
        </is>
      </c>
      <c r="C424" s="8" t="n">
        <v>100</v>
      </c>
      <c r="D424" s="9" t="n">
        <v>3</v>
      </c>
      <c r="F424" s="9">
        <f>SUM(C424*D424)</f>
        <v/>
      </c>
      <c r="G424" s="10" t="inlineStr">
        <is>
          <t>ต้นคิด</t>
        </is>
      </c>
      <c r="H424" s="161" t="n">
        <v>24707</v>
      </c>
    </row>
    <row r="426" ht="21.6" customHeight="1">
      <c r="B426" s="6" t="inlineStr">
        <is>
          <t>กิ๊บยึดพลาสติกครอบบันได อัลติส</t>
        </is>
      </c>
      <c r="C426" s="8" t="inlineStr">
        <is>
          <t>98อัน</t>
        </is>
      </c>
      <c r="D426" s="9" t="n">
        <v>8</v>
      </c>
      <c r="F426" s="9" t="n">
        <v>784</v>
      </c>
      <c r="G426" s="10" t="inlineStr">
        <is>
          <t>ต้นคิด</t>
        </is>
      </c>
      <c r="H426" s="161" t="n">
        <v>23619</v>
      </c>
    </row>
    <row r="428" ht="21.6" customHeight="1">
      <c r="B428" s="6" t="inlineStr">
        <is>
          <t>กิ๊บเหล็ก เบอร์10</t>
        </is>
      </c>
      <c r="C428" s="8" t="n">
        <v>100</v>
      </c>
      <c r="D428" s="9" t="n">
        <v>2.5</v>
      </c>
      <c r="F428" s="9" t="n">
        <v>250</v>
      </c>
      <c r="G428" s="10" t="inlineStr">
        <is>
          <t>ต้นคิด</t>
        </is>
      </c>
      <c r="H428" s="161" t="n">
        <v>22406</v>
      </c>
    </row>
    <row r="429" ht="21.6" customHeight="1">
      <c r="B429" s="6" t="inlineStr">
        <is>
          <t>กิ๊บเหล็ก เบอร์10</t>
        </is>
      </c>
      <c r="C429" s="8" t="n">
        <v>100</v>
      </c>
      <c r="D429" s="9" t="n">
        <v>5</v>
      </c>
      <c r="F429" s="9">
        <f>SUM(C429*D429)</f>
        <v/>
      </c>
      <c r="G429" s="10" t="inlineStr">
        <is>
          <t>ต้นคิด</t>
        </is>
      </c>
      <c r="H429" s="161" t="n">
        <v>24180</v>
      </c>
    </row>
    <row r="431" ht="21.6" customHeight="1">
      <c r="B431" s="6" t="inlineStr">
        <is>
          <t>กิ๊บยางขอบประตู</t>
        </is>
      </c>
      <c r="C431" s="8" t="inlineStr">
        <is>
          <t>100ตัว</t>
        </is>
      </c>
      <c r="D431" s="9" t="n">
        <v>2.5</v>
      </c>
      <c r="F431" s="9" t="n">
        <v>250</v>
      </c>
      <c r="G431" s="10" t="inlineStr">
        <is>
          <t>ต้นคิด</t>
        </is>
      </c>
      <c r="H431" s="161" t="n">
        <v>22436</v>
      </c>
    </row>
    <row r="433" ht="21.6" customHeight="1">
      <c r="B433" s="6" t="inlineStr">
        <is>
          <t>กิ๊บเหล็กเสียบข้างยึดพลาสติกบังฝุ่น #408</t>
        </is>
      </c>
      <c r="C433" s="8" t="inlineStr">
        <is>
          <t>200ตัว</t>
        </is>
      </c>
      <c r="D433" s="9" t="n">
        <v>2</v>
      </c>
      <c r="F433" s="9" t="n">
        <v>400</v>
      </c>
      <c r="G433" s="10" t="inlineStr">
        <is>
          <t>55 กิ๊บน๊อต</t>
        </is>
      </c>
      <c r="H433" s="161" t="n">
        <v>23830</v>
      </c>
    </row>
    <row r="435" ht="21.6" customHeight="1">
      <c r="B435" s="6" t="inlineStr">
        <is>
          <t>กิ๊บล็อคยางกันน้ำ (7)</t>
        </is>
      </c>
      <c r="C435" s="8" t="inlineStr">
        <is>
          <t>100ตัว</t>
        </is>
      </c>
      <c r="D435" s="9" t="n">
        <v>3.25</v>
      </c>
      <c r="F435" s="9" t="n">
        <v>325</v>
      </c>
      <c r="G435" s="10" t="inlineStr">
        <is>
          <t>ทาเลนท์</t>
        </is>
      </c>
      <c r="H435" s="161" t="n">
        <v>23395</v>
      </c>
    </row>
    <row r="437" ht="21.6" customHeight="1">
      <c r="B437" s="6" t="inlineStr">
        <is>
          <t>กิ๊บจับกระจก</t>
        </is>
      </c>
      <c r="C437" s="8" t="inlineStr">
        <is>
          <t>100อัน</t>
        </is>
      </c>
      <c r="D437" s="9" t="n">
        <v>4</v>
      </c>
      <c r="F437" s="9" t="n">
        <v>400</v>
      </c>
      <c r="G437" s="10" t="inlineStr">
        <is>
          <t>ต้นคิด</t>
        </is>
      </c>
      <c r="H437" s="161" t="n">
        <v>22772</v>
      </c>
    </row>
    <row r="439" ht="21.6" customHeight="1">
      <c r="B439" s="6" t="inlineStr">
        <is>
          <t>รองเหล็กค้ำ</t>
        </is>
      </c>
      <c r="C439" s="8" t="n">
        <v>50</v>
      </c>
      <c r="D439" s="9" t="n">
        <v>8</v>
      </c>
      <c r="F439" s="9">
        <f>SUM(C439*D439)</f>
        <v/>
      </c>
      <c r="G439" s="10" t="inlineStr">
        <is>
          <t>ต้นคิด</t>
        </is>
      </c>
      <c r="H439" s="161" t="n">
        <v>24180</v>
      </c>
    </row>
    <row r="441" ht="21.6" customHeight="1">
      <c r="B441" s="6" t="inlineStr">
        <is>
          <t>เหล็กค้ำ REVO</t>
        </is>
      </c>
      <c r="C441" s="8" t="n">
        <v>4</v>
      </c>
      <c r="D441" s="9" t="n">
        <v>25</v>
      </c>
      <c r="F441" s="9">
        <f>SUM(C441*D441)</f>
        <v/>
      </c>
      <c r="G441" s="10" t="inlineStr">
        <is>
          <t>ต้นคิด</t>
        </is>
      </c>
      <c r="H441" s="161" t="n">
        <v>24190</v>
      </c>
    </row>
    <row r="443" ht="21.6" customHeight="1">
      <c r="B443" s="6" t="inlineStr">
        <is>
          <t>พลาสติกปิดหัวน๊อต ขาว-ดำ</t>
        </is>
      </c>
      <c r="C443" s="8" t="inlineStr">
        <is>
          <t>100ตัว</t>
        </is>
      </c>
      <c r="D443" s="9" t="n">
        <v>3</v>
      </c>
      <c r="F443" s="9" t="n">
        <v>300</v>
      </c>
      <c r="G443" s="10" t="inlineStr">
        <is>
          <t>ต้นคิด</t>
        </is>
      </c>
      <c r="H443" s="161" t="n">
        <v>22436</v>
      </c>
    </row>
    <row r="444" ht="21.6" customHeight="1">
      <c r="B444" s="6" t="inlineStr">
        <is>
          <t>พลาสติกปิดหัวน๊อต ขาว-ดำ</t>
        </is>
      </c>
      <c r="C444" s="8" t="inlineStr">
        <is>
          <t>100ตัว</t>
        </is>
      </c>
      <c r="D444" s="9" t="n">
        <v>3</v>
      </c>
      <c r="F444" s="9" t="n">
        <v>300</v>
      </c>
      <c r="G444" s="10" t="inlineStr">
        <is>
          <t>ต้นคิด</t>
        </is>
      </c>
      <c r="H444" s="161" t="n">
        <v>22464</v>
      </c>
    </row>
    <row r="445" ht="21.6" customHeight="1">
      <c r="B445" s="6" t="inlineStr">
        <is>
          <t>พลาสติกปิดหัวน๊อต ขาว-ดำ</t>
        </is>
      </c>
      <c r="C445" s="8" t="inlineStr">
        <is>
          <t>100ตัว</t>
        </is>
      </c>
      <c r="D445" s="9" t="n">
        <v>3</v>
      </c>
      <c r="F445" s="9" t="n">
        <v>300</v>
      </c>
      <c r="G445" s="10" t="inlineStr">
        <is>
          <t>ต้นคิด</t>
        </is>
      </c>
      <c r="H445" s="161" t="n">
        <v>23053</v>
      </c>
    </row>
    <row r="446" ht="21.6" customHeight="1">
      <c r="B446" s="6" t="inlineStr">
        <is>
          <t>พลาสติกปิดหัวน๊อต สีดำ</t>
        </is>
      </c>
      <c r="C446" s="8" t="inlineStr">
        <is>
          <t>20ตัว</t>
        </is>
      </c>
      <c r="D446" s="9" t="n">
        <v>2.15</v>
      </c>
      <c r="F446" s="9" t="n">
        <v>43</v>
      </c>
      <c r="G446" s="10" t="inlineStr">
        <is>
          <t>ไทวัสดุ</t>
        </is>
      </c>
      <c r="H446" s="161" t="n">
        <v>23370</v>
      </c>
    </row>
    <row r="447" ht="21.6" customHeight="1">
      <c r="B447" s="6" t="inlineStr">
        <is>
          <t>พลาสติกปิดหัวน๊อต สีขาว</t>
        </is>
      </c>
      <c r="C447" s="8" t="inlineStr">
        <is>
          <t>20ตัว</t>
        </is>
      </c>
      <c r="D447" s="9" t="n">
        <v>2.15</v>
      </c>
      <c r="F447" s="9" t="n">
        <v>43</v>
      </c>
      <c r="G447" s="10" t="inlineStr">
        <is>
          <t>ไทวัสดุ</t>
        </is>
      </c>
      <c r="H447" s="161" t="n">
        <v>23370</v>
      </c>
    </row>
    <row r="449" ht="21.6" customHeight="1">
      <c r="B449" s="6" t="inlineStr">
        <is>
          <t>ปลายยางสั้น</t>
        </is>
      </c>
      <c r="C449" s="8" t="inlineStr">
        <is>
          <t>100ตัว</t>
        </is>
      </c>
      <c r="D449" s="9" t="n">
        <v>2</v>
      </c>
      <c r="F449" s="9" t="n">
        <v>200</v>
      </c>
      <c r="G449" s="10" t="inlineStr">
        <is>
          <t>ต้นคิด</t>
        </is>
      </c>
      <c r="H449" s="161" t="n">
        <v>22436</v>
      </c>
    </row>
    <row r="451" ht="21.6" customHeight="1">
      <c r="B451" s="6" t="inlineStr">
        <is>
          <t>น๊อตเกลียวปล่อย 2.5 นิ้ว</t>
        </is>
      </c>
      <c r="C451" s="8" t="inlineStr">
        <is>
          <t>100ตัว</t>
        </is>
      </c>
      <c r="D451" s="9" t="n">
        <v>0.98</v>
      </c>
      <c r="F451" s="9" t="n">
        <v>98</v>
      </c>
      <c r="G451" s="10" t="inlineStr">
        <is>
          <t>ไทวัสดุ</t>
        </is>
      </c>
      <c r="H451" s="161" t="n">
        <v>23164</v>
      </c>
    </row>
    <row r="452" ht="21.6" customHeight="1">
      <c r="B452" s="6" t="inlineStr">
        <is>
          <t>น๊อตเกลียวปล่อย 2.5 นิ้ว</t>
        </is>
      </c>
      <c r="C452" s="8" t="inlineStr">
        <is>
          <t>100ตัว</t>
        </is>
      </c>
      <c r="D452" s="9" t="n">
        <v>0.98</v>
      </c>
      <c r="F452" s="9" t="n">
        <v>98</v>
      </c>
      <c r="G452" s="10" t="inlineStr">
        <is>
          <t>ไทวัสดุ</t>
        </is>
      </c>
      <c r="H452" s="161" t="n">
        <v>23419</v>
      </c>
    </row>
    <row r="454" ht="21.6" customHeight="1">
      <c r="B454" s="6" t="inlineStr">
        <is>
          <t>น๊อตเกลียวเหล็กยึดแผงท้าย 3/4 JT10 (สีทอง)</t>
        </is>
      </c>
      <c r="C454" s="8" t="inlineStr">
        <is>
          <t>1กล่อง</t>
        </is>
      </c>
      <c r="F454" s="9" t="n">
        <v>350</v>
      </c>
      <c r="G454" s="10" t="inlineStr">
        <is>
          <t>ศรีสยาม</t>
        </is>
      </c>
      <c r="H454" s="161" t="n">
        <v>23209</v>
      </c>
    </row>
    <row r="455" ht="21.6" customHeight="1">
      <c r="B455" s="6" t="inlineStr">
        <is>
          <t>น๊อตเกลียวเหล็กยึดแผงท้าย 3/4 JT10 (สีทอง)</t>
        </is>
      </c>
      <c r="C455" s="8" t="inlineStr">
        <is>
          <t>1กล่อง</t>
        </is>
      </c>
      <c r="F455" s="9" t="n">
        <v>350</v>
      </c>
      <c r="G455" s="10" t="inlineStr">
        <is>
          <t>ศรีสยาม</t>
        </is>
      </c>
      <c r="H455" s="161" t="n">
        <v>23832</v>
      </c>
    </row>
    <row r="456" ht="21.6" customHeight="1">
      <c r="B456" s="6" t="inlineStr">
        <is>
          <t>น๊อตเกลียวเหล็กยึดแผงท้าย 3/4 JT10 (สีทอง)</t>
        </is>
      </c>
      <c r="C456" s="8" t="inlineStr">
        <is>
          <t>1กล่อง</t>
        </is>
      </c>
      <c r="F456" s="9" t="n">
        <v>360</v>
      </c>
      <c r="G456" s="10" t="inlineStr">
        <is>
          <t>ศรีสยาม</t>
        </is>
      </c>
      <c r="H456" s="161" t="n">
        <v>24601</v>
      </c>
    </row>
    <row r="458" ht="21.6" customHeight="1">
      <c r="B458" s="6" t="inlineStr">
        <is>
          <t>น๊อตยึดบล็อคลม (สกรูหัวจมดำ 5*15*0.8) ไม่หัว</t>
        </is>
      </c>
      <c r="C458" s="8" t="inlineStr">
        <is>
          <t>5ตัว</t>
        </is>
      </c>
      <c r="D458" s="9" t="n">
        <v>2.5</v>
      </c>
      <c r="F458" s="9" t="n">
        <v>12.5</v>
      </c>
      <c r="G458" s="10" t="inlineStr">
        <is>
          <t>ศรีสยาม</t>
        </is>
      </c>
      <c r="H458" s="161" t="n">
        <v>23785</v>
      </c>
    </row>
    <row r="460" ht="21.6" customHeight="1">
      <c r="A460" s="11" t="inlineStr">
        <is>
          <t>รีเวท</t>
        </is>
      </c>
      <c r="B460" s="6" t="inlineStr">
        <is>
          <t>รีเวท ยึดกันชน มาสด้า</t>
        </is>
      </c>
      <c r="C460" s="8" t="inlineStr">
        <is>
          <t>100ตัว</t>
        </is>
      </c>
      <c r="D460" s="9" t="n">
        <v>12</v>
      </c>
      <c r="F460" s="9" t="n">
        <v>1200</v>
      </c>
      <c r="G460" s="10" t="inlineStr">
        <is>
          <t>ต้นคิด</t>
        </is>
      </c>
      <c r="H460" s="161" t="n">
        <v>22772</v>
      </c>
    </row>
    <row r="461" ht="21.6" customHeight="1">
      <c r="B461" s="6" t="inlineStr">
        <is>
          <t>รีเวท ยึดกันชน มาสด้า</t>
        </is>
      </c>
      <c r="C461" s="8" t="n">
        <v>200</v>
      </c>
      <c r="D461" s="9" t="n">
        <v>10</v>
      </c>
      <c r="F461" s="9">
        <f>SUM(C461*D461)</f>
        <v/>
      </c>
      <c r="G461" s="10" t="inlineStr">
        <is>
          <t>ร้าน 55กิ๊บน๊อต</t>
        </is>
      </c>
      <c r="H461" s="161" t="n">
        <v>24715</v>
      </c>
    </row>
    <row r="463" ht="21.6" customHeight="1">
      <c r="B463" s="6" t="inlineStr">
        <is>
          <t>รีเวท ฝาถังน้ำมัน โตโยต้า #606</t>
        </is>
      </c>
      <c r="C463" s="8" t="n">
        <v>100</v>
      </c>
      <c r="D463" s="9" t="n">
        <v>10</v>
      </c>
      <c r="F463" s="9" t="n">
        <v>1000</v>
      </c>
      <c r="G463" s="10" t="inlineStr">
        <is>
          <t>55 กิ๊บน๊อต</t>
        </is>
      </c>
      <c r="H463" s="161" t="n">
        <v>23596</v>
      </c>
    </row>
    <row r="464" ht="21.6" customHeight="1">
      <c r="B464" s="6" t="inlineStr">
        <is>
          <t xml:space="preserve">รีเวท ฝาถังน้ำมัน โตโยต้า </t>
        </is>
      </c>
      <c r="C464" s="8" t="n">
        <v>50</v>
      </c>
      <c r="D464" s="9" t="n">
        <v>40</v>
      </c>
      <c r="F464" s="9" t="n">
        <v>2000</v>
      </c>
      <c r="G464" s="10" t="inlineStr">
        <is>
          <t>ศูนย์โตโยต้า</t>
        </is>
      </c>
      <c r="H464" s="161" t="n">
        <v>23593</v>
      </c>
    </row>
    <row r="465" ht="21.6" customHeight="1">
      <c r="B465" s="6" t="inlineStr">
        <is>
          <t>รีเวท ฝาถังน้ำมัน โตโยต้า #606</t>
        </is>
      </c>
      <c r="C465" s="8" t="n">
        <v>100</v>
      </c>
      <c r="D465" s="9" t="n">
        <v>10</v>
      </c>
      <c r="F465" s="9" t="n">
        <v>1000</v>
      </c>
      <c r="G465" s="10" t="inlineStr">
        <is>
          <t>55 กิ๊บน๊อต</t>
        </is>
      </c>
      <c r="H465" s="161" t="n">
        <v>24203</v>
      </c>
    </row>
    <row r="466" ht="21.6" customHeight="1">
      <c r="B466" s="6" t="inlineStr">
        <is>
          <t>รีเวท ฝาถังน้ำมัน โตโยต้า #606</t>
        </is>
      </c>
      <c r="C466" s="8" t="n">
        <v>200</v>
      </c>
      <c r="D466" s="9" t="n">
        <v>10</v>
      </c>
      <c r="F466" s="9">
        <f>SUM(C466*D466)</f>
        <v/>
      </c>
      <c r="G466" s="10" t="inlineStr">
        <is>
          <t>55 กิ๊บน๊อต</t>
        </is>
      </c>
      <c r="H466" s="161" t="n">
        <v>24551</v>
      </c>
    </row>
    <row r="468" ht="21.6" customHeight="1">
      <c r="B468" s="6" t="inlineStr">
        <is>
          <t>รีเวท เบอร์ 4-8 ขนาด 1/8" * 5/8 (กล่องละ 1,000ตัว)</t>
        </is>
      </c>
      <c r="C468" s="8" t="inlineStr">
        <is>
          <t>1กล่อง</t>
        </is>
      </c>
      <c r="D468" s="9" t="n">
        <v>280</v>
      </c>
      <c r="F468" s="9" t="n">
        <v>280</v>
      </c>
      <c r="G468" s="10" t="inlineStr">
        <is>
          <t>ศรีสยาม</t>
        </is>
      </c>
      <c r="H468" s="161" t="n">
        <v>23124</v>
      </c>
    </row>
    <row r="469" ht="21.6" customHeight="1">
      <c r="B469" s="6" t="inlineStr">
        <is>
          <t>รีเวท เบอร์ 4-8 ขนาด 1/8" * 5/8 (กล่องละ 1,000ตัว)</t>
        </is>
      </c>
      <c r="C469" s="8" t="inlineStr">
        <is>
          <t>1กล่อง</t>
        </is>
      </c>
      <c r="D469" s="9" t="n">
        <v>310</v>
      </c>
      <c r="F469" s="9" t="n">
        <v>310</v>
      </c>
      <c r="G469" s="10" t="inlineStr">
        <is>
          <t>ศรีสยาม</t>
        </is>
      </c>
      <c r="H469" s="161" t="n">
        <v>24126</v>
      </c>
    </row>
    <row r="471" ht="21.6" customHeight="1">
      <c r="B471" s="6" t="inlineStr">
        <is>
          <t>รีเวท เบอร์ 5-4 ขนาด 5/32" * 3/8 (กล่องละ 1,000ตัว)</t>
        </is>
      </c>
      <c r="C471" s="8" t="inlineStr">
        <is>
          <t>1กล่อง</t>
        </is>
      </c>
      <c r="D471" s="9" t="n">
        <v>285</v>
      </c>
      <c r="F471" s="9" t="n">
        <v>285</v>
      </c>
      <c r="G471" s="10" t="inlineStr">
        <is>
          <t>ศรีสยาม</t>
        </is>
      </c>
      <c r="H471" s="161" t="n">
        <v>23124</v>
      </c>
    </row>
    <row r="473" ht="21.6" customHeight="1">
      <c r="B473" s="6" t="inlineStr">
        <is>
          <t>รีเวท เบอร์ 5-8 ขนาด 5/32" * 5/8 (กล่องละ 500ตัว)</t>
        </is>
      </c>
      <c r="C473" s="8" t="inlineStr">
        <is>
          <t>1กล่อง</t>
        </is>
      </c>
      <c r="D473" s="9" t="n">
        <v>190</v>
      </c>
      <c r="F473" s="9" t="n">
        <v>190</v>
      </c>
      <c r="G473" s="10" t="inlineStr">
        <is>
          <t>ศรีสยาม</t>
        </is>
      </c>
      <c r="H473" s="161" t="n">
        <v>23124</v>
      </c>
    </row>
    <row r="474" ht="21.6" customHeight="1">
      <c r="B474" s="6" t="inlineStr">
        <is>
          <t>รีเวท เบอร์ 5-8 ขนาด 5/32" * 5/8 (กล่องละ 500ตัว)</t>
        </is>
      </c>
      <c r="C474" s="8" t="inlineStr">
        <is>
          <t>1กล่อง</t>
        </is>
      </c>
      <c r="D474" s="9" t="n">
        <v>220</v>
      </c>
      <c r="F474" s="9" t="n">
        <v>220</v>
      </c>
      <c r="G474" s="10" t="inlineStr">
        <is>
          <t>ศรีสยาม</t>
        </is>
      </c>
      <c r="H474" s="161" t="n">
        <v>23593</v>
      </c>
    </row>
    <row r="475" ht="21.6" customHeight="1">
      <c r="B475" s="6" t="inlineStr">
        <is>
          <t>รีเวท เบอร์ 5-8 ขนาด 5/32" * 5/8 (กล่องละ 500ตัว)</t>
        </is>
      </c>
      <c r="C475" s="8" t="inlineStr">
        <is>
          <t>1กล่อง</t>
        </is>
      </c>
      <c r="D475" s="9" t="n">
        <v>230</v>
      </c>
      <c r="F475" s="9" t="n">
        <v>230</v>
      </c>
      <c r="G475" s="10" t="inlineStr">
        <is>
          <t>ศรีสยาม</t>
        </is>
      </c>
      <c r="H475" s="161" t="n">
        <v>24181</v>
      </c>
    </row>
    <row r="477" ht="21.6" customHeight="1">
      <c r="B477" s="6" t="inlineStr">
        <is>
          <t>รีเวท เบอร์ 6-9 ขนาด 3/16" * 3/4 (กล่องละ 500ตัว)</t>
        </is>
      </c>
      <c r="C477" s="8" t="inlineStr">
        <is>
          <t>1กล่อง</t>
        </is>
      </c>
      <c r="D477" s="9" t="n">
        <v>250</v>
      </c>
      <c r="F477" s="9" t="n">
        <v>250</v>
      </c>
      <c r="G477" s="10" t="inlineStr">
        <is>
          <t>ศรีสยาม</t>
        </is>
      </c>
      <c r="H477" s="161" t="n">
        <v>23124</v>
      </c>
    </row>
    <row r="478" ht="21.6" customHeight="1">
      <c r="B478" s="6" t="inlineStr">
        <is>
          <t>รีเวท เบอร์ 6-9 ขนาด 3/16" * 3/4 (กล่องละ 500ตัว)</t>
        </is>
      </c>
      <c r="C478" s="8" t="inlineStr">
        <is>
          <t>1กล่อง</t>
        </is>
      </c>
      <c r="D478" s="9" t="n">
        <v>265</v>
      </c>
      <c r="F478" s="9" t="n">
        <v>265</v>
      </c>
      <c r="G478" s="10" t="inlineStr">
        <is>
          <t>ศรีสยาม</t>
        </is>
      </c>
      <c r="H478" s="161" t="n">
        <v>23593</v>
      </c>
      <c r="J478" s="43" t="inlineStr">
        <is>
          <t>** เมื่อ 13/3/67 พี่เอกเช็คศรีสยามขาย กล่องละ 470 บาท</t>
        </is>
      </c>
    </row>
    <row r="479" ht="21.6" customHeight="1">
      <c r="B479" s="6" t="inlineStr">
        <is>
          <t>รีเวท เบอร์ 6-9 ขนาด 3/16" * 3/4 (กล่องละ 500ตัว)</t>
        </is>
      </c>
      <c r="C479" s="8" t="inlineStr">
        <is>
          <t>1กล่อง</t>
        </is>
      </c>
      <c r="D479" s="9" t="n">
        <v>360</v>
      </c>
      <c r="F479" s="9" t="n">
        <v>360</v>
      </c>
      <c r="G479" s="10" t="inlineStr">
        <is>
          <t>ร้านโรจนะ</t>
        </is>
      </c>
      <c r="H479" s="161" t="n">
        <v>23593</v>
      </c>
      <c r="J479" s="8" t="inlineStr">
        <is>
          <t>ร้านวัสดุก่อสร้าง</t>
        </is>
      </c>
    </row>
    <row r="481" ht="21.6" customHeight="1">
      <c r="B481" s="6" t="inlineStr">
        <is>
          <t>แหวนมิเนียม รองรีเวท 3/16 (ไซด์ใหญ่)</t>
        </is>
      </c>
      <c r="C481" s="8" t="inlineStr">
        <is>
          <t>1ขีด</t>
        </is>
      </c>
      <c r="F481" s="9" t="n">
        <v>30</v>
      </c>
      <c r="G481" s="10" t="inlineStr">
        <is>
          <t>ศรีสยาม</t>
        </is>
      </c>
      <c r="H481" s="161" t="n">
        <v>23384</v>
      </c>
    </row>
    <row r="482" ht="21.6" customHeight="1">
      <c r="B482" s="6" t="inlineStr">
        <is>
          <t>แหวนมิเนียม รองรีเวท 3/16 (ไซด์ใหญ่)</t>
        </is>
      </c>
      <c r="C482" s="8" t="inlineStr">
        <is>
          <t>2ขีด</t>
        </is>
      </c>
      <c r="F482" s="9" t="n">
        <v>60</v>
      </c>
      <c r="G482" s="10" t="inlineStr">
        <is>
          <t>ร้านวัสดุก่อสร้าง</t>
        </is>
      </c>
      <c r="H482" s="161" t="n">
        <v>23708</v>
      </c>
    </row>
    <row r="484" ht="21.6" customHeight="1">
      <c r="B484" s="6" t="inlineStr">
        <is>
          <t xml:space="preserve">แหวนมิเนียม รองรีเวท 5/32 </t>
        </is>
      </c>
      <c r="C484" s="8" t="inlineStr">
        <is>
          <t>1กิโล</t>
        </is>
      </c>
      <c r="F484" s="9" t="n">
        <v>240</v>
      </c>
      <c r="G484" s="10" t="inlineStr">
        <is>
          <t>ศรีสยาม</t>
        </is>
      </c>
      <c r="H484" s="161" t="n">
        <v>23881</v>
      </c>
    </row>
    <row r="485" ht="21.6" customHeight="1">
      <c r="B485" s="6" t="inlineStr">
        <is>
          <t xml:space="preserve">แหวนมิเนียม รองรีเวท 5/32 </t>
        </is>
      </c>
      <c r="C485" s="8" t="inlineStr">
        <is>
          <t>1กิโล</t>
        </is>
      </c>
      <c r="F485" s="9" t="n">
        <v>240</v>
      </c>
      <c r="G485" s="10" t="inlineStr">
        <is>
          <t>ศรีสยาม</t>
        </is>
      </c>
      <c r="H485" s="161" t="n">
        <v>24125</v>
      </c>
    </row>
    <row r="487" ht="21.6" customHeight="1">
      <c r="B487" s="6" t="inlineStr">
        <is>
          <t>แหวนมิเนียม รองรีเวท 1/4</t>
        </is>
      </c>
      <c r="C487" s="8" t="inlineStr">
        <is>
          <t>68ตัว</t>
        </is>
      </c>
      <c r="D487" s="9" t="n">
        <v>0.4279</v>
      </c>
      <c r="F487" s="9" t="n">
        <v>29.1</v>
      </c>
      <c r="G487" s="10" t="inlineStr">
        <is>
          <t>ศรีสยาม</t>
        </is>
      </c>
      <c r="H487" s="161" t="n">
        <v>24761</v>
      </c>
    </row>
    <row r="489" ht="21.6" customHeight="1">
      <c r="B489" s="6" t="inlineStr">
        <is>
          <t>อีแปะ 1/8" อลูมิเนียม (ไซด์เล็ก)</t>
        </is>
      </c>
      <c r="C489" s="8" t="inlineStr">
        <is>
          <t>1ขีด</t>
        </is>
      </c>
      <c r="D489" s="9" t="n">
        <v>45</v>
      </c>
      <c r="F489" s="9" t="n">
        <v>45</v>
      </c>
      <c r="G489" s="10" t="inlineStr">
        <is>
          <t>ศรีสยาม</t>
        </is>
      </c>
      <c r="H489" s="161" t="n">
        <v>23124</v>
      </c>
    </row>
    <row r="490" ht="21.6" customHeight="1">
      <c r="B490" s="6" t="inlineStr">
        <is>
          <t>อีแปะ 1/8" อลูมิเนียม (ไซด์เล็ก)</t>
        </is>
      </c>
      <c r="C490" s="8" t="inlineStr">
        <is>
          <t>1ขีด</t>
        </is>
      </c>
      <c r="D490" s="9" t="n">
        <v>30</v>
      </c>
      <c r="F490" s="9" t="n">
        <v>30</v>
      </c>
      <c r="G490" s="10" t="inlineStr">
        <is>
          <t>ศรีสยาม</t>
        </is>
      </c>
      <c r="H490" s="161" t="n">
        <v>23474</v>
      </c>
    </row>
    <row r="492" ht="21.6" customHeight="1">
      <c r="A492" s="11" t="inlineStr">
        <is>
          <t>หลอดไฟ</t>
        </is>
      </c>
      <c r="B492" s="6" t="inlineStr">
        <is>
          <t>หลอดไฟใหญ่หน้า H4</t>
        </is>
      </c>
      <c r="C492" s="8" t="inlineStr">
        <is>
          <t>8หลอด</t>
        </is>
      </c>
      <c r="D492" s="9" t="n">
        <v>70</v>
      </c>
      <c r="F492" s="9" t="n">
        <v>560</v>
      </c>
      <c r="G492" s="10" t="inlineStr">
        <is>
          <t>ต้นคิด</t>
        </is>
      </c>
      <c r="H492" s="161" t="n">
        <v>22406</v>
      </c>
    </row>
    <row r="493" ht="21.6" customHeight="1">
      <c r="B493" s="6" t="inlineStr">
        <is>
          <t>หลอดไฟใหญ่หน้า H4</t>
        </is>
      </c>
      <c r="C493" s="8" t="inlineStr">
        <is>
          <t>10หลอด</t>
        </is>
      </c>
      <c r="D493" s="9" t="n">
        <v>70</v>
      </c>
      <c r="F493" s="9" t="n">
        <v>700</v>
      </c>
      <c r="G493" s="10" t="inlineStr">
        <is>
          <t>ต้นคิด</t>
        </is>
      </c>
      <c r="H493" s="161" t="n">
        <v>22436</v>
      </c>
    </row>
    <row r="494" ht="21.6" customHeight="1">
      <c r="B494" s="6" t="inlineStr">
        <is>
          <t>หลอดไฟใหญ่หน้า H4</t>
        </is>
      </c>
      <c r="C494" s="8" t="inlineStr">
        <is>
          <t>10หลอด</t>
        </is>
      </c>
      <c r="D494" s="9" t="n">
        <v>70</v>
      </c>
      <c r="F494" s="9" t="n">
        <v>700</v>
      </c>
      <c r="G494" s="10" t="inlineStr">
        <is>
          <t>ต้นคิด</t>
        </is>
      </c>
      <c r="H494" s="161" t="n">
        <v>22837</v>
      </c>
    </row>
    <row r="496" ht="21.6" customHeight="1">
      <c r="B496" s="6" t="inlineStr">
        <is>
          <t>หลอดไฟ H11</t>
        </is>
      </c>
      <c r="C496" s="8" t="inlineStr">
        <is>
          <t>10หลอด</t>
        </is>
      </c>
      <c r="D496" s="9" t="n">
        <v>120</v>
      </c>
      <c r="F496" s="9" t="n">
        <v>1200</v>
      </c>
      <c r="G496" s="10" t="inlineStr">
        <is>
          <t>ต้นคิด</t>
        </is>
      </c>
      <c r="H496" s="161" t="n">
        <v>22837</v>
      </c>
      <c r="K496" s="1" t="inlineStr">
        <is>
          <t>ศรีสยามขาย ยี่ห้อ Eagleye = 135 บาท / ยี่ห้อ Philip = 250 บาท</t>
        </is>
      </c>
    </row>
    <row r="498" ht="21.6" customHeight="1">
      <c r="B498" s="6" t="inlineStr">
        <is>
          <t>หลอดไฟ T15 (หลอดไฟเบรค)</t>
        </is>
      </c>
      <c r="C498" s="8" t="inlineStr">
        <is>
          <t>10หลอด</t>
        </is>
      </c>
      <c r="D498" s="9" t="n">
        <v>10</v>
      </c>
      <c r="F498" s="9" t="n">
        <v>100</v>
      </c>
      <c r="G498" s="10" t="inlineStr">
        <is>
          <t>ต้นคิด</t>
        </is>
      </c>
      <c r="H498" s="161" t="n">
        <v>22837</v>
      </c>
    </row>
    <row r="500" ht="21.6" customHeight="1">
      <c r="B500" s="6" t="inlineStr">
        <is>
          <t>หลอดไฟกลม สีขาว 1 ไส้ ตรง</t>
        </is>
      </c>
      <c r="C500" s="8" t="inlineStr">
        <is>
          <t>10หลอด</t>
        </is>
      </c>
      <c r="D500" s="9" t="n">
        <v>5</v>
      </c>
      <c r="F500" s="9" t="n">
        <v>50</v>
      </c>
      <c r="G500" s="10" t="inlineStr">
        <is>
          <t>ต้นคิด</t>
        </is>
      </c>
      <c r="H500" s="161" t="n">
        <v>22436</v>
      </c>
    </row>
    <row r="501" ht="21.6" customHeight="1">
      <c r="B501" s="6" t="inlineStr">
        <is>
          <t>หลอดไฟกลม สีขาว 1 ไส้ ตรง</t>
        </is>
      </c>
      <c r="C501" s="8" t="inlineStr">
        <is>
          <t>10หลอด</t>
        </is>
      </c>
      <c r="D501" s="9" t="n">
        <v>5</v>
      </c>
      <c r="F501" s="9" t="n">
        <v>50</v>
      </c>
      <c r="G501" s="10" t="inlineStr">
        <is>
          <t>ต้นคิด</t>
        </is>
      </c>
      <c r="H501" s="161" t="n">
        <v>23636</v>
      </c>
    </row>
    <row r="503" ht="21.6" customHeight="1">
      <c r="B503" s="6" t="inlineStr">
        <is>
          <t>หลอดไฟกลม สีขาว 2 ไส้ ตรง</t>
        </is>
      </c>
      <c r="C503" s="8" t="inlineStr">
        <is>
          <t>10หลอด</t>
        </is>
      </c>
      <c r="D503" s="9" t="n">
        <v>5</v>
      </c>
      <c r="F503" s="9" t="n">
        <v>50</v>
      </c>
      <c r="G503" s="10" t="inlineStr">
        <is>
          <t>ต้นคิด</t>
        </is>
      </c>
      <c r="H503" s="161" t="n">
        <v>22436</v>
      </c>
    </row>
    <row r="504" ht="21.6" customHeight="1">
      <c r="B504" s="6" t="inlineStr">
        <is>
          <t>หลอดไฟกลม สีขาว 2 ไส้ ตรง</t>
        </is>
      </c>
      <c r="C504" s="8" t="inlineStr">
        <is>
          <t>10หลอด</t>
        </is>
      </c>
      <c r="D504" s="9" t="n">
        <v>5</v>
      </c>
      <c r="F504" s="9" t="n">
        <v>50</v>
      </c>
      <c r="G504" s="10" t="inlineStr">
        <is>
          <t>ต้นคิด</t>
        </is>
      </c>
      <c r="H504" s="161" t="n">
        <v>23636</v>
      </c>
    </row>
    <row r="506" ht="21.6" customHeight="1">
      <c r="B506" s="6" t="inlineStr">
        <is>
          <t>หลอดไฟกลม สีส้ม 1 ไส้ เยื้อง</t>
        </is>
      </c>
      <c r="C506" s="8" t="inlineStr">
        <is>
          <t>10หลอด</t>
        </is>
      </c>
      <c r="D506" s="9" t="n">
        <v>15</v>
      </c>
      <c r="F506" s="9" t="n">
        <v>150</v>
      </c>
      <c r="G506" s="10" t="inlineStr">
        <is>
          <t>ต้นคิด</t>
        </is>
      </c>
      <c r="H506" s="161" t="n">
        <v>23636</v>
      </c>
    </row>
    <row r="508" ht="21.6" customHeight="1">
      <c r="B508" s="6" t="inlineStr">
        <is>
          <t>หลอดไฟหรี่ ขาว</t>
        </is>
      </c>
      <c r="C508" s="8" t="inlineStr">
        <is>
          <t>100หลอด</t>
        </is>
      </c>
      <c r="D508" s="9" t="n">
        <v>3.5</v>
      </c>
      <c r="F508" s="9" t="n">
        <v>350</v>
      </c>
      <c r="G508" s="10" t="inlineStr">
        <is>
          <t>ต้นคิด</t>
        </is>
      </c>
      <c r="H508" s="161" t="n">
        <v>22464</v>
      </c>
    </row>
    <row r="509" ht="21.6" customHeight="1">
      <c r="B509" s="6" t="inlineStr">
        <is>
          <t>หลอดไฟหรี่ ขาว</t>
        </is>
      </c>
      <c r="C509" s="8" t="inlineStr">
        <is>
          <t>100หลอด</t>
        </is>
      </c>
      <c r="D509" s="9" t="n">
        <v>3.5</v>
      </c>
      <c r="F509" s="9" t="n">
        <v>350</v>
      </c>
      <c r="G509" s="10" t="inlineStr">
        <is>
          <t>ต้นคิด</t>
        </is>
      </c>
      <c r="H509" s="161" t="n">
        <v>22837</v>
      </c>
    </row>
    <row r="510" ht="21.6" customHeight="1">
      <c r="B510" s="6" t="inlineStr">
        <is>
          <t>หลอดไฟหรี่ ขาว</t>
        </is>
      </c>
      <c r="C510" s="8" t="inlineStr">
        <is>
          <t>100หลอด</t>
        </is>
      </c>
      <c r="D510" s="9" t="n">
        <v>3.5</v>
      </c>
      <c r="F510" s="9" t="n">
        <v>350</v>
      </c>
      <c r="G510" s="10" t="inlineStr">
        <is>
          <t>ต้นคิด</t>
        </is>
      </c>
      <c r="H510" s="161" t="n">
        <v>23636</v>
      </c>
    </row>
    <row r="511" ht="21.6" customHeight="1">
      <c r="B511" s="6" t="inlineStr">
        <is>
          <t>หลอดไฟหรี่ ขาว</t>
        </is>
      </c>
      <c r="C511" s="8" t="inlineStr">
        <is>
          <t>100หลอด</t>
        </is>
      </c>
      <c r="D511" s="9" t="n">
        <v>3.5</v>
      </c>
      <c r="F511" s="9" t="n">
        <v>350</v>
      </c>
      <c r="G511" s="10" t="inlineStr">
        <is>
          <t>ต้นคิด</t>
        </is>
      </c>
      <c r="H511" s="161" t="n">
        <v>23901</v>
      </c>
    </row>
    <row r="513" ht="21.6" customHeight="1">
      <c r="B513" s="6" t="inlineStr">
        <is>
          <t>หลอดไฟตัดหมอก Halogen 9006 12V 55W</t>
        </is>
      </c>
      <c r="D513" s="9" t="n">
        <v>90</v>
      </c>
      <c r="G513" s="10" t="inlineStr">
        <is>
          <t>ต้นคิด</t>
        </is>
      </c>
      <c r="J513" s="8" t="inlineStr">
        <is>
          <t>อู่ขายลูกค้า 200 บาท</t>
        </is>
      </c>
    </row>
    <row r="515" ht="21.6" customHeight="1">
      <c r="B515" s="6" t="inlineStr">
        <is>
          <t>หลอดไฟเสียบ ขาว 1 จุด</t>
        </is>
      </c>
      <c r="C515" s="8" t="inlineStr">
        <is>
          <t>10หลอด</t>
        </is>
      </c>
      <c r="D515" s="9" t="n">
        <v>30</v>
      </c>
      <c r="F515" s="9" t="n">
        <v>300</v>
      </c>
      <c r="G515" s="10" t="inlineStr">
        <is>
          <t>ต้นคิด</t>
        </is>
      </c>
      <c r="H515" s="161" t="n">
        <v>23636</v>
      </c>
    </row>
    <row r="517" ht="21.6" customHeight="1">
      <c r="B517" s="6" t="inlineStr">
        <is>
          <t>หลอดไฟเสียบ ส้ม 1 จุด</t>
        </is>
      </c>
      <c r="C517" s="8" t="inlineStr">
        <is>
          <t>10หลอด</t>
        </is>
      </c>
      <c r="D517" s="9" t="n">
        <v>35</v>
      </c>
      <c r="F517" s="9" t="n">
        <v>350</v>
      </c>
      <c r="G517" s="10" t="inlineStr">
        <is>
          <t>ต้นคิด</t>
        </is>
      </c>
      <c r="H517" s="161" t="n">
        <v>23636</v>
      </c>
    </row>
    <row r="519" ht="21.6" customHeight="1">
      <c r="A519" s="11" t="inlineStr">
        <is>
          <t>ถุงมือ</t>
        </is>
      </c>
      <c r="B519" s="6" t="inlineStr">
        <is>
          <t>ถุงมือ แบบ 400 กรัม</t>
        </is>
      </c>
      <c r="C519" s="8" t="inlineStr">
        <is>
          <t>10โหล</t>
        </is>
      </c>
      <c r="D519" s="9" t="n">
        <v>36</v>
      </c>
      <c r="F519" s="9" t="n">
        <v>360</v>
      </c>
      <c r="G519" s="10" t="inlineStr">
        <is>
          <t>โรงงานดอนทราย</t>
        </is>
      </c>
      <c r="H519" s="161" t="n">
        <v>22436</v>
      </c>
    </row>
    <row r="520" ht="21.6" customHeight="1">
      <c r="B520" s="6" t="inlineStr">
        <is>
          <t>ถุงมือ แบบ 400 กรัม</t>
        </is>
      </c>
      <c r="C520" s="8" t="inlineStr">
        <is>
          <t>10โหล</t>
        </is>
      </c>
      <c r="D520" s="9" t="n">
        <v>36</v>
      </c>
      <c r="F520" s="9" t="n">
        <v>360</v>
      </c>
      <c r="G520" s="10" t="inlineStr">
        <is>
          <t>โรงงานดอนทราย</t>
        </is>
      </c>
      <c r="H520" s="161" t="n">
        <v>22977</v>
      </c>
    </row>
    <row r="521" ht="21.6" customHeight="1">
      <c r="B521" s="6" t="inlineStr">
        <is>
          <t>ถุงมือ แบบ 400 กรัม</t>
        </is>
      </c>
      <c r="C521" s="8" t="inlineStr">
        <is>
          <t>10โหล</t>
        </is>
      </c>
      <c r="D521" s="9" t="n">
        <v>36</v>
      </c>
      <c r="F521" s="9" t="n">
        <v>360</v>
      </c>
      <c r="G521" s="10" t="inlineStr">
        <is>
          <t>โรงงานดอนทราย</t>
        </is>
      </c>
      <c r="H521" s="161" t="n">
        <v>23001</v>
      </c>
    </row>
    <row r="522" ht="21.6" customHeight="1">
      <c r="B522" s="6" t="inlineStr">
        <is>
          <t>ถุงมือ แบบ 400 กรัม</t>
        </is>
      </c>
      <c r="C522" s="8" t="inlineStr">
        <is>
          <t>10โหล</t>
        </is>
      </c>
      <c r="D522" s="9" t="n">
        <v>36</v>
      </c>
      <c r="F522" s="9" t="n">
        <v>360</v>
      </c>
      <c r="G522" s="10" t="inlineStr">
        <is>
          <t>โรงงานดอนทราย</t>
        </is>
      </c>
      <c r="H522" s="161" t="n">
        <v>23042</v>
      </c>
    </row>
    <row r="525" ht="21.6" customHeight="1">
      <c r="A525" s="11" t="inlineStr">
        <is>
          <t>ผ้าปิดจมูก</t>
        </is>
      </c>
      <c r="B525" s="6" t="inlineStr">
        <is>
          <t xml:space="preserve">ผ้าปิดจมูก </t>
        </is>
      </c>
      <c r="C525" s="8" t="inlineStr">
        <is>
          <t>10โหล</t>
        </is>
      </c>
      <c r="D525" s="9" t="n">
        <v>30</v>
      </c>
      <c r="F525" s="9" t="n">
        <v>300</v>
      </c>
      <c r="G525" s="10" t="inlineStr">
        <is>
          <t>โรงงานดอนทราย</t>
        </is>
      </c>
      <c r="H525" s="161" t="n">
        <v>22436</v>
      </c>
    </row>
    <row r="526" ht="21.6" customHeight="1">
      <c r="B526" s="6" t="inlineStr">
        <is>
          <t xml:space="preserve">ผ้าปิดจมูก </t>
        </is>
      </c>
      <c r="C526" s="8" t="inlineStr">
        <is>
          <t>20โหล</t>
        </is>
      </c>
      <c r="D526" s="9" t="n">
        <v>30</v>
      </c>
      <c r="F526" s="9" t="n">
        <v>600</v>
      </c>
      <c r="G526" s="10" t="inlineStr">
        <is>
          <t>โรงงานดอนทราย</t>
        </is>
      </c>
      <c r="H526" s="161" t="n">
        <v>22977</v>
      </c>
    </row>
    <row r="527" ht="21.6" customHeight="1">
      <c r="B527" s="6" t="inlineStr">
        <is>
          <t xml:space="preserve">ผ้าปิดจมูก </t>
        </is>
      </c>
      <c r="C527" s="8" t="inlineStr">
        <is>
          <t>20โหล</t>
        </is>
      </c>
      <c r="D527" s="9" t="n">
        <v>30</v>
      </c>
      <c r="F527" s="9" t="n">
        <v>600</v>
      </c>
      <c r="G527" s="10" t="inlineStr">
        <is>
          <t>โรงงานดอนทราย</t>
        </is>
      </c>
      <c r="H527" s="161" t="n">
        <v>23001</v>
      </c>
    </row>
    <row r="528" ht="21.6" customHeight="1">
      <c r="B528" s="6" t="inlineStr">
        <is>
          <t xml:space="preserve">ผ้าปิดจมูก </t>
        </is>
      </c>
      <c r="C528" s="8" t="inlineStr">
        <is>
          <t>20โหล</t>
        </is>
      </c>
      <c r="D528" s="9" t="n">
        <v>30</v>
      </c>
      <c r="F528" s="9" t="n">
        <v>600</v>
      </c>
      <c r="G528" s="10" t="inlineStr">
        <is>
          <t>โรงงานดอนทราย</t>
        </is>
      </c>
      <c r="H528" s="161" t="n">
        <v>23042</v>
      </c>
    </row>
    <row r="529" ht="21.6" customHeight="1">
      <c r="B529" s="6" t="inlineStr">
        <is>
          <t xml:space="preserve">ผ้าปิดจมูก </t>
        </is>
      </c>
      <c r="C529" s="8" t="inlineStr">
        <is>
          <t>48ชิ้น</t>
        </is>
      </c>
      <c r="D529" s="9" t="n">
        <v>4</v>
      </c>
      <c r="F529" s="9" t="n">
        <v>192</v>
      </c>
      <c r="G529" s="10" t="inlineStr">
        <is>
          <t>ทาเลนท์</t>
        </is>
      </c>
      <c r="H529" s="161" t="n">
        <v>23094</v>
      </c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6"/>
  <sheetViews>
    <sheetView tabSelected="1" zoomScaleNormal="100" workbookViewId="0">
      <pane ySplit="1" topLeftCell="A2" activePane="bottomLeft" state="frozen"/>
      <selection pane="bottomLeft" activeCell="G13" sqref="G13"/>
    </sheetView>
  </sheetViews>
  <sheetFormatPr baseColWidth="8" defaultColWidth="8.59765625" defaultRowHeight="18" customHeight="1"/>
  <cols>
    <col width="16.19921875" customWidth="1" style="21" min="1" max="1"/>
    <col width="44.69921875" customWidth="1" style="86" min="2" max="2"/>
    <col width="7.59765625" customWidth="1" style="21" min="3" max="3"/>
    <col width="8.59765625" customWidth="1" style="87" min="4" max="4"/>
    <col width="6.796875" customWidth="1" style="21" min="5" max="5"/>
    <col width="11.19921875" customWidth="1" style="87" min="6" max="6"/>
    <col width="11.19921875" customWidth="1" style="25" min="7" max="7"/>
    <col width="10.09765625" customWidth="1" style="159" min="8" max="8"/>
    <col width="22.796875" customWidth="1" style="21" min="9" max="9"/>
    <col width="8.59765625" customWidth="1" style="86" min="10" max="16384"/>
  </cols>
  <sheetData>
    <row r="1" ht="18" customFormat="1" customHeight="1" s="21">
      <c r="A1" s="162" t="inlineStr">
        <is>
          <t>ประเภท</t>
        </is>
      </c>
      <c r="B1" s="162" t="inlineStr">
        <is>
          <t>รายการ</t>
        </is>
      </c>
      <c r="C1" s="162" t="inlineStr">
        <is>
          <t>จำนวน</t>
        </is>
      </c>
      <c r="D1" s="163" t="inlineStr">
        <is>
          <t>ราคา/ชิ้น</t>
        </is>
      </c>
      <c r="E1" s="162" t="inlineStr">
        <is>
          <t>ส่วนลด%</t>
        </is>
      </c>
      <c r="F1" s="163" t="inlineStr">
        <is>
          <t>รวมจำนวนเงิน</t>
        </is>
      </c>
      <c r="G1" s="163" t="inlineStr">
        <is>
          <t>ชื่อร้าน</t>
        </is>
      </c>
      <c r="H1" s="164" t="inlineStr">
        <is>
          <t>ว/ด/ป</t>
        </is>
      </c>
      <c r="I1" s="162" t="inlineStr">
        <is>
          <t>หมายเหตุ</t>
        </is>
      </c>
      <c r="J1" s="162" t="inlineStr">
        <is>
          <t>(ราคาที่ระบุคือ ราคาก่อน VAT)</t>
        </is>
      </c>
    </row>
    <row r="2" ht="18" customHeight="1">
      <c r="A2" s="85" t="inlineStr">
        <is>
          <t>น้ำมันเกียร์</t>
        </is>
      </c>
      <c r="B2" s="86" t="inlineStr">
        <is>
          <t>น้ำมันเกียร์  Super HD SAE90 TRANE 5L.</t>
        </is>
      </c>
      <c r="C2" s="21" t="inlineStr">
        <is>
          <t>1ลัง</t>
        </is>
      </c>
      <c r="D2" s="87" t="n">
        <v>2120</v>
      </c>
      <c r="F2" s="87" t="n">
        <v>2120</v>
      </c>
      <c r="G2" s="25" t="inlineStr">
        <is>
          <t>ศรีสยาม</t>
        </is>
      </c>
      <c r="H2" s="159" t="n">
        <v>22415</v>
      </c>
      <c r="I2" s="21" t="inlineStr">
        <is>
          <t>6กล. / @353.33 บาท</t>
        </is>
      </c>
    </row>
    <row r="3" ht="18" customHeight="1">
      <c r="A3" s="88" t="inlineStr">
        <is>
          <t>คิดลูกค้าลิตรละ 150 บาท</t>
        </is>
      </c>
      <c r="B3" s="86" t="inlineStr">
        <is>
          <t>น้ำมันเกียร์  Super HD SAE90 TRANE 5L.</t>
        </is>
      </c>
      <c r="C3" s="21" t="inlineStr">
        <is>
          <t>1ลัง</t>
        </is>
      </c>
      <c r="D3" s="87" t="n">
        <v>1795</v>
      </c>
      <c r="F3" s="87" t="n">
        <v>1795</v>
      </c>
      <c r="G3" s="25" t="inlineStr">
        <is>
          <t>ศรีสยาม</t>
        </is>
      </c>
      <c r="H3" s="159" t="n">
        <v>23289</v>
      </c>
      <c r="I3" s="21" t="inlineStr">
        <is>
          <t>6กล. / @299.17 บาท</t>
        </is>
      </c>
    </row>
    <row r="4" ht="18" customHeight="1">
      <c r="B4" s="86" t="inlineStr">
        <is>
          <t>น้ำมันเกียร์  Super HD SAE90 TRANE 5L.</t>
        </is>
      </c>
      <c r="C4" s="21" t="inlineStr">
        <is>
          <t>1ลัง</t>
        </is>
      </c>
      <c r="D4" s="87" t="n">
        <v>1795</v>
      </c>
      <c r="F4" s="87" t="n">
        <v>1795</v>
      </c>
      <c r="G4" s="25" t="inlineStr">
        <is>
          <t>ศรีสยาม</t>
        </is>
      </c>
      <c r="H4" s="159" t="n">
        <v>23387</v>
      </c>
      <c r="I4" s="21" t="inlineStr">
        <is>
          <t>6กล. / @299.17 บาท</t>
        </is>
      </c>
    </row>
    <row r="5" ht="18" customHeight="1">
      <c r="B5" s="86" t="inlineStr">
        <is>
          <t>น้ำมันเกียร์  Super HD SAE90 TRANE 5L.</t>
        </is>
      </c>
      <c r="C5" s="21" t="inlineStr">
        <is>
          <t>1ลัง</t>
        </is>
      </c>
      <c r="D5" s="87" t="n">
        <v>2460</v>
      </c>
      <c r="F5" s="87" t="n">
        <v>2460</v>
      </c>
      <c r="G5" s="25" t="inlineStr">
        <is>
          <t>ศรีสยาม</t>
        </is>
      </c>
      <c r="H5" s="159" t="n">
        <v>23932</v>
      </c>
      <c r="I5" s="21" t="inlineStr">
        <is>
          <t>6กล. / @410 บาท</t>
        </is>
      </c>
    </row>
    <row r="6" ht="18" customHeight="1">
      <c r="B6" s="86" t="inlineStr">
        <is>
          <t>น้ำมันเกียร์  Super HD SAE90 TRANE 5L.</t>
        </is>
      </c>
      <c r="C6" s="21" t="inlineStr">
        <is>
          <t>1ลัง</t>
        </is>
      </c>
      <c r="D6" s="87" t="n">
        <v>2460</v>
      </c>
      <c r="F6" s="87" t="n">
        <v>2460</v>
      </c>
      <c r="G6" s="25" t="inlineStr">
        <is>
          <t>ศรีสยาม</t>
        </is>
      </c>
      <c r="H6" s="159" t="n">
        <v>24125</v>
      </c>
      <c r="I6" s="21" t="inlineStr">
        <is>
          <t>6กล. / @410 บาท</t>
        </is>
      </c>
    </row>
    <row r="7" ht="18" customHeight="1">
      <c r="B7" s="86" t="inlineStr">
        <is>
          <t>น้ำมันเกียร์  Super HD SAE90 TRANE 5L.</t>
        </is>
      </c>
      <c r="C7" s="21" t="inlineStr">
        <is>
          <t>1ลัง</t>
        </is>
      </c>
      <c r="D7" s="87" t="n">
        <v>2460</v>
      </c>
      <c r="F7" s="87" t="n">
        <v>2460</v>
      </c>
      <c r="G7" s="25" t="inlineStr">
        <is>
          <t>ศรีสยาม</t>
        </is>
      </c>
      <c r="H7" s="159" t="n">
        <v>24322</v>
      </c>
      <c r="I7" s="21" t="inlineStr">
        <is>
          <t>6กล. / @410 บาท</t>
        </is>
      </c>
    </row>
    <row r="8" ht="18" customHeight="1">
      <c r="B8" s="86" t="inlineStr">
        <is>
          <t>น้ำมันเกียร์  Super HD GL1 SAE90 TRANE 5L.</t>
        </is>
      </c>
      <c r="C8" s="21" t="inlineStr">
        <is>
          <t>1ลัง</t>
        </is>
      </c>
      <c r="D8" s="87" t="n">
        <v>2270</v>
      </c>
      <c r="F8" s="87" t="n">
        <v>2270</v>
      </c>
      <c r="G8" s="25" t="inlineStr">
        <is>
          <t>ศรีสยาม</t>
        </is>
      </c>
      <c r="H8" s="159" t="n">
        <v>24390</v>
      </c>
      <c r="I8" s="21" t="inlineStr">
        <is>
          <t>6กล. / @378.33 บาท</t>
        </is>
      </c>
    </row>
    <row r="9" ht="18" customHeight="1">
      <c r="B9" s="86" t="inlineStr">
        <is>
          <t>น้ำมันเกียร์  Super HD GL1 SAE90 TRANE 5L.</t>
        </is>
      </c>
      <c r="C9" s="21" t="inlineStr">
        <is>
          <t>1ลัง</t>
        </is>
      </c>
      <c r="D9" s="87" t="n">
        <v>2270</v>
      </c>
      <c r="F9" s="87" t="n">
        <v>2270</v>
      </c>
      <c r="G9" s="25" t="inlineStr">
        <is>
          <t>ศรีสยาม</t>
        </is>
      </c>
      <c r="H9" s="159" t="n">
        <v>24635</v>
      </c>
      <c r="I9" s="21" t="inlineStr">
        <is>
          <t>6กล. / @378.33 บาท</t>
        </is>
      </c>
    </row>
    <row r="10" ht="18" customHeight="1">
      <c r="B10" s="86" t="inlineStr">
        <is>
          <t>น้ำมันเกียร์  Super HD GL1 SAE90 TRANE 5L.</t>
        </is>
      </c>
      <c r="C10" s="21" t="inlineStr">
        <is>
          <t>1ลัง</t>
        </is>
      </c>
      <c r="D10" s="87" t="n">
        <v>2270</v>
      </c>
      <c r="F10" s="87" t="n">
        <v>2270</v>
      </c>
      <c r="G10" s="25" t="inlineStr">
        <is>
          <t>ศรีสยาม</t>
        </is>
      </c>
      <c r="H10" s="159" t="n">
        <v>24825</v>
      </c>
      <c r="I10" s="21" t="inlineStr">
        <is>
          <t>6กล. / @378.33 บาท</t>
        </is>
      </c>
    </row>
    <row r="11" ht="18" customHeight="1">
      <c r="B11" s="86" t="inlineStr">
        <is>
          <t>น้ำมันเกียร์  Super HD GL1 SAE90 TRANE 5L.</t>
        </is>
      </c>
      <c r="C11" s="21" t="inlineStr">
        <is>
          <t>1ลัง</t>
        </is>
      </c>
      <c r="D11" s="87" t="n">
        <v>2270</v>
      </c>
      <c r="F11" s="87" t="n">
        <v>2270</v>
      </c>
      <c r="G11" s="25" t="inlineStr">
        <is>
          <t>ศรีสยาม</t>
        </is>
      </c>
      <c r="H11" s="159" t="n">
        <v>25029</v>
      </c>
      <c r="I11" s="21" t="inlineStr">
        <is>
          <t>6กล. / @378.33 บาท</t>
        </is>
      </c>
    </row>
    <row r="12" ht="18" customHeight="1">
      <c r="B12" s="86" t="inlineStr">
        <is>
          <t>น้ำมันเกียร์  Super HD GL1 SAE90 TRANE 5L.</t>
        </is>
      </c>
      <c r="C12" s="21" t="inlineStr">
        <is>
          <t>1ลัง</t>
        </is>
      </c>
      <c r="D12" s="87" t="n">
        <v>2270</v>
      </c>
      <c r="F12" s="87" t="n">
        <v>2270</v>
      </c>
      <c r="G12" s="25" t="inlineStr">
        <is>
          <t>ศรีสยาม</t>
        </is>
      </c>
      <c r="H12" s="159" t="n">
        <v>25143</v>
      </c>
      <c r="I12" s="21" t="inlineStr">
        <is>
          <t>6กล. / @378.33 บาท</t>
        </is>
      </c>
    </row>
    <row r="14" ht="18" customHeight="1">
      <c r="B14" s="86" t="inlineStr">
        <is>
          <t>น้ำมันเกียร์  GL5 SAE90 TRANE 5L.</t>
        </is>
      </c>
      <c r="C14" s="21" t="inlineStr">
        <is>
          <t>1ลัง</t>
        </is>
      </c>
      <c r="D14" s="87" t="n">
        <v>2760</v>
      </c>
      <c r="F14" s="87" t="n">
        <v>2760</v>
      </c>
      <c r="G14" s="25" t="inlineStr">
        <is>
          <t>ศรีสยาม</t>
        </is>
      </c>
      <c r="H14" s="159" t="n">
        <v>23654</v>
      </c>
      <c r="I14" s="21" t="inlineStr">
        <is>
          <t>6กล. / @460 บาท</t>
        </is>
      </c>
    </row>
    <row r="16" ht="18" customHeight="1">
      <c r="A16" s="88" t="inlineStr">
        <is>
          <t>คิดลูกค้าลิตรละ 400 บาท</t>
        </is>
      </c>
      <c r="B16" s="86" t="inlineStr">
        <is>
          <t>น้ำมันเกียร์  TOY ATF TOYOTA  4ลิตร</t>
        </is>
      </c>
      <c r="C16" s="21" t="inlineStr">
        <is>
          <t>1กล.</t>
        </is>
      </c>
      <c r="D16" s="87" t="n">
        <v>1330</v>
      </c>
      <c r="F16" s="87" t="n">
        <v>1330</v>
      </c>
      <c r="G16" s="25" t="inlineStr">
        <is>
          <t>ศรีสยาม</t>
        </is>
      </c>
      <c r="H16" s="159" t="n">
        <v>22429</v>
      </c>
    </row>
    <row r="17" ht="18" customHeight="1">
      <c r="B17" s="86" t="inlineStr">
        <is>
          <t>น้ำมันเกียร์  TOY ATF TOYOTA  4ลิตร</t>
        </is>
      </c>
      <c r="C17" s="21" t="inlineStr">
        <is>
          <t>1กล.</t>
        </is>
      </c>
      <c r="D17" s="87" t="n">
        <v>1330</v>
      </c>
      <c r="F17" s="87" t="n">
        <v>1330</v>
      </c>
      <c r="G17" s="25" t="inlineStr">
        <is>
          <t>ศรีสยาม</t>
        </is>
      </c>
      <c r="H17" s="159" t="n">
        <v>22433</v>
      </c>
    </row>
    <row r="18" ht="18" customHeight="1">
      <c r="B18" s="86" t="inlineStr">
        <is>
          <t>น้ำมันเกียร์  TOY ATF TOYOTA  4ลิตร</t>
        </is>
      </c>
      <c r="C18" s="21" t="inlineStr">
        <is>
          <t>1กล.</t>
        </is>
      </c>
      <c r="D18" s="87" t="n">
        <v>1330</v>
      </c>
      <c r="F18" s="87" t="n">
        <v>1330</v>
      </c>
      <c r="G18" s="25" t="inlineStr">
        <is>
          <t>ศรีสยาม</t>
        </is>
      </c>
      <c r="H18" s="159" t="n">
        <v>23237</v>
      </c>
      <c r="I18" s="89" t="inlineStr">
        <is>
          <t>ออลนิววีออส 3กส-1947 กทม. / วิริยะ</t>
        </is>
      </c>
    </row>
    <row r="19" ht="18" customHeight="1">
      <c r="B19" s="86" t="inlineStr">
        <is>
          <t>น้ำมันเกียร์  TOY ATF TOYOTA  4ลิตร</t>
        </is>
      </c>
      <c r="C19" s="21" t="inlineStr">
        <is>
          <t>1กล.</t>
        </is>
      </c>
      <c r="D19" s="87" t="n">
        <v>1330</v>
      </c>
      <c r="F19" s="87" t="n">
        <v>1330</v>
      </c>
      <c r="G19" s="25" t="inlineStr">
        <is>
          <t>ศรีสยาม</t>
        </is>
      </c>
      <c r="H19" s="159" t="n">
        <v>23237</v>
      </c>
      <c r="I19" s="89" t="inlineStr">
        <is>
          <t>ออลนิววีออส 3กบ-5210 กทม. / เงินสด</t>
        </is>
      </c>
    </row>
    <row r="20" ht="18" customHeight="1">
      <c r="B20" s="86" t="inlineStr">
        <is>
          <t>น้ำมันเกียร์  TOY ATF TOYOTA  4ลิตร</t>
        </is>
      </c>
      <c r="C20" s="21" t="inlineStr">
        <is>
          <t>4กล.</t>
        </is>
      </c>
      <c r="D20" s="87" t="n">
        <v>1310</v>
      </c>
      <c r="F20" s="87" t="n">
        <v>5240</v>
      </c>
      <c r="G20" s="25" t="inlineStr">
        <is>
          <t>ศรีสยาม</t>
        </is>
      </c>
      <c r="H20" s="159" t="n">
        <v>23265</v>
      </c>
      <c r="I20" s="89" t="n"/>
    </row>
    <row r="22" ht="18" customHeight="1">
      <c r="A22" s="86" t="n"/>
      <c r="B22" s="86" t="inlineStr">
        <is>
          <t>น้ำมันเกียร์  HONDA ATF DW-1  1ลิตร</t>
        </is>
      </c>
      <c r="C22" s="21" t="inlineStr">
        <is>
          <t>2กป.</t>
        </is>
      </c>
      <c r="D22" s="87" t="n">
        <v>200</v>
      </c>
      <c r="F22" s="87" t="n">
        <v>400</v>
      </c>
      <c r="G22" s="25" t="inlineStr">
        <is>
          <t>ศรีสยาม</t>
        </is>
      </c>
      <c r="H22" s="159" t="n">
        <v>22429</v>
      </c>
    </row>
    <row r="23" ht="18" customHeight="1">
      <c r="B23" s="86" t="inlineStr">
        <is>
          <t>น้ำมันเกียร์  HONDA ATF DW-1  3ลิตร</t>
        </is>
      </c>
      <c r="C23" s="21" t="inlineStr">
        <is>
          <t>1กล.</t>
        </is>
      </c>
      <c r="D23" s="87" t="n">
        <v>580</v>
      </c>
      <c r="F23" s="87" t="n">
        <v>580</v>
      </c>
      <c r="G23" s="25" t="inlineStr">
        <is>
          <t>ศรีสยาม</t>
        </is>
      </c>
      <c r="H23" s="159" t="n">
        <v>22471</v>
      </c>
    </row>
    <row r="25" ht="18" customHeight="1">
      <c r="B25" s="86" t="inlineStr">
        <is>
          <t>น้ำมันเกียร์ Dexron-VI  ACDELCO 3.785 ลิตร</t>
        </is>
      </c>
      <c r="C25" s="21" t="inlineStr">
        <is>
          <t>1กล.</t>
        </is>
      </c>
      <c r="D25" s="87" t="n">
        <v>900</v>
      </c>
      <c r="F25" s="87" t="n">
        <v>900</v>
      </c>
      <c r="G25" s="25" t="inlineStr">
        <is>
          <t>ศรีสยาม</t>
        </is>
      </c>
      <c r="H25" s="159" t="n">
        <v>22439</v>
      </c>
    </row>
    <row r="26" ht="18" customHeight="1">
      <c r="B26" s="86" t="inlineStr">
        <is>
          <t>น้ำมันเกียร์ Dexron-VI  ACDELCO 3.785 ลิตร</t>
        </is>
      </c>
      <c r="C26" s="21" t="inlineStr">
        <is>
          <t>1กล.</t>
        </is>
      </c>
      <c r="D26" s="87" t="n">
        <v>920</v>
      </c>
      <c r="F26" s="87" t="n">
        <v>920</v>
      </c>
      <c r="G26" s="25" t="inlineStr">
        <is>
          <t>ศรีสยาม</t>
        </is>
      </c>
      <c r="H26" s="159" t="n">
        <v>22479</v>
      </c>
    </row>
    <row r="28" ht="18" customHeight="1">
      <c r="A28" s="88" t="inlineStr">
        <is>
          <t>คิดลูกค้าลิตรละ 250 บาท</t>
        </is>
      </c>
      <c r="B28" s="86" t="inlineStr">
        <is>
          <t>น้ำมันเกียร์  TEXAMATIC 1888 CALTEX 5L.</t>
        </is>
      </c>
      <c r="C28" s="21" t="inlineStr">
        <is>
          <t>1ลัง</t>
        </is>
      </c>
      <c r="D28" s="87" t="n">
        <v>2720</v>
      </c>
      <c r="F28" s="87" t="n">
        <v>2720</v>
      </c>
      <c r="G28" s="25" t="inlineStr">
        <is>
          <t>ศรีสยาม</t>
        </is>
      </c>
      <c r="H28" s="159" t="n">
        <v>22451</v>
      </c>
      <c r="I28" s="21" t="inlineStr">
        <is>
          <t>4กล. / @680</t>
        </is>
      </c>
    </row>
    <row r="29" ht="18" customHeight="1">
      <c r="B29" s="86" t="inlineStr">
        <is>
          <t>น้ำมันเกียร์  TEXAMATIC 1888 CALTEX 5L.</t>
        </is>
      </c>
      <c r="C29" s="21" t="inlineStr">
        <is>
          <t>1ลัง</t>
        </is>
      </c>
      <c r="D29" s="87" t="n">
        <v>2720</v>
      </c>
      <c r="F29" s="87" t="n">
        <v>2720</v>
      </c>
      <c r="G29" s="25" t="inlineStr">
        <is>
          <t>ศรีสยาม</t>
        </is>
      </c>
      <c r="H29" s="159" t="n">
        <v>22480</v>
      </c>
      <c r="I29" s="21" t="inlineStr">
        <is>
          <t>4กล. / @680</t>
        </is>
      </c>
    </row>
    <row r="30" ht="18" customHeight="1">
      <c r="B30" s="86" t="inlineStr">
        <is>
          <t>น้ำมันเกียร์  TEXAMATIC 1888 CALTEX 5L.</t>
        </is>
      </c>
      <c r="C30" s="21" t="inlineStr">
        <is>
          <t>1ลัง</t>
        </is>
      </c>
      <c r="D30" s="87" t="n">
        <v>2730</v>
      </c>
      <c r="F30" s="87" t="n">
        <v>2730</v>
      </c>
      <c r="G30" s="25" t="inlineStr">
        <is>
          <t>ศรีสยาม</t>
        </is>
      </c>
      <c r="H30" s="159" t="n">
        <v>23237</v>
      </c>
      <c r="I30" s="21" t="inlineStr">
        <is>
          <t>4กล. / @683</t>
        </is>
      </c>
    </row>
    <row r="31" ht="18" customHeight="1">
      <c r="B31" s="86" t="inlineStr">
        <is>
          <t>น้ำมันเกียร์  TEXAMATIC 1888 CALTEX 5L.</t>
        </is>
      </c>
      <c r="C31" s="21" t="inlineStr">
        <is>
          <t>1ลัง</t>
        </is>
      </c>
      <c r="D31" s="87" t="n">
        <v>2730</v>
      </c>
      <c r="F31" s="87" t="n">
        <v>2730</v>
      </c>
      <c r="G31" s="25" t="inlineStr">
        <is>
          <t>ศรีสยาม</t>
        </is>
      </c>
      <c r="H31" s="159" t="n">
        <v>23284</v>
      </c>
      <c r="I31" s="21" t="inlineStr">
        <is>
          <t>4กล. / @683</t>
        </is>
      </c>
    </row>
    <row r="32" ht="18" customHeight="1">
      <c r="B32" s="86" t="inlineStr">
        <is>
          <t>น้ำมันเกียร์  TEXAMATIC 1888 CALTEX 5L.</t>
        </is>
      </c>
      <c r="C32" s="21" t="inlineStr">
        <is>
          <t>1ลัง</t>
        </is>
      </c>
      <c r="D32" s="87" t="n">
        <v>2730</v>
      </c>
      <c r="F32" s="87" t="n">
        <v>2730</v>
      </c>
      <c r="G32" s="25" t="inlineStr">
        <is>
          <t>ศรีสยาม</t>
        </is>
      </c>
      <c r="H32" s="159" t="n">
        <v>23453</v>
      </c>
      <c r="I32" s="21" t="inlineStr">
        <is>
          <t>4กล. / @683</t>
        </is>
      </c>
    </row>
    <row r="33" ht="18" customHeight="1">
      <c r="B33" s="86" t="inlineStr">
        <is>
          <t>น้ำมันเกียร์  TEXAMATIC 1888 CALTEX 5L.</t>
        </is>
      </c>
      <c r="C33" s="21" t="inlineStr">
        <is>
          <t>1ลัง</t>
        </is>
      </c>
      <c r="D33" s="87" t="n">
        <v>2850</v>
      </c>
      <c r="F33" s="87" t="n">
        <v>2850</v>
      </c>
      <c r="G33" s="25" t="inlineStr">
        <is>
          <t>ศรีสยาม</t>
        </is>
      </c>
      <c r="H33" s="159" t="n">
        <v>23551</v>
      </c>
      <c r="I33" s="21" t="inlineStr">
        <is>
          <t>4กล. / @712.50</t>
        </is>
      </c>
    </row>
    <row r="34" ht="18" customHeight="1">
      <c r="B34" s="86" t="inlineStr">
        <is>
          <t>น้ำมันเกียร์  TEXAMATIC 1888 CALTEX 5L.</t>
        </is>
      </c>
      <c r="C34" s="21" t="inlineStr">
        <is>
          <t>1ลัง</t>
        </is>
      </c>
      <c r="D34" s="87" t="n">
        <v>2920</v>
      </c>
      <c r="F34" s="87" t="n">
        <v>2920</v>
      </c>
      <c r="G34" s="25" t="inlineStr">
        <is>
          <t>ศรีสยาม</t>
        </is>
      </c>
      <c r="H34" s="159" t="n">
        <v>23756</v>
      </c>
      <c r="I34" s="21" t="inlineStr">
        <is>
          <t>4กล. / @730</t>
        </is>
      </c>
    </row>
    <row r="35" ht="18" customHeight="1">
      <c r="B35" s="86" t="inlineStr">
        <is>
          <t>น้ำมันเกียร์  TEXAMATIC 1888 CALTEX 5L.</t>
        </is>
      </c>
      <c r="C35" s="21" t="inlineStr">
        <is>
          <t>1ลัง</t>
        </is>
      </c>
      <c r="D35" s="87" t="n">
        <v>2980</v>
      </c>
      <c r="F35" s="87" t="n">
        <v>2980</v>
      </c>
      <c r="G35" s="25" t="inlineStr">
        <is>
          <t>ศรีสยาม</t>
        </is>
      </c>
      <c r="H35" s="159" t="n">
        <v>23915</v>
      </c>
      <c r="I35" s="21" t="inlineStr">
        <is>
          <t>4กล. / @745</t>
        </is>
      </c>
    </row>
    <row r="36" ht="18" customHeight="1">
      <c r="B36" s="86" t="inlineStr">
        <is>
          <t>น้ำมันเกียร์  TEXAMATIC 1888 CALTEX 5L.</t>
        </is>
      </c>
      <c r="C36" s="21" t="inlineStr">
        <is>
          <t>1ลัง</t>
        </is>
      </c>
      <c r="D36" s="87" t="n">
        <v>3160</v>
      </c>
      <c r="F36" s="87" t="n">
        <v>3160</v>
      </c>
      <c r="G36" s="25" t="inlineStr">
        <is>
          <t>ศรีสยาม</t>
        </is>
      </c>
      <c r="H36" s="159" t="n">
        <v>24074</v>
      </c>
      <c r="I36" s="21" t="inlineStr">
        <is>
          <t>4กล. / @790</t>
        </is>
      </c>
    </row>
    <row r="37" ht="18" customHeight="1">
      <c r="B37" s="86" t="inlineStr">
        <is>
          <t>น้ำมันเกียร์  TEXAMATIC 1888 CALTEX 5L.</t>
        </is>
      </c>
      <c r="C37" s="21" t="inlineStr">
        <is>
          <t>1ลัง</t>
        </is>
      </c>
      <c r="D37" s="87" t="n">
        <v>3040</v>
      </c>
      <c r="F37" s="87" t="n">
        <v>3040</v>
      </c>
      <c r="G37" s="25" t="inlineStr">
        <is>
          <t>ศรีสยาม</t>
        </is>
      </c>
      <c r="H37" s="159" t="n">
        <v>24181</v>
      </c>
      <c r="I37" s="21" t="inlineStr">
        <is>
          <t>4กล. / @760 / ลิตรละ 190 บาท</t>
        </is>
      </c>
    </row>
    <row r="38" ht="18" customHeight="1">
      <c r="B38" s="86" t="inlineStr">
        <is>
          <t>น้ำมันเกียร์  TEXAMATIC 1888 CALTEX 5L.</t>
        </is>
      </c>
      <c r="C38" s="21" t="inlineStr">
        <is>
          <t>1ลัง</t>
        </is>
      </c>
      <c r="D38" s="87" t="n">
        <v>3040</v>
      </c>
      <c r="F38" s="87" t="n">
        <v>3040</v>
      </c>
      <c r="G38" s="25" t="inlineStr">
        <is>
          <t>ศรีสยาม</t>
        </is>
      </c>
      <c r="H38" s="159" t="n">
        <v>24414</v>
      </c>
      <c r="I38" s="21" t="inlineStr">
        <is>
          <t>4กล. / @760 / ลิตรละ 190 บาท</t>
        </is>
      </c>
    </row>
    <row r="39" ht="18" customHeight="1">
      <c r="B39" s="86" t="inlineStr">
        <is>
          <t>น้ำมันเกียร์  TEXAMATIC 1888 CALTEX 5L.</t>
        </is>
      </c>
      <c r="C39" s="21" t="inlineStr">
        <is>
          <t>1ลัง</t>
        </is>
      </c>
      <c r="D39" s="87" t="n">
        <v>3000</v>
      </c>
      <c r="F39" s="87" t="n">
        <v>3000</v>
      </c>
      <c r="G39" s="25" t="inlineStr">
        <is>
          <t>ศรีสยาม</t>
        </is>
      </c>
      <c r="H39" s="159" t="n">
        <v>24684</v>
      </c>
      <c r="I39" s="21" t="inlineStr">
        <is>
          <t>4กล. / @750 / ลิตรละ 187.50 บาท</t>
        </is>
      </c>
    </row>
    <row r="40" ht="18" customHeight="1">
      <c r="B40" s="86" t="inlineStr">
        <is>
          <t>น้ำมันเกียร์  TEXAMATIC 1888 CALTEX 5L.</t>
        </is>
      </c>
      <c r="C40" s="21" t="inlineStr">
        <is>
          <t>1ลัง</t>
        </is>
      </c>
      <c r="D40" s="87" t="n">
        <v>2820</v>
      </c>
      <c r="F40" s="87" t="n">
        <v>2820</v>
      </c>
      <c r="G40" s="25" t="inlineStr">
        <is>
          <t>ศรีสยาม</t>
        </is>
      </c>
      <c r="H40" s="159" t="n">
        <v>25014</v>
      </c>
      <c r="I40" s="21" t="inlineStr">
        <is>
          <t>4กล. / @705 / ลิตรละ 176.25 บาท</t>
        </is>
      </c>
    </row>
    <row r="42" ht="18" customHeight="1">
      <c r="B42" s="86" t="inlineStr">
        <is>
          <t>น้ำมันเกียร์  MIT CVT FLUID ECO J4 Mitsubishi 4L</t>
        </is>
      </c>
      <c r="C42" s="21" t="inlineStr">
        <is>
          <t>1กล.</t>
        </is>
      </c>
      <c r="D42" s="87" t="n">
        <v>1030</v>
      </c>
      <c r="F42" s="87" t="n">
        <v>1030</v>
      </c>
      <c r="G42" s="25" t="inlineStr">
        <is>
          <t>ศรีสยาม</t>
        </is>
      </c>
      <c r="H42" s="159" t="n">
        <v>22451</v>
      </c>
    </row>
    <row r="43" ht="18" customHeight="1">
      <c r="B43" s="86" t="inlineStr">
        <is>
          <t>น้ำมันเกียร์  MIT CVT FLUID ECO J4 Mitsubishi 4L</t>
        </is>
      </c>
      <c r="C43" s="21" t="inlineStr">
        <is>
          <t>1กล.</t>
        </is>
      </c>
      <c r="D43" s="87" t="n">
        <v>1010</v>
      </c>
      <c r="F43" s="87" t="n">
        <v>1010</v>
      </c>
      <c r="G43" s="25" t="inlineStr">
        <is>
          <t>ศรีสยาม</t>
        </is>
      </c>
      <c r="H43" s="159" t="n">
        <v>22495</v>
      </c>
    </row>
    <row r="44" ht="18" customHeight="1">
      <c r="B44" s="86" t="inlineStr">
        <is>
          <t>น้ำมันเกียร์  MIT CVT FLUID ECO J4 Mitsubishi 4L</t>
        </is>
      </c>
      <c r="C44" s="21" t="inlineStr">
        <is>
          <t>1กล.</t>
        </is>
      </c>
      <c r="D44" s="87" t="n">
        <v>1010</v>
      </c>
      <c r="F44" s="87" t="n">
        <v>1010</v>
      </c>
      <c r="G44" s="25" t="inlineStr">
        <is>
          <t>ศรีสยาม</t>
        </is>
      </c>
      <c r="H44" s="159" t="n">
        <v>22483</v>
      </c>
    </row>
    <row r="46" ht="18" customHeight="1">
      <c r="A46" s="85" t="inlineStr">
        <is>
          <t>น้ำมันเบรค</t>
        </is>
      </c>
      <c r="B46" s="86" t="inlineStr">
        <is>
          <t>น้ำมันเบรค  SHELL 1ลิตร DOT3</t>
        </is>
      </c>
      <c r="C46" s="21" t="inlineStr">
        <is>
          <t>1ลัง</t>
        </is>
      </c>
      <c r="D46" s="87" t="n">
        <v>2015</v>
      </c>
      <c r="F46" s="87" t="n">
        <v>2015</v>
      </c>
      <c r="G46" s="25" t="inlineStr">
        <is>
          <t>ศรีสยาม</t>
        </is>
      </c>
      <c r="H46" s="159" t="n">
        <v>22413</v>
      </c>
      <c r="I46" s="21" t="inlineStr">
        <is>
          <t>12กป./ขวดละ 167.92 บาท</t>
        </is>
      </c>
    </row>
    <row r="47" ht="18" customHeight="1">
      <c r="A47" s="88" t="inlineStr">
        <is>
          <t>คิดลูกค้าลิตรละ 280 บาท</t>
        </is>
      </c>
      <c r="B47" s="86" t="inlineStr">
        <is>
          <t>น้ำมันเบรค  SHELL 1ลิตร DOT3</t>
        </is>
      </c>
      <c r="C47" s="21" t="inlineStr">
        <is>
          <t>1ลัง</t>
        </is>
      </c>
      <c r="D47" s="87" t="n">
        <v>2015</v>
      </c>
      <c r="F47" s="87" t="n">
        <v>2015</v>
      </c>
      <c r="G47" s="25" t="inlineStr">
        <is>
          <t>ศรีสยาม</t>
        </is>
      </c>
      <c r="H47" s="159" t="n">
        <v>22440</v>
      </c>
      <c r="I47" s="21" t="inlineStr">
        <is>
          <t>12กป./ขวดละ 167.92 บาท</t>
        </is>
      </c>
    </row>
    <row r="48" ht="18" customHeight="1">
      <c r="B48" s="86" t="inlineStr">
        <is>
          <t>น้ำมันเบรค  SHELL 1ลิตร DOT3</t>
        </is>
      </c>
      <c r="C48" s="21" t="inlineStr">
        <is>
          <t>1ลัง</t>
        </is>
      </c>
      <c r="D48" s="87" t="n">
        <v>2070</v>
      </c>
      <c r="F48" s="87" t="n">
        <v>2070</v>
      </c>
      <c r="G48" s="25" t="inlineStr">
        <is>
          <t>ศรีสยาม</t>
        </is>
      </c>
      <c r="H48" s="159" t="n">
        <v>23079</v>
      </c>
      <c r="I48" s="21" t="inlineStr">
        <is>
          <t>12กป./ขวดละ 172.50 บาท</t>
        </is>
      </c>
    </row>
    <row r="49" ht="18" customHeight="1">
      <c r="B49" s="86" t="inlineStr">
        <is>
          <t>น้ำมันเบรค  SHELL 1ลิตร DOT3</t>
        </is>
      </c>
      <c r="C49" s="21" t="inlineStr">
        <is>
          <t>1ลัง</t>
        </is>
      </c>
      <c r="D49" s="87" t="n">
        <v>1910</v>
      </c>
      <c r="F49" s="87" t="n">
        <v>1910</v>
      </c>
      <c r="G49" s="25" t="inlineStr">
        <is>
          <t>ศรีสยาม</t>
        </is>
      </c>
      <c r="H49" s="159" t="n">
        <v>23228</v>
      </c>
      <c r="I49" s="21" t="inlineStr">
        <is>
          <t>12กป./ขวดละ 159.17 บาท</t>
        </is>
      </c>
    </row>
    <row r="50" ht="18" customHeight="1">
      <c r="B50" s="86" t="inlineStr">
        <is>
          <t>น้ำมันเบรค  SHELL 1ลิตร DOT3 Fluid</t>
        </is>
      </c>
      <c r="C50" s="21" t="inlineStr">
        <is>
          <t>1ลัง</t>
        </is>
      </c>
      <c r="D50" s="87" t="n">
        <v>1900</v>
      </c>
      <c r="F50" s="87" t="n">
        <v>1900</v>
      </c>
      <c r="G50" s="25" t="inlineStr">
        <is>
          <t>ศรีสยาม</t>
        </is>
      </c>
      <c r="H50" s="159" t="n">
        <v>23293</v>
      </c>
      <c r="I50" s="21" t="inlineStr">
        <is>
          <t>12กป./ขวดละ 158.33 บาท</t>
        </is>
      </c>
    </row>
    <row r="51" ht="18" customHeight="1">
      <c r="B51" s="86" t="inlineStr">
        <is>
          <t>น้ำมันเบรค  SHELL 1ลิตร DOT3 Fluid</t>
        </is>
      </c>
      <c r="C51" s="21" t="inlineStr">
        <is>
          <t>1ลัง</t>
        </is>
      </c>
      <c r="D51" s="87" t="n">
        <v>1900</v>
      </c>
      <c r="F51" s="87" t="n">
        <v>1900</v>
      </c>
      <c r="G51" s="25" t="inlineStr">
        <is>
          <t>ศรีสยาม</t>
        </is>
      </c>
      <c r="H51" s="159" t="n">
        <v>23333</v>
      </c>
      <c r="I51" s="21" t="inlineStr">
        <is>
          <t>12กป./ขวดละ 158.33 บาท</t>
        </is>
      </c>
    </row>
    <row r="52" ht="18" customHeight="1">
      <c r="B52" s="86" t="inlineStr">
        <is>
          <t>น้ำมันเบรค  SHELL 1ลิตร DOT3 Fluid -- ร้านจิตต์ (1960บาท)</t>
        </is>
      </c>
      <c r="C52" s="21" t="inlineStr">
        <is>
          <t>1ลัง</t>
        </is>
      </c>
      <c r="D52" s="87" t="n">
        <v>1935</v>
      </c>
      <c r="F52" s="87" t="n">
        <v>1935</v>
      </c>
      <c r="G52" s="25" t="inlineStr">
        <is>
          <t>ศรีสยาม</t>
        </is>
      </c>
      <c r="H52" s="159" t="n">
        <v>23422</v>
      </c>
      <c r="I52" s="21" t="inlineStr">
        <is>
          <t>12กป./ขวดละ 161.25 บาท</t>
        </is>
      </c>
    </row>
    <row r="53" ht="18" customHeight="1">
      <c r="B53" s="86" t="inlineStr">
        <is>
          <t>น้ำมันเบรค  SHELL 1ลิตร DOT3 Fluid</t>
        </is>
      </c>
      <c r="C53" s="21" t="inlineStr">
        <is>
          <t>1ลัง</t>
        </is>
      </c>
      <c r="D53" s="87" t="n">
        <v>1935</v>
      </c>
      <c r="F53" s="87" t="n">
        <v>1935</v>
      </c>
      <c r="G53" s="25" t="inlineStr">
        <is>
          <t>ศรีสยาม</t>
        </is>
      </c>
      <c r="H53" s="159" t="n">
        <v>23551</v>
      </c>
      <c r="I53" s="21" t="inlineStr">
        <is>
          <t>12กป./ขวดละ 161.25 บาท</t>
        </is>
      </c>
    </row>
    <row r="54" ht="18" customHeight="1">
      <c r="B54" s="86" t="inlineStr">
        <is>
          <t>น้ำมันเบรค  SHELL 1ลิตร DOT3 Fluid</t>
        </is>
      </c>
      <c r="C54" s="21" t="inlineStr">
        <is>
          <t>1ลัง</t>
        </is>
      </c>
      <c r="D54" s="87" t="n">
        <v>1935</v>
      </c>
      <c r="F54" s="87" t="n">
        <v>1935</v>
      </c>
      <c r="G54" s="25" t="inlineStr">
        <is>
          <t>ศรีสยาม</t>
        </is>
      </c>
      <c r="H54" s="159" t="n">
        <v>23620</v>
      </c>
      <c r="I54" s="21" t="inlineStr">
        <is>
          <t>12กป./ขวดละ 161.25 บาท</t>
        </is>
      </c>
    </row>
    <row r="55" ht="18" customHeight="1">
      <c r="B55" s="86" t="inlineStr">
        <is>
          <t>น้ำมันเบรค  SHELL 1ลิตร DOT3 Fluid</t>
        </is>
      </c>
      <c r="C55" s="21" t="inlineStr">
        <is>
          <t>1ลัง</t>
        </is>
      </c>
      <c r="D55" s="87" t="n">
        <v>1935</v>
      </c>
      <c r="F55" s="87" t="n">
        <v>1935</v>
      </c>
      <c r="G55" s="25" t="inlineStr">
        <is>
          <t>ศรีสยาม</t>
        </is>
      </c>
      <c r="H55" s="159" t="n">
        <v>23756</v>
      </c>
      <c r="I55" s="21" t="inlineStr">
        <is>
          <t>12กป./ขวดละ 161.25 บาท</t>
        </is>
      </c>
    </row>
    <row r="56" ht="18" customHeight="1">
      <c r="B56" s="86" t="inlineStr">
        <is>
          <t>น้ำมันเบรค  SHELL 1ลิตร DOT3 Fluid</t>
        </is>
      </c>
      <c r="C56" s="21" t="inlineStr">
        <is>
          <t>1ลัง</t>
        </is>
      </c>
      <c r="D56" s="87" t="n">
        <v>1950</v>
      </c>
      <c r="F56" s="87" t="n">
        <v>1950</v>
      </c>
      <c r="G56" s="25" t="inlineStr">
        <is>
          <t>ศรีสยาม</t>
        </is>
      </c>
      <c r="H56" s="159" t="n">
        <v>23915</v>
      </c>
      <c r="I56" s="21" t="inlineStr">
        <is>
          <t>12กป./ขวดละ 162.50 บาท</t>
        </is>
      </c>
    </row>
    <row r="57" ht="18" customHeight="1">
      <c r="B57" s="86" t="inlineStr">
        <is>
          <t>น้ำมันเบรค  SHELL 1ลิตร DOT3 Fluid</t>
        </is>
      </c>
      <c r="C57" s="21" t="inlineStr">
        <is>
          <t>1ลัง</t>
        </is>
      </c>
      <c r="D57" s="87" t="n">
        <v>2030</v>
      </c>
      <c r="F57" s="87" t="n">
        <v>2030</v>
      </c>
      <c r="G57" s="25" t="inlineStr">
        <is>
          <t>ศรีสยาม</t>
        </is>
      </c>
      <c r="H57" s="159" t="n">
        <v>24032</v>
      </c>
      <c r="I57" s="21" t="inlineStr">
        <is>
          <t>12กป./ขวดละ 169.17 บาท</t>
        </is>
      </c>
    </row>
    <row r="58" ht="18" customHeight="1">
      <c r="B58" s="86" t="inlineStr">
        <is>
          <t>น้ำมันเบรค  SHELL 1ลิตร DOT3 Fluid</t>
        </is>
      </c>
      <c r="C58" s="21" t="inlineStr">
        <is>
          <t>1ลัง</t>
        </is>
      </c>
      <c r="D58" s="87" t="n">
        <v>2030</v>
      </c>
      <c r="F58" s="87" t="n">
        <v>2030</v>
      </c>
      <c r="G58" s="25" t="inlineStr">
        <is>
          <t>ศรีสยาม</t>
        </is>
      </c>
      <c r="H58" s="159" t="n">
        <v>24074</v>
      </c>
      <c r="I58" s="21" t="inlineStr">
        <is>
          <t>12กป./ขวดละ 169.17 บาท</t>
        </is>
      </c>
    </row>
    <row r="59" ht="18" customHeight="1">
      <c r="B59" s="86" t="inlineStr">
        <is>
          <t>น้ำมันเบรค  SHELL 1ลิตร DOT3 Fluid</t>
        </is>
      </c>
      <c r="C59" s="21" t="inlineStr">
        <is>
          <t>1ลัง</t>
        </is>
      </c>
      <c r="D59" s="87" t="n">
        <v>2030</v>
      </c>
      <c r="F59" s="87" t="n">
        <v>2030</v>
      </c>
      <c r="G59" s="25" t="inlineStr">
        <is>
          <t>ศรีสยาม</t>
        </is>
      </c>
      <c r="H59" s="159" t="n">
        <v>24142</v>
      </c>
      <c r="I59" s="21" t="inlineStr">
        <is>
          <t>12กป./ขวดละ 169.17 บาท</t>
        </is>
      </c>
    </row>
    <row r="60" ht="18" customHeight="1">
      <c r="B60" s="86" t="inlineStr">
        <is>
          <t>น้ำมันเบรค  SHELL 1ลิตร DOT3 Fluid</t>
        </is>
      </c>
      <c r="C60" s="21" t="inlineStr">
        <is>
          <t>1ลัง</t>
        </is>
      </c>
      <c r="D60" s="87" t="n">
        <v>2150</v>
      </c>
      <c r="F60" s="87" t="n">
        <v>2150</v>
      </c>
      <c r="G60" s="25" t="inlineStr">
        <is>
          <t>ศรีสยาม</t>
        </is>
      </c>
      <c r="H60" s="159" t="n">
        <v>24205</v>
      </c>
      <c r="I60" s="21" t="inlineStr">
        <is>
          <t>12กป./ขวดละ 179.17 บาท</t>
        </is>
      </c>
    </row>
    <row r="61" ht="18" customHeight="1">
      <c r="B61" s="86" t="inlineStr">
        <is>
          <t>น้ำมันเบรค  SHELL 1ลิตร DOT3 Fluid</t>
        </is>
      </c>
      <c r="C61" s="21" t="inlineStr">
        <is>
          <t>1ลัง</t>
        </is>
      </c>
      <c r="D61" s="87" t="n">
        <v>2060</v>
      </c>
      <c r="F61" s="87" t="n">
        <v>2060</v>
      </c>
      <c r="G61" s="25" t="inlineStr">
        <is>
          <t>ศรีสยาม</t>
        </is>
      </c>
      <c r="H61" s="159" t="n">
        <v>24316</v>
      </c>
      <c r="I61" s="21" t="inlineStr">
        <is>
          <t>12กป./ขวดละ 171.67 บาท</t>
        </is>
      </c>
    </row>
    <row r="62" ht="18" customHeight="1">
      <c r="B62" s="86" t="inlineStr">
        <is>
          <t>น้ำมันเบรค  SHELL 1ลิตร DOT3 Fluid</t>
        </is>
      </c>
      <c r="C62" s="21" t="inlineStr">
        <is>
          <t>1ลัง</t>
        </is>
      </c>
      <c r="D62" s="87" t="n">
        <v>2060</v>
      </c>
      <c r="F62" s="87" t="n">
        <v>2060</v>
      </c>
      <c r="G62" s="25" t="inlineStr">
        <is>
          <t>ศรีสยาม</t>
        </is>
      </c>
      <c r="H62" s="159" t="n">
        <v>24357</v>
      </c>
      <c r="I62" s="21" t="inlineStr">
        <is>
          <t>12กป./ขวดละ 171.67 บาท</t>
        </is>
      </c>
    </row>
    <row r="63" ht="18" customHeight="1">
      <c r="B63" s="86" t="inlineStr">
        <is>
          <t>น้ำมันเบรค  SHELL 1ลิตร DOT3 Fluid</t>
        </is>
      </c>
      <c r="C63" s="21" t="inlineStr">
        <is>
          <t>1ลัง</t>
        </is>
      </c>
      <c r="D63" s="87" t="n">
        <v>2115</v>
      </c>
      <c r="F63" s="87" t="n">
        <v>2115</v>
      </c>
      <c r="G63" s="25" t="inlineStr">
        <is>
          <t>ศรีสยาม</t>
        </is>
      </c>
      <c r="H63" s="159" t="n">
        <v>24414</v>
      </c>
      <c r="I63" s="21" t="inlineStr">
        <is>
          <t>12กป./ขวดละ 176.25 บาท</t>
        </is>
      </c>
    </row>
    <row r="64" ht="18" customHeight="1">
      <c r="B64" s="86" t="inlineStr">
        <is>
          <t>น้ำมันเบรค  SHELL 1ลิตร DOT3 Fluid</t>
        </is>
      </c>
      <c r="C64" s="21" t="inlineStr">
        <is>
          <t>1ลัง</t>
        </is>
      </c>
      <c r="D64" s="87" t="n">
        <v>2115</v>
      </c>
      <c r="F64" s="87" t="n">
        <v>2115</v>
      </c>
      <c r="G64" s="25" t="inlineStr">
        <is>
          <t>ศรีสยาม</t>
        </is>
      </c>
      <c r="H64" s="159" t="n">
        <v>24478</v>
      </c>
      <c r="I64" s="21" t="inlineStr">
        <is>
          <t>12กป./ขวดละ 176.25 บาท</t>
        </is>
      </c>
    </row>
    <row r="65" ht="18" customHeight="1">
      <c r="B65" s="86" t="inlineStr">
        <is>
          <t>น้ำมันเบรค  SHELL 1ลิตร DOT3 Fluid</t>
        </is>
      </c>
      <c r="C65" s="21" t="inlineStr">
        <is>
          <t>1ลัง</t>
        </is>
      </c>
      <c r="D65" s="87" t="n">
        <v>2140</v>
      </c>
      <c r="F65" s="87" t="n">
        <v>2140</v>
      </c>
      <c r="G65" s="25" t="inlineStr">
        <is>
          <t>ศรีสยาม</t>
        </is>
      </c>
      <c r="H65" s="159" t="n">
        <v>24630</v>
      </c>
      <c r="I65" s="21" t="inlineStr">
        <is>
          <t>12กป./ขวดละ 178.33 บาท</t>
        </is>
      </c>
    </row>
    <row r="66" ht="18" customHeight="1">
      <c r="B66" s="86" t="inlineStr">
        <is>
          <t>น้ำมันเบรค  SHELL 1ลิตร DOT3 Fluid</t>
        </is>
      </c>
      <c r="C66" s="21" t="inlineStr">
        <is>
          <t>1ลัง</t>
        </is>
      </c>
      <c r="D66" s="87" t="n">
        <v>2140</v>
      </c>
      <c r="F66" s="87" t="n">
        <v>2140</v>
      </c>
      <c r="G66" s="25" t="inlineStr">
        <is>
          <t>ศรีสยาม</t>
        </is>
      </c>
      <c r="H66" s="159" t="n">
        <v>24684</v>
      </c>
      <c r="I66" s="21" t="inlineStr">
        <is>
          <t>12กป./ขวดละ 178.33 บาท</t>
        </is>
      </c>
    </row>
    <row r="67" ht="18" customHeight="1">
      <c r="B67" s="86" t="inlineStr">
        <is>
          <t>น้ำมันเบรค  SHELL 1ลิตร DOT3 Fluid</t>
        </is>
      </c>
      <c r="C67" s="21" t="inlineStr">
        <is>
          <t>1ลัง</t>
        </is>
      </c>
      <c r="D67" s="87" t="n">
        <v>2040</v>
      </c>
      <c r="F67" s="87" t="n">
        <v>2040</v>
      </c>
      <c r="G67" s="25" t="inlineStr">
        <is>
          <t>ศรีสยาม</t>
        </is>
      </c>
      <c r="H67" s="159" t="n">
        <v>24759</v>
      </c>
      <c r="I67" s="21" t="inlineStr">
        <is>
          <t>12กป./ขวดละ 170 บาท</t>
        </is>
      </c>
    </row>
    <row r="68" ht="18" customHeight="1">
      <c r="B68" s="86" t="inlineStr">
        <is>
          <t>น้ำมันเบรค  SHELL 1ลิตร DOT3 Fluid</t>
        </is>
      </c>
      <c r="C68" s="21" t="inlineStr">
        <is>
          <t>1ลัง</t>
        </is>
      </c>
      <c r="D68" s="87" t="n">
        <v>2100</v>
      </c>
      <c r="F68" s="87" t="n">
        <v>2100</v>
      </c>
      <c r="G68" s="25" t="inlineStr">
        <is>
          <t>ศรีสยาม</t>
        </is>
      </c>
      <c r="H68" s="159" t="n">
        <v>24825</v>
      </c>
      <c r="I68" s="21" t="inlineStr">
        <is>
          <t>12กป./ขวดละ 175 บาท</t>
        </is>
      </c>
    </row>
    <row r="69" ht="18" customHeight="1">
      <c r="B69" s="86" t="inlineStr">
        <is>
          <t>น้ำมันเบรค  SHELL 1ลิตร DOT3 Fluid</t>
        </is>
      </c>
      <c r="C69" s="21" t="n">
        <v>12</v>
      </c>
      <c r="D69" s="87" t="n">
        <v>181.67</v>
      </c>
      <c r="F69" s="87">
        <f>SUM(D69*C69)</f>
        <v/>
      </c>
      <c r="G69" s="25" t="inlineStr">
        <is>
          <t>ศรีสยาม</t>
        </is>
      </c>
      <c r="H69" s="159" t="n">
        <v>24916</v>
      </c>
      <c r="I69" s="90" t="inlineStr">
        <is>
          <t>ต้นทุนขวดละ 182 บาท ราคารวม VAT แล้ว</t>
        </is>
      </c>
    </row>
    <row r="70" ht="18" customHeight="1">
      <c r="B70" s="86" t="inlineStr">
        <is>
          <t>น้ำมันเบรค  SHELL 1ลิตร DOT3 Fluid</t>
        </is>
      </c>
      <c r="C70" s="21" t="n">
        <v>12</v>
      </c>
      <c r="D70" s="87" t="n">
        <v>181.67</v>
      </c>
      <c r="F70" s="87">
        <f>SUM(D70*C70)</f>
        <v/>
      </c>
      <c r="G70" s="25" t="inlineStr">
        <is>
          <t>ศรีสยาม</t>
        </is>
      </c>
      <c r="H70" s="159" t="n">
        <v>24991</v>
      </c>
      <c r="I70" s="90" t="inlineStr">
        <is>
          <t>ต้นทุนขวดละ 182 บาท ราคารวม VAT แล้ว</t>
        </is>
      </c>
    </row>
    <row r="71" ht="18" customHeight="1">
      <c r="B71" s="86" t="inlineStr">
        <is>
          <t>น้ำมันเบรค  SHELL 1ลิตร DOT3 Fluid</t>
        </is>
      </c>
      <c r="C71" s="21" t="n">
        <v>12</v>
      </c>
      <c r="D71" s="87" t="n">
        <v>183.3333</v>
      </c>
      <c r="F71" s="87">
        <f>SUM(D71*C71)</f>
        <v/>
      </c>
      <c r="G71" s="25" t="inlineStr">
        <is>
          <t>ศรีสยาม</t>
        </is>
      </c>
      <c r="H71" s="159" t="n">
        <v>25078</v>
      </c>
      <c r="I71" s="90" t="inlineStr">
        <is>
          <t>ต้นทุนขวดละ 183.33 บาท ราคารวม VAT แล้ว</t>
        </is>
      </c>
    </row>
    <row r="72" ht="18" customHeight="1">
      <c r="B72" s="86" t="inlineStr">
        <is>
          <t>น้ำมันเบรค  SHELL 1ลิตร DOT3 Fluid</t>
        </is>
      </c>
      <c r="C72" s="21" t="n">
        <v>12</v>
      </c>
      <c r="D72" s="87" t="n">
        <v>183.3333</v>
      </c>
      <c r="F72" s="87">
        <f>SUM(D72*C72)</f>
        <v/>
      </c>
      <c r="G72" s="25" t="inlineStr">
        <is>
          <t>ศรีสยาม</t>
        </is>
      </c>
      <c r="H72" s="159" t="n">
        <v>25126</v>
      </c>
      <c r="I72" s="90" t="inlineStr">
        <is>
          <t>ต้นทุนขวดละ 183.33 บาท ราคารวม VAT แล้ว</t>
        </is>
      </c>
    </row>
    <row r="73" ht="18" customHeight="1">
      <c r="B73" s="86" t="inlineStr">
        <is>
          <t>น้ำมันเบรค  SHELL 1ลิตร DOT3 Fluid</t>
        </is>
      </c>
      <c r="C73" s="21" t="n">
        <v>12</v>
      </c>
      <c r="D73" s="87" t="n">
        <v>183.3333</v>
      </c>
      <c r="F73" s="87">
        <f>SUM(D73*C73)</f>
        <v/>
      </c>
      <c r="G73" s="25" t="inlineStr">
        <is>
          <t>ศรีสยาม</t>
        </is>
      </c>
      <c r="H73" s="159" t="n">
        <v>25244</v>
      </c>
      <c r="I73" s="90" t="inlineStr">
        <is>
          <t>ต้นทุนขวดละ 183.33 บาท ราคารวม VAT แล้ว</t>
        </is>
      </c>
    </row>
    <row r="75" ht="18" customHeight="1">
      <c r="A75" s="85" t="inlineStr">
        <is>
          <t>จารบี</t>
        </is>
      </c>
      <c r="B75" s="86" t="inlineStr">
        <is>
          <t>จารบี  MOLYLAND 1 ปอนด์</t>
        </is>
      </c>
      <c r="C75" s="21" t="inlineStr">
        <is>
          <t>3กป.</t>
        </is>
      </c>
      <c r="D75" s="87" t="n">
        <v>125</v>
      </c>
      <c r="F75" s="87" t="n">
        <v>375</v>
      </c>
      <c r="G75" s="25" t="inlineStr">
        <is>
          <t>ศรีสยาม</t>
        </is>
      </c>
      <c r="H75" s="159" t="n">
        <v>22440</v>
      </c>
    </row>
    <row r="77" ht="18" customHeight="1">
      <c r="B77" s="86" t="inlineStr">
        <is>
          <t>จารบี เบอร์3 จระเข้  5กิโล</t>
        </is>
      </c>
      <c r="C77" s="21" t="inlineStr">
        <is>
          <t>1กป.</t>
        </is>
      </c>
      <c r="D77" s="87" t="n">
        <v>350</v>
      </c>
      <c r="F77" s="87" t="n">
        <v>350</v>
      </c>
      <c r="G77" s="25" t="inlineStr">
        <is>
          <t>ศรีสยาม</t>
        </is>
      </c>
      <c r="H77" s="159" t="n">
        <v>23522</v>
      </c>
    </row>
    <row r="79" ht="18" customHeight="1">
      <c r="B79" s="86" t="inlineStr">
        <is>
          <t>จารบี Besco grease L-3 (แท้ห้าง) 2กิโล</t>
        </is>
      </c>
      <c r="C79" s="21" t="inlineStr">
        <is>
          <t>1กป.</t>
        </is>
      </c>
      <c r="D79" s="87" t="n">
        <v>390</v>
      </c>
      <c r="F79" s="87" t="n">
        <v>390</v>
      </c>
      <c r="G79" s="25" t="inlineStr">
        <is>
          <t>ศรีสยาม</t>
        </is>
      </c>
      <c r="H79" s="159" t="n">
        <v>23654</v>
      </c>
    </row>
    <row r="80" ht="18" customHeight="1">
      <c r="B80" s="86" t="inlineStr">
        <is>
          <t>จารบี Besco grease L-3 (แท้ห้าง) 2กิโล</t>
        </is>
      </c>
      <c r="C80" s="21" t="inlineStr">
        <is>
          <t>1กป.</t>
        </is>
      </c>
      <c r="D80" s="87" t="n">
        <v>468</v>
      </c>
      <c r="F80" s="87" t="n">
        <v>468</v>
      </c>
      <c r="G80" s="25" t="inlineStr">
        <is>
          <t>ศรีสยาม</t>
        </is>
      </c>
      <c r="H80" s="159" t="n">
        <v>24100</v>
      </c>
    </row>
    <row r="81" ht="18" customHeight="1">
      <c r="B81" s="86" t="inlineStr">
        <is>
          <t>จารบี Besco grease L-3 (แท้ห้าง) 2กิโล</t>
        </is>
      </c>
      <c r="C81" s="21" t="inlineStr">
        <is>
          <t>1กป.</t>
        </is>
      </c>
      <c r="D81" s="87" t="n">
        <v>510</v>
      </c>
      <c r="F81" s="87" t="n">
        <v>510</v>
      </c>
      <c r="G81" s="25" t="inlineStr">
        <is>
          <t>ศรีสยาม</t>
        </is>
      </c>
      <c r="H81" s="159" t="n">
        <v>24417</v>
      </c>
    </row>
    <row r="82" ht="18" customHeight="1">
      <c r="B82" s="86" t="inlineStr">
        <is>
          <t>จารบี Besco grease L-3 (แท้ห้าง) 2กิโล</t>
        </is>
      </c>
      <c r="C82" s="21" t="inlineStr">
        <is>
          <t>1กป.</t>
        </is>
      </c>
      <c r="D82" s="87" t="n">
        <v>500.76</v>
      </c>
      <c r="F82" s="87" t="n">
        <v>500.76</v>
      </c>
      <c r="G82" s="25" t="inlineStr">
        <is>
          <t>ศรีสยาม</t>
        </is>
      </c>
      <c r="H82" s="159" t="n">
        <v>24832</v>
      </c>
      <c r="I82" s="21" t="inlineStr">
        <is>
          <t>ราคารวม VAT แล้ว</t>
        </is>
      </c>
    </row>
    <row r="84" ht="18" customHeight="1">
      <c r="B84" s="86" t="inlineStr">
        <is>
          <t>สเปย์จารบี แบบใส Acdelco ขนาด 300 กรัม</t>
        </is>
      </c>
      <c r="C84" s="21" t="inlineStr">
        <is>
          <t>1กป.</t>
        </is>
      </c>
      <c r="D84" s="87" t="n">
        <v>265</v>
      </c>
      <c r="F84" s="25" t="n"/>
      <c r="G84" s="87" t="n">
        <v>265</v>
      </c>
      <c r="H84" s="25" t="inlineStr">
        <is>
          <t>ศรีสยาม</t>
        </is>
      </c>
      <c r="I84" s="159" t="n">
        <v>23384</v>
      </c>
      <c r="J84" s="21" t="inlineStr">
        <is>
          <t>ไม่มี VAT</t>
        </is>
      </c>
    </row>
    <row r="85" ht="18" customHeight="1">
      <c r="F85" s="25" t="n"/>
      <c r="G85" s="87" t="n"/>
      <c r="H85" s="25" t="n"/>
      <c r="I85" s="159" t="n"/>
      <c r="J85" s="21" t="n"/>
    </row>
    <row r="86" ht="18" customHeight="1">
      <c r="B86" s="86" t="inlineStr">
        <is>
          <t>จารบี Besco L3 แท้ห้าง 2 กิโล (กระปุกใหญ่)</t>
        </is>
      </c>
      <c r="C86" s="21" t="inlineStr">
        <is>
          <t>1กระปุก</t>
        </is>
      </c>
      <c r="D86" s="87" t="n">
        <v>390</v>
      </c>
      <c r="F86" s="25" t="n"/>
      <c r="G86" s="87" t="n">
        <v>390</v>
      </c>
      <c r="H86" s="25" t="inlineStr">
        <is>
          <t>ศรีสยาม</t>
        </is>
      </c>
      <c r="I86" s="159" t="n">
        <v>23410</v>
      </c>
      <c r="J86" s="21" t="inlineStr">
        <is>
          <t>ไม่มี VAT</t>
        </is>
      </c>
    </row>
    <row r="87" ht="18" customHeight="1">
      <c r="F87" s="25" t="n"/>
      <c r="G87" s="87" t="n"/>
      <c r="H87" s="25" t="n"/>
      <c r="I87" s="159" t="n"/>
      <c r="J87" s="21" t="n"/>
    </row>
    <row r="88" ht="18" customHeight="1">
      <c r="A88" s="85" t="inlineStr">
        <is>
          <t>น้ำมันเครื่อง</t>
        </is>
      </c>
      <c r="B88" s="86" t="inlineStr">
        <is>
          <t>น้ำมันเครื่อง DYNAMIC Premier 15W40 PTT 6L+1L (ดีเซล)</t>
        </is>
      </c>
      <c r="C88" s="21" t="inlineStr">
        <is>
          <t>1ลัง</t>
        </is>
      </c>
      <c r="D88" s="87" t="n">
        <v>1730</v>
      </c>
      <c r="F88" s="87" t="n">
        <v>1730</v>
      </c>
      <c r="G88" s="25" t="inlineStr">
        <is>
          <t>ศรีสยาม</t>
        </is>
      </c>
      <c r="H88" s="159" t="n">
        <v>22425</v>
      </c>
      <c r="I88" s="21" t="inlineStr">
        <is>
          <t>มี 3กล./ กล. @577 บาท</t>
        </is>
      </c>
    </row>
    <row r="89" ht="18" customHeight="1">
      <c r="A89" s="88" t="inlineStr">
        <is>
          <t>คิดลูกค้าลิตรละ 200 บาท</t>
        </is>
      </c>
      <c r="B89" s="86" t="inlineStr">
        <is>
          <t>น้ำมันเครื่อง DYNAMIC Premier 15W40 PTT 6L+1L (ดีเซล)</t>
        </is>
      </c>
      <c r="C89" s="21" t="inlineStr">
        <is>
          <t>1ลัง</t>
        </is>
      </c>
      <c r="D89" s="87" t="n">
        <v>1730</v>
      </c>
      <c r="F89" s="87" t="n">
        <v>1730</v>
      </c>
      <c r="G89" s="25" t="inlineStr">
        <is>
          <t>ศรีสยาม</t>
        </is>
      </c>
      <c r="H89" s="159" t="n">
        <v>22466</v>
      </c>
      <c r="I89" s="21" t="inlineStr">
        <is>
          <t>มี 3กล./ กล. @577 บาท</t>
        </is>
      </c>
    </row>
    <row r="90" ht="18" customHeight="1">
      <c r="B90" s="86" t="inlineStr">
        <is>
          <t>น้ำมันเครื่อง DYNAMIC Premier 15W40 PTT 6L+1L (ดีเซล)</t>
        </is>
      </c>
      <c r="C90" s="21" t="inlineStr">
        <is>
          <t>1ลัง</t>
        </is>
      </c>
      <c r="D90" s="87" t="n">
        <v>1780</v>
      </c>
      <c r="F90" s="87" t="n">
        <v>1780</v>
      </c>
      <c r="G90" s="25" t="inlineStr">
        <is>
          <t>ศรีสยาม</t>
        </is>
      </c>
      <c r="H90" s="159" t="n">
        <v>22495</v>
      </c>
      <c r="I90" s="21" t="inlineStr">
        <is>
          <t>มี 3กล./ กล. @594 บาท</t>
        </is>
      </c>
    </row>
    <row r="91" ht="18" customHeight="1">
      <c r="B91" s="86" t="inlineStr">
        <is>
          <t>น้ำมันเครื่อง DYNAMIC Premier 15W40 PTT 6L+1L (ดีเซล)</t>
        </is>
      </c>
      <c r="C91" s="21" t="inlineStr">
        <is>
          <t>1ลัง</t>
        </is>
      </c>
      <c r="D91" s="87" t="n">
        <v>1760</v>
      </c>
      <c r="F91" s="87" t="n">
        <v>1760</v>
      </c>
      <c r="G91" s="25" t="inlineStr">
        <is>
          <t>ศรีสยาม</t>
        </is>
      </c>
      <c r="H91" s="159" t="n">
        <v>23189</v>
      </c>
      <c r="I91" s="21" t="inlineStr">
        <is>
          <t>มี 3กล./ กล. @587 บาท</t>
        </is>
      </c>
    </row>
    <row r="92" ht="18" customHeight="1">
      <c r="B92" s="86" t="inlineStr">
        <is>
          <t>น้ำมันเครื่อง DYNAMIC Premier 15W40 PTT 6L+1L (ดีเซล)</t>
        </is>
      </c>
      <c r="C92" s="21" t="inlineStr">
        <is>
          <t>1ลัง</t>
        </is>
      </c>
      <c r="D92" s="87" t="n">
        <v>1760</v>
      </c>
      <c r="F92" s="87" t="n">
        <v>1760</v>
      </c>
      <c r="G92" s="25" t="inlineStr">
        <is>
          <t>ศรีสยาม</t>
        </is>
      </c>
      <c r="H92" s="159" t="n">
        <v>23216</v>
      </c>
      <c r="I92" s="21" t="inlineStr">
        <is>
          <t>มี 3กล./ กล. @587 บาท</t>
        </is>
      </c>
    </row>
    <row r="93" ht="18" customHeight="1">
      <c r="B93" s="86" t="inlineStr">
        <is>
          <t>น้ำมันเครื่อง DYNAMIC Premier 15W40 PTT 6L+1L (ดีเซล)</t>
        </is>
      </c>
      <c r="C93" s="21" t="inlineStr">
        <is>
          <t>1ลัง</t>
        </is>
      </c>
      <c r="D93" s="87" t="n">
        <v>1760</v>
      </c>
      <c r="F93" s="87" t="n">
        <v>1760</v>
      </c>
      <c r="G93" s="25" t="inlineStr">
        <is>
          <t>ศรีสยาม</t>
        </is>
      </c>
      <c r="H93" s="159" t="n">
        <v>23262</v>
      </c>
      <c r="I93" s="21" t="inlineStr">
        <is>
          <t>มี 3กล./ กล. @587 บาท</t>
        </is>
      </c>
    </row>
    <row r="94" ht="18" customHeight="1">
      <c r="B94" s="86" t="inlineStr">
        <is>
          <t>น้ำมันเครื่อง DYNAMIC Premier 15W40 PTT 6L+1L (ดีเซล)</t>
        </is>
      </c>
      <c r="C94" s="21" t="inlineStr">
        <is>
          <t>1ลัง</t>
        </is>
      </c>
      <c r="D94" s="87" t="n">
        <v>1760</v>
      </c>
      <c r="F94" s="87" t="n">
        <v>1760</v>
      </c>
      <c r="G94" s="25" t="inlineStr">
        <is>
          <t>ศรีสยาม</t>
        </is>
      </c>
      <c r="H94" s="159" t="n">
        <v>23284</v>
      </c>
      <c r="I94" s="21" t="inlineStr">
        <is>
          <t>มี 3กล./ กล. @590 บาท</t>
        </is>
      </c>
    </row>
    <row r="95" ht="18" customHeight="1">
      <c r="B95" s="86" t="inlineStr">
        <is>
          <t>น้ำมันเครื่อง DYNAMIC Premier 15W40 PTT 6L+1L (ดีเซล)</t>
        </is>
      </c>
      <c r="C95" s="21" t="inlineStr">
        <is>
          <t>1ลัง</t>
        </is>
      </c>
      <c r="D95" s="87" t="n">
        <v>1760</v>
      </c>
      <c r="F95" s="87" t="n">
        <v>1760</v>
      </c>
      <c r="G95" s="25" t="inlineStr">
        <is>
          <t>ศรีสยาม</t>
        </is>
      </c>
      <c r="H95" s="159" t="n">
        <v>23303</v>
      </c>
      <c r="I95" s="21" t="inlineStr">
        <is>
          <t>มี 3กล./ กล. @590 บาท</t>
        </is>
      </c>
    </row>
    <row r="96" ht="18" customHeight="1">
      <c r="B96" s="86" t="inlineStr">
        <is>
          <t>น้ำมันเครื่อง DYNAMIC Premier 15W40 PTT 6L+1L (ดีเซล)</t>
        </is>
      </c>
      <c r="C96" s="21" t="inlineStr">
        <is>
          <t>1ลัง</t>
        </is>
      </c>
      <c r="D96" s="87" t="n">
        <v>1760</v>
      </c>
      <c r="F96" s="87" t="n">
        <v>1760</v>
      </c>
      <c r="G96" s="25" t="inlineStr">
        <is>
          <t>ศรีสยาม</t>
        </is>
      </c>
      <c r="H96" s="159" t="n">
        <v>23339</v>
      </c>
      <c r="I96" s="21" t="inlineStr">
        <is>
          <t>มี 3กล./ กล. @590 บาท</t>
        </is>
      </c>
    </row>
    <row r="97" ht="18" customHeight="1">
      <c r="B97" s="86" t="inlineStr">
        <is>
          <t>น้ำมันเครื่อง DYNAMIC Premier 15W40 PTT 6L+1L (ดีเซล)</t>
        </is>
      </c>
      <c r="C97" s="21" t="inlineStr">
        <is>
          <t>1ลัง</t>
        </is>
      </c>
      <c r="D97" s="87" t="n">
        <v>1760</v>
      </c>
      <c r="F97" s="87" t="n">
        <v>1760</v>
      </c>
      <c r="G97" s="25" t="inlineStr">
        <is>
          <t>ศรีสยาม</t>
        </is>
      </c>
      <c r="H97" s="159" t="n">
        <v>23404</v>
      </c>
      <c r="I97" s="21" t="inlineStr">
        <is>
          <t>มี 3กล./ กล. @590 บาท</t>
        </is>
      </c>
    </row>
    <row r="98" ht="18" customHeight="1">
      <c r="B98" s="86" t="inlineStr">
        <is>
          <t>น้ำมันเครื่อง DYNAMIC Premier 15W40 PTT 6L+1L (ดีเซล)</t>
        </is>
      </c>
      <c r="C98" s="21" t="inlineStr">
        <is>
          <t>1ลัง</t>
        </is>
      </c>
      <c r="D98" s="87" t="n">
        <v>1760</v>
      </c>
      <c r="F98" s="87" t="n">
        <v>1760</v>
      </c>
      <c r="G98" s="25" t="inlineStr">
        <is>
          <t>ศรีสยาม</t>
        </is>
      </c>
      <c r="H98" s="159" t="n">
        <v>23442</v>
      </c>
      <c r="I98" s="21" t="inlineStr">
        <is>
          <t>มี 3กล./ กล. @590 บาท</t>
        </is>
      </c>
    </row>
    <row r="99" ht="18" customHeight="1">
      <c r="B99" s="86" t="inlineStr">
        <is>
          <t>น้ำมันเครื่อง DYNAMIC Premier 15W40 PTT 6L+1L (ดีเซล) -- ศรีสยามปรับราคา คราวหน้าซื้อร้านจิตต์ เช็ค 9/4 ราคา 1,760 บาท</t>
        </is>
      </c>
      <c r="C99" s="21" t="inlineStr">
        <is>
          <t>1ลัง</t>
        </is>
      </c>
      <c r="D99" s="87" t="n">
        <v>1810</v>
      </c>
      <c r="F99" s="87" t="n">
        <v>1810</v>
      </c>
      <c r="G99" s="25" t="inlineStr">
        <is>
          <t>ศรีสยาม</t>
        </is>
      </c>
      <c r="H99" s="159" t="n">
        <v>23476</v>
      </c>
      <c r="I99" s="21" t="inlineStr">
        <is>
          <t>มี 3กล./ กล. @604 บาท</t>
        </is>
      </c>
    </row>
    <row r="100" ht="18" customHeight="1">
      <c r="B100" s="86" t="inlineStr">
        <is>
          <t>น้ำมันเครื่อง DYNAMIC Plus 15W40 PTT 6L+1L (ดีเซล)</t>
        </is>
      </c>
      <c r="C100" s="21" t="inlineStr">
        <is>
          <t>1ลัง</t>
        </is>
      </c>
      <c r="D100" s="87" t="n">
        <v>1685</v>
      </c>
      <c r="F100" s="87" t="n">
        <v>1685</v>
      </c>
      <c r="G100" s="25" t="inlineStr">
        <is>
          <t>ศรีสยาม</t>
        </is>
      </c>
      <c r="H100" s="159" t="n">
        <v>23648</v>
      </c>
      <c r="I100" s="21" t="inlineStr">
        <is>
          <t>มี 3กล./ กล. @561.67 บาท</t>
        </is>
      </c>
    </row>
    <row r="101" ht="18" customHeight="1">
      <c r="B101" s="86" t="inlineStr">
        <is>
          <t>น้ำมันเครื่อง DYNAMIC Plus 15W40 PTT 6L+1L (ดีเซล)</t>
        </is>
      </c>
      <c r="C101" s="21" t="inlineStr">
        <is>
          <t>1ลัง</t>
        </is>
      </c>
      <c r="D101" s="87" t="n">
        <v>1780</v>
      </c>
      <c r="F101" s="87" t="n">
        <v>1780</v>
      </c>
      <c r="G101" s="25" t="inlineStr">
        <is>
          <t>ศรีสยาม</t>
        </is>
      </c>
      <c r="H101" s="159" t="n">
        <v>23715</v>
      </c>
      <c r="I101" s="21" t="inlineStr">
        <is>
          <t>มี 3กล./ กล. @593.33 บาท</t>
        </is>
      </c>
    </row>
    <row r="102" ht="18" customHeight="1">
      <c r="B102" s="86" t="inlineStr">
        <is>
          <t>น้ำมันเครื่อง DYNAMIC Plus 15W40 PTT 6L+1L (ดีเซล)</t>
        </is>
      </c>
      <c r="C102" s="21" t="inlineStr">
        <is>
          <t>1ลัง</t>
        </is>
      </c>
      <c r="D102" s="87" t="n">
        <v>1720</v>
      </c>
      <c r="F102" s="87" t="n">
        <v>1720</v>
      </c>
      <c r="G102" s="25" t="inlineStr">
        <is>
          <t>ศรีสยาม</t>
        </is>
      </c>
      <c r="H102" s="159" t="n">
        <v>23866</v>
      </c>
      <c r="I102" s="21" t="inlineStr">
        <is>
          <t>มี 3กล./ กล. @593.33 บาท</t>
        </is>
      </c>
    </row>
    <row r="103" ht="18" customHeight="1">
      <c r="B103" s="86" t="inlineStr">
        <is>
          <t>น้ำมันเครื่อง DYNAMIC Plus 15W40 PTT 6L+1L (ดีเซล)</t>
        </is>
      </c>
      <c r="C103" s="21" t="inlineStr">
        <is>
          <t>1ลัง</t>
        </is>
      </c>
      <c r="D103" s="87" t="n">
        <v>1765</v>
      </c>
      <c r="F103" s="87" t="n">
        <v>1765</v>
      </c>
      <c r="G103" s="25" t="inlineStr">
        <is>
          <t>ศรีสยาม</t>
        </is>
      </c>
      <c r="H103" s="159" t="n">
        <v>23963</v>
      </c>
      <c r="I103" s="21" t="inlineStr">
        <is>
          <t>มี 3กล./ กล. @588.33 บาท</t>
        </is>
      </c>
    </row>
    <row r="104" ht="18" customHeight="1">
      <c r="B104" s="86" t="inlineStr">
        <is>
          <t>น้ำมันเครื่อง DYNAMIC Plus 15W40 PTT 6L+1L (ดีเซล)</t>
        </is>
      </c>
      <c r="C104" s="21" t="inlineStr">
        <is>
          <t>1ลัง</t>
        </is>
      </c>
      <c r="D104" s="87" t="n">
        <v>1765</v>
      </c>
      <c r="F104" s="87" t="n">
        <v>1765</v>
      </c>
      <c r="G104" s="25" t="inlineStr">
        <is>
          <t>ศรีสยาม</t>
        </is>
      </c>
      <c r="H104" s="159" t="n">
        <v>24032</v>
      </c>
      <c r="I104" s="21" t="inlineStr">
        <is>
          <t>มี 3กล./ กล. @588.33 บาท</t>
        </is>
      </c>
    </row>
    <row r="105" ht="18" customHeight="1">
      <c r="B105" s="86" t="inlineStr">
        <is>
          <t>น้ำมันเครื่อง DYNAMIC Plus 15W40 PTT 6L+1L (ดีเซล)</t>
        </is>
      </c>
      <c r="C105" s="21" t="inlineStr">
        <is>
          <t>1ลัง</t>
        </is>
      </c>
      <c r="D105" s="87" t="n">
        <v>1820</v>
      </c>
      <c r="F105" s="87" t="n">
        <v>1820</v>
      </c>
      <c r="G105" s="25" t="inlineStr">
        <is>
          <t>ศรีสยาม</t>
        </is>
      </c>
      <c r="H105" s="159" t="n">
        <v>24110</v>
      </c>
      <c r="I105" s="21" t="inlineStr">
        <is>
          <t>มี 3กล./ กล. @606.67 บาท</t>
        </is>
      </c>
    </row>
    <row r="106" ht="18" customHeight="1">
      <c r="B106" s="86" t="inlineStr">
        <is>
          <t>น้ำมันเครื่อง DYNAMIC Plus 15W40 PTT 6L+1L (ดีเซล)</t>
        </is>
      </c>
      <c r="C106" s="21" t="inlineStr">
        <is>
          <t>1ลัง</t>
        </is>
      </c>
      <c r="D106" s="87" t="n">
        <v>1850</v>
      </c>
      <c r="F106" s="87" t="n">
        <v>1850</v>
      </c>
      <c r="G106" s="25" t="inlineStr">
        <is>
          <t>ศรีสยาม</t>
        </is>
      </c>
      <c r="H106" s="159" t="n">
        <v>24189</v>
      </c>
      <c r="I106" s="21" t="inlineStr">
        <is>
          <t>มี 3กล./ กล. @616.67 บาท</t>
        </is>
      </c>
    </row>
    <row r="107" ht="18" customHeight="1">
      <c r="B107" s="86" t="inlineStr">
        <is>
          <t>น้ำมันเครื่อง DYNAMIC Plus 15W40 PTT 6L+1L (ดีเซล)</t>
        </is>
      </c>
      <c r="C107" s="21" t="inlineStr">
        <is>
          <t>1ลัง</t>
        </is>
      </c>
      <c r="D107" s="87" t="n">
        <v>1900</v>
      </c>
      <c r="F107" s="87" t="n">
        <v>1900</v>
      </c>
      <c r="G107" s="25" t="inlineStr">
        <is>
          <t>ศรีสยาม</t>
        </is>
      </c>
      <c r="H107" s="159" t="n">
        <v>24322</v>
      </c>
      <c r="I107" s="21" t="inlineStr">
        <is>
          <t>มี 3กล./ กล. @633.33 บาท</t>
        </is>
      </c>
    </row>
    <row r="108" ht="18" customHeight="1">
      <c r="B108" s="86" t="inlineStr">
        <is>
          <t>น้ำมันเครื่อง DYNAMIC Plus 15W40 PTT 6L+1L (ดีเซล)</t>
        </is>
      </c>
      <c r="C108" s="21" t="inlineStr">
        <is>
          <t>1ลัง</t>
        </is>
      </c>
      <c r="D108" s="87" t="n">
        <v>1870</v>
      </c>
      <c r="F108" s="87" t="n">
        <v>1870</v>
      </c>
      <c r="G108" s="25" t="inlineStr">
        <is>
          <t>ศรีสยาม</t>
        </is>
      </c>
      <c r="H108" s="159" t="n">
        <v>24447</v>
      </c>
      <c r="I108" s="21" t="inlineStr">
        <is>
          <t>มี 3กล./ กล. @623.33 บาท</t>
        </is>
      </c>
    </row>
    <row r="109" ht="18" customHeight="1">
      <c r="B109" s="86" t="inlineStr">
        <is>
          <t>น้ำมันเครื่อง DYNAMIC Plus 15W40 PTT 6L+1L (ดีเซล)</t>
        </is>
      </c>
      <c r="C109" s="21" t="inlineStr">
        <is>
          <t>1ลัง</t>
        </is>
      </c>
      <c r="D109" s="87" t="n">
        <v>1870</v>
      </c>
      <c r="F109" s="87" t="n">
        <v>1870</v>
      </c>
      <c r="G109" s="25" t="inlineStr">
        <is>
          <t>ศรีสยาม</t>
        </is>
      </c>
      <c r="H109" s="159" t="n">
        <v>24603</v>
      </c>
      <c r="I109" s="21" t="inlineStr">
        <is>
          <t>มี 3กล./ กล. @623.33 บาท</t>
        </is>
      </c>
    </row>
    <row r="110" ht="18" customHeight="1">
      <c r="B110" s="86" t="inlineStr">
        <is>
          <t>น้ำมันเครื่อง DYNAMIC Plus 15W40 PTT 6L+1L (ดีเซล)</t>
        </is>
      </c>
      <c r="C110" s="21" t="inlineStr">
        <is>
          <t>1ลัง</t>
        </is>
      </c>
      <c r="D110" s="87" t="n">
        <v>1910</v>
      </c>
      <c r="F110" s="87" t="n">
        <v>1910</v>
      </c>
      <c r="G110" s="25" t="inlineStr">
        <is>
          <t>ศรีสยาม</t>
        </is>
      </c>
      <c r="H110" s="159" t="n">
        <v>24721</v>
      </c>
      <c r="I110" s="21" t="inlineStr">
        <is>
          <t>มี 3กล./ กล. @636.67 บาท</t>
        </is>
      </c>
    </row>
    <row r="111" ht="18" customHeight="1">
      <c r="B111" s="86" t="inlineStr">
        <is>
          <t>น้ำมันเครื่อง DYNAMIC Plus 15W40 PTT 6L+1L (ดีเซล)</t>
        </is>
      </c>
      <c r="C111" s="21" t="inlineStr">
        <is>
          <t>1ลัง</t>
        </is>
      </c>
      <c r="D111" s="87" t="n">
        <v>1870</v>
      </c>
      <c r="F111" s="87" t="n">
        <v>1870</v>
      </c>
      <c r="G111" s="25" t="inlineStr">
        <is>
          <t>ศรีสยาม</t>
        </is>
      </c>
      <c r="H111" s="159" t="n">
        <v>24788</v>
      </c>
      <c r="I111" s="21" t="inlineStr">
        <is>
          <t>มี 3กล./ กล. @623.33 บาท</t>
        </is>
      </c>
    </row>
    <row r="112" ht="18" customHeight="1">
      <c r="A112" s="88" t="inlineStr">
        <is>
          <t>คิดลูกค้าลิตรละ 200 บาท</t>
        </is>
      </c>
      <c r="B112" s="86" t="inlineStr">
        <is>
          <t>น้ำมันเครื่อง ENEOS Plus 15W40 6L+1L (ดีเซล)</t>
        </is>
      </c>
      <c r="C112" s="21" t="inlineStr">
        <is>
          <t>1ลัง/3ชุด</t>
        </is>
      </c>
      <c r="D112" s="87" t="n">
        <v>2150</v>
      </c>
      <c r="F112" s="87" t="n">
        <v>2150</v>
      </c>
      <c r="G112" s="25" t="inlineStr">
        <is>
          <t>ศรีสยาม</t>
        </is>
      </c>
      <c r="H112" s="159" t="n">
        <v>24935</v>
      </c>
      <c r="I112" s="21" t="inlineStr">
        <is>
          <t>มี 3กล./ กล. @716.67 บาท</t>
        </is>
      </c>
      <c r="J112" s="86" t="inlineStr">
        <is>
          <t>ราคารวม VAT แล้ว</t>
        </is>
      </c>
    </row>
    <row r="113" ht="18" customHeight="1">
      <c r="B113" s="86" t="inlineStr">
        <is>
          <t>น้ำมันเครื่อง ENEOS Plus 15W40 6L+1L (ดีเซล)</t>
        </is>
      </c>
      <c r="C113" s="21" t="inlineStr">
        <is>
          <t>1ลัง/3ชุด</t>
        </is>
      </c>
      <c r="D113" s="87" t="n">
        <v>2150</v>
      </c>
      <c r="F113" s="87" t="n">
        <v>2150</v>
      </c>
      <c r="G113" s="25" t="inlineStr">
        <is>
          <t>ศรีสยาม</t>
        </is>
      </c>
      <c r="H113" s="159" t="n">
        <v>25106</v>
      </c>
      <c r="I113" s="21" t="inlineStr">
        <is>
          <t>มี 3กล./ กล. @716.67 บาท</t>
        </is>
      </c>
      <c r="J113" s="86" t="inlineStr">
        <is>
          <t>ราคารวม VAT แล้ว</t>
        </is>
      </c>
    </row>
    <row r="115" ht="18" customHeight="1">
      <c r="B115" s="86" t="inlineStr">
        <is>
          <t>น้ำมันเครื่อง PERFORMA SEMI-SYN 10W40 PTT 4L+1L (เบนซิล)</t>
        </is>
      </c>
      <c r="C115" s="21" t="inlineStr">
        <is>
          <t>1ลัง</t>
        </is>
      </c>
      <c r="D115" s="87" t="n">
        <v>1875</v>
      </c>
      <c r="F115" s="87" t="n">
        <v>1875</v>
      </c>
      <c r="G115" s="25" t="inlineStr">
        <is>
          <t>ศรีสยาม</t>
        </is>
      </c>
      <c r="H115" s="159" t="n">
        <v>22466</v>
      </c>
      <c r="I115" s="21" t="inlineStr">
        <is>
          <t>มี 4กล./ กล. @469 บาท</t>
        </is>
      </c>
    </row>
    <row r="116" ht="18" customHeight="1">
      <c r="B116" s="86" t="inlineStr">
        <is>
          <t>น้ำมันเครื่อง PERFORMA SEMI-SYN 10W40 PTT 4L+1L (เบนซิล)</t>
        </is>
      </c>
      <c r="C116" s="21" t="inlineStr">
        <is>
          <t>1ลัง</t>
        </is>
      </c>
      <c r="D116" s="87" t="n">
        <v>1960</v>
      </c>
      <c r="F116" s="87" t="n">
        <v>1960</v>
      </c>
      <c r="G116" s="25" t="inlineStr">
        <is>
          <t>ศรีสยาม</t>
        </is>
      </c>
      <c r="H116" s="159" t="n">
        <v>22495</v>
      </c>
      <c r="I116" s="21" t="inlineStr">
        <is>
          <t>มี 4กล./ กล. @490 บาท</t>
        </is>
      </c>
    </row>
    <row r="117" ht="18" customHeight="1">
      <c r="B117" s="86" t="inlineStr">
        <is>
          <t>น้ำมันเครื่อง PERFORMA SEMI-SYN 10W40 PTT 4L+1L (เบนซิล)</t>
        </is>
      </c>
      <c r="C117" s="21" t="inlineStr">
        <is>
          <t>1ลัง</t>
        </is>
      </c>
      <c r="D117" s="87" t="n">
        <v>1950</v>
      </c>
      <c r="F117" s="87" t="n">
        <v>1950</v>
      </c>
      <c r="G117" s="25" t="inlineStr">
        <is>
          <t>ศรีสยาม</t>
        </is>
      </c>
      <c r="H117" s="159" t="n">
        <v>23079</v>
      </c>
      <c r="I117" s="21" t="inlineStr">
        <is>
          <t>มี 4กล./ กล. @487.50 บาท</t>
        </is>
      </c>
    </row>
    <row r="118" ht="18" customHeight="1">
      <c r="B118" s="86" t="inlineStr">
        <is>
          <t>น้ำมันเครื่อง PERFORMA SEMI-SYN 10W40 PTT 4L+1L (เบนซิล)</t>
        </is>
      </c>
      <c r="C118" s="21" t="inlineStr">
        <is>
          <t>1ลัง</t>
        </is>
      </c>
      <c r="D118" s="87" t="n">
        <v>1950</v>
      </c>
      <c r="F118" s="87" t="n">
        <v>1950</v>
      </c>
      <c r="G118" s="25" t="inlineStr">
        <is>
          <t>ศรีสยาม</t>
        </is>
      </c>
      <c r="H118" s="159" t="n">
        <v>23189</v>
      </c>
      <c r="I118" s="21" t="inlineStr">
        <is>
          <t>มี 4กล./ กล. @487.50 บาท</t>
        </is>
      </c>
    </row>
    <row r="119" ht="18" customHeight="1">
      <c r="B119" s="86" t="inlineStr">
        <is>
          <t>น้ำมันเครื่อง PERFORMA SEMI-SYN 10W40 PTT 4L+1L (เบนซิล)</t>
        </is>
      </c>
      <c r="C119" s="21" t="inlineStr">
        <is>
          <t>1ลัง</t>
        </is>
      </c>
      <c r="D119" s="87" t="n">
        <v>1950</v>
      </c>
      <c r="F119" s="87" t="n">
        <v>1950</v>
      </c>
      <c r="G119" s="25" t="inlineStr">
        <is>
          <t>ศรีสยาม</t>
        </is>
      </c>
      <c r="H119" s="159" t="n">
        <v>23528</v>
      </c>
      <c r="I119" s="21" t="inlineStr">
        <is>
          <t>มี 4กล./ กล. @487.50 บาท</t>
        </is>
      </c>
    </row>
    <row r="120" ht="18" customHeight="1">
      <c r="B120" s="86" t="inlineStr">
        <is>
          <t>น้ำมันเครื่อง PERFORMA SEMI-SYN 10W40 PTT 4L+1L (เบนซิล)</t>
        </is>
      </c>
      <c r="C120" s="21" t="inlineStr">
        <is>
          <t>1ลัง</t>
        </is>
      </c>
      <c r="D120" s="87" t="n">
        <v>2150</v>
      </c>
      <c r="F120" s="87" t="n">
        <v>2150</v>
      </c>
      <c r="G120" s="25" t="inlineStr">
        <is>
          <t>ศรีสยาม</t>
        </is>
      </c>
      <c r="H120" s="159" t="n">
        <v>24050</v>
      </c>
      <c r="I120" s="21" t="inlineStr">
        <is>
          <t>มี 4กล./ กล. @537.50 บาท</t>
        </is>
      </c>
    </row>
    <row r="121" ht="18" customHeight="1">
      <c r="B121" s="86" t="inlineStr">
        <is>
          <t>น้ำมันเครื่อง PERFORMA SEMI-SYN 10W40 PTT 4L+1L (เบนซิล)</t>
        </is>
      </c>
      <c r="C121" s="21" t="inlineStr">
        <is>
          <t>1ลัง</t>
        </is>
      </c>
      <c r="D121" s="87" t="n">
        <v>2210</v>
      </c>
      <c r="F121" s="87" t="n">
        <v>2210</v>
      </c>
      <c r="G121" s="25" t="inlineStr">
        <is>
          <t>ศรีสยาม</t>
        </is>
      </c>
      <c r="H121" s="159" t="n">
        <v>24181</v>
      </c>
      <c r="I121" s="21" t="inlineStr">
        <is>
          <t>มี 4กล./ กล. @552.50 บาท</t>
        </is>
      </c>
    </row>
    <row r="122" ht="18" customHeight="1">
      <c r="B122" s="86" t="inlineStr">
        <is>
          <t>น้ำมันเครื่อง PERFORMA Syntec Plus 10W40 PTT 4L+1L (เบนซิล)</t>
        </is>
      </c>
      <c r="C122" s="21" t="inlineStr">
        <is>
          <t>1ลัง</t>
        </is>
      </c>
      <c r="D122" s="87" t="n">
        <v>2270</v>
      </c>
      <c r="F122" s="87" t="n">
        <v>2270</v>
      </c>
      <c r="G122" s="25" t="inlineStr">
        <is>
          <t>ศรีสยาม</t>
        </is>
      </c>
      <c r="H122" s="159" t="n">
        <v>24411</v>
      </c>
      <c r="I122" s="21" t="inlineStr">
        <is>
          <t>มี 4กล./ กล. @567.50 บาท</t>
        </is>
      </c>
    </row>
    <row r="123" ht="18" customHeight="1">
      <c r="A123" s="88" t="inlineStr">
        <is>
          <t>คิดลูกค้าแกลลอนละ 1370 บาท</t>
        </is>
      </c>
      <c r="B123" s="91" t="inlineStr">
        <is>
          <t>น้ำมันเครื่อง Valvoline Full synthetic premium 5W30SQ 4L+1L (เบนซิล)</t>
        </is>
      </c>
      <c r="C123" s="21" t="inlineStr">
        <is>
          <t>1ลัง</t>
        </is>
      </c>
      <c r="D123" s="87" t="n">
        <v>4205</v>
      </c>
      <c r="F123" s="87" t="n">
        <v>4205</v>
      </c>
      <c r="G123" s="25" t="inlineStr">
        <is>
          <t>ศรีสยาม</t>
        </is>
      </c>
      <c r="H123" s="159" t="n">
        <v>25234</v>
      </c>
      <c r="I123" s="21" t="inlineStr">
        <is>
          <t>มี 4กล./ กล. @1051.25 บาท</t>
        </is>
      </c>
      <c r="J123" s="86" t="inlineStr">
        <is>
          <t>ราคารวม VAT แล้ว</t>
        </is>
      </c>
    </row>
    <row r="124" ht="18" customHeight="1">
      <c r="A124" s="88" t="inlineStr">
        <is>
          <t>คิดลูกค้าลิตรละ 400 บาท</t>
        </is>
      </c>
      <c r="B124" s="91" t="n"/>
    </row>
    <row r="126" ht="18" customHeight="1">
      <c r="B126" s="86" t="inlineStr">
        <is>
          <t>น้ำมันเครื่อง LIQ SPECIAL TEC AA10W30 LIQUI MOLY 5+2L</t>
        </is>
      </c>
      <c r="C126" s="21" t="inlineStr">
        <is>
          <t>1กล.</t>
        </is>
      </c>
      <c r="D126" s="87" t="n">
        <v>1820</v>
      </c>
      <c r="F126" s="87" t="n">
        <v>1820</v>
      </c>
      <c r="G126" s="25" t="inlineStr">
        <is>
          <t>ศรีสยาม</t>
        </is>
      </c>
      <c r="H126" s="159" t="n">
        <v>22472</v>
      </c>
    </row>
    <row r="127" ht="18" customHeight="1">
      <c r="B127" s="86" t="inlineStr">
        <is>
          <t>น้ำมันเครื่อง Diesel SYN 5W30 CK-4 Valvoline 6 ลิตรแถม1ลิตร</t>
        </is>
      </c>
      <c r="C127" s="21" t="inlineStr">
        <is>
          <t>1กล.</t>
        </is>
      </c>
      <c r="D127" s="87" t="n">
        <v>1900</v>
      </c>
      <c r="F127" s="87" t="n">
        <v>1900</v>
      </c>
      <c r="G127" s="25" t="inlineStr">
        <is>
          <t>ศรีสยาม</t>
        </is>
      </c>
      <c r="H127" s="159" t="n">
        <v>23909</v>
      </c>
    </row>
    <row r="129" ht="18" customHeight="1">
      <c r="A129" s="85" t="inlineStr">
        <is>
          <t>น้ำมันไฮโดรลิค</t>
        </is>
      </c>
      <c r="B129" s="86" t="inlineStr">
        <is>
          <t>น้ำมันไฮโดรลิค HLP 68PTT 18L. -- เติมโฟล์คลิฟ</t>
        </is>
      </c>
      <c r="C129" s="21" t="inlineStr">
        <is>
          <t>1กล.</t>
        </is>
      </c>
      <c r="D129" s="87" t="n">
        <v>880</v>
      </c>
      <c r="F129" s="87" t="n">
        <v>880</v>
      </c>
      <c r="G129" s="25" t="inlineStr">
        <is>
          <t>ศรีสยาม</t>
        </is>
      </c>
      <c r="H129" s="159" t="n">
        <v>25258</v>
      </c>
      <c r="I129" s="21" t="inlineStr">
        <is>
          <t>ราคารวม VAT แล้ว</t>
        </is>
      </c>
    </row>
    <row r="133" ht="18" customHeight="1">
      <c r="A133" s="85" t="inlineStr">
        <is>
          <t>น้ำยาล้างเครื่อง</t>
        </is>
      </c>
      <c r="B133" s="86" t="inlineStr">
        <is>
          <t>น้ำยาล้างเครื่องภายใน Flushing Oil PTT 4L</t>
        </is>
      </c>
      <c r="C133" s="21" t="inlineStr">
        <is>
          <t>2กล.</t>
        </is>
      </c>
      <c r="D133" s="87" t="n">
        <v>280</v>
      </c>
      <c r="F133" s="87" t="n">
        <v>560</v>
      </c>
      <c r="G133" s="25" t="inlineStr">
        <is>
          <t>ศรีสยาม</t>
        </is>
      </c>
      <c r="H133" s="159" t="n">
        <v>22425</v>
      </c>
    </row>
    <row r="135" ht="18" customHeight="1">
      <c r="B135" s="86" t="inlineStr">
        <is>
          <t>น้ำยาล้างเครื่องภายนอก RAZZO 5L. (สีแดง)</t>
        </is>
      </c>
      <c r="C135" s="21" t="inlineStr">
        <is>
          <t>2กล.</t>
        </is>
      </c>
      <c r="D135" s="87" t="n">
        <v>385</v>
      </c>
      <c r="F135" s="87" t="n">
        <v>770</v>
      </c>
      <c r="G135" s="25" t="inlineStr">
        <is>
          <t>ศรีสยาม</t>
        </is>
      </c>
      <c r="H135" s="159" t="n">
        <v>22495</v>
      </c>
    </row>
    <row r="136" ht="18" customHeight="1">
      <c r="B136" s="86" t="inlineStr">
        <is>
          <t>น้ำยาล้างเครื่องภายนอก RAZZO 5L. (สีแดง)</t>
        </is>
      </c>
      <c r="C136" s="21" t="inlineStr">
        <is>
          <t>4กล.</t>
        </is>
      </c>
      <c r="D136" s="87" t="n">
        <v>385</v>
      </c>
      <c r="F136" s="87" t="n">
        <v>1540</v>
      </c>
      <c r="G136" s="25" t="inlineStr">
        <is>
          <t>ศรีสยาม</t>
        </is>
      </c>
      <c r="H136" s="159" t="n">
        <v>23268</v>
      </c>
    </row>
    <row r="137" ht="18" customHeight="1">
      <c r="B137" s="86" t="inlineStr">
        <is>
          <t>น้ำยาล้างเครื่องภายนอก RAZZO 5L. (สีแดง)</t>
        </is>
      </c>
      <c r="C137" s="21" t="inlineStr">
        <is>
          <t>2กล.</t>
        </is>
      </c>
      <c r="D137" s="87" t="n">
        <v>390</v>
      </c>
      <c r="F137" s="87" t="n">
        <v>780</v>
      </c>
      <c r="G137" s="25" t="inlineStr">
        <is>
          <t>ศรีสยาม</t>
        </is>
      </c>
      <c r="H137" s="159" t="n">
        <v>23452</v>
      </c>
    </row>
    <row r="138" ht="18" customHeight="1">
      <c r="B138" s="86" t="inlineStr">
        <is>
          <t>น้ำยาล้างเครื่องภายนอก RAZZO 5L. (สีแดง)</t>
        </is>
      </c>
      <c r="C138" s="21" t="inlineStr">
        <is>
          <t>2กล.</t>
        </is>
      </c>
      <c r="D138" s="87" t="n">
        <v>385</v>
      </c>
      <c r="F138" s="87" t="n">
        <v>770</v>
      </c>
      <c r="G138" s="25" t="inlineStr">
        <is>
          <t>ศรีสยาม</t>
        </is>
      </c>
      <c r="H138" s="159" t="n">
        <v>23453</v>
      </c>
    </row>
    <row r="139" ht="18" customHeight="1">
      <c r="B139" s="86" t="inlineStr">
        <is>
          <t>น้ำยาล้างเครื่องภายนอก RAZZO 5L. (สีแดง)</t>
        </is>
      </c>
      <c r="C139" s="21" t="inlineStr">
        <is>
          <t>1กล.</t>
        </is>
      </c>
      <c r="D139" s="87" t="n">
        <v>390</v>
      </c>
      <c r="F139" s="87" t="n">
        <v>390</v>
      </c>
      <c r="G139" s="25" t="inlineStr">
        <is>
          <t>ศรีสยาม</t>
        </is>
      </c>
      <c r="H139" s="159" t="n">
        <v>23866</v>
      </c>
    </row>
    <row r="140" ht="18" customHeight="1">
      <c r="B140" s="86" t="inlineStr">
        <is>
          <t>น้ำยาล้างเครื่องภายนอก RAZZO 5L. (สีแดง)</t>
        </is>
      </c>
      <c r="C140" s="21" t="inlineStr">
        <is>
          <t>1กล.</t>
        </is>
      </c>
      <c r="D140" s="87" t="n">
        <v>420</v>
      </c>
      <c r="F140" s="87" t="n">
        <v>420</v>
      </c>
      <c r="G140" s="25" t="inlineStr">
        <is>
          <t>ศรีสยาม</t>
        </is>
      </c>
      <c r="H140" s="159" t="n">
        <v>23928</v>
      </c>
    </row>
    <row r="141" ht="18" customHeight="1">
      <c r="B141" s="86" t="inlineStr">
        <is>
          <t>น้ำยาล้างเครื่องภายนอก RAZZO 5L. (สีแดง)</t>
        </is>
      </c>
      <c r="C141" s="21" t="n">
        <v>1</v>
      </c>
      <c r="D141" s="87" t="n">
        <v>415</v>
      </c>
      <c r="F141" s="87">
        <f>SUM(D141*C141)</f>
        <v/>
      </c>
      <c r="G141" s="25" t="inlineStr">
        <is>
          <t>ศรีสยาม</t>
        </is>
      </c>
      <c r="H141" s="159" t="n">
        <v>25138</v>
      </c>
      <c r="I141" s="21" t="inlineStr">
        <is>
          <t>ราคารวม VAT แล้ว</t>
        </is>
      </c>
    </row>
    <row r="143" ht="18" customHeight="1">
      <c r="B143" s="86" t="inlineStr">
        <is>
          <t>น้ำยาล้างเครื่องภายนอก KAR 5L. (สีขาว)</t>
        </is>
      </c>
      <c r="C143" s="21" t="inlineStr">
        <is>
          <t>1กล.</t>
        </is>
      </c>
      <c r="D143" s="87" t="n">
        <v>225</v>
      </c>
      <c r="F143" s="87" t="n">
        <v>225</v>
      </c>
      <c r="G143" s="25" t="inlineStr">
        <is>
          <t>จิตต์อะไหล่</t>
        </is>
      </c>
      <c r="H143" s="159" t="n">
        <v>23287</v>
      </c>
    </row>
    <row r="144" ht="18" customHeight="1">
      <c r="B144" s="86" t="inlineStr">
        <is>
          <t>น้ำยาล้างเครื่องภายนอก KAR 5L. (สีขาว)</t>
        </is>
      </c>
      <c r="C144" s="21" t="inlineStr">
        <is>
          <t>1กล.</t>
        </is>
      </c>
      <c r="D144" s="87" t="n">
        <v>230</v>
      </c>
      <c r="F144" s="87" t="n">
        <v>230</v>
      </c>
      <c r="G144" s="25" t="inlineStr">
        <is>
          <t>ศรีสยาม</t>
        </is>
      </c>
      <c r="H144" s="159" t="n">
        <v>23598</v>
      </c>
    </row>
    <row r="145" ht="18" customHeight="1">
      <c r="B145" s="86" t="inlineStr">
        <is>
          <t>น้ำยาล้างเครื่องภายนอก KAR 5L. (สีขาว)</t>
        </is>
      </c>
      <c r="C145" s="21" t="inlineStr">
        <is>
          <t>1กล.</t>
        </is>
      </c>
      <c r="D145" s="87" t="n">
        <v>230</v>
      </c>
      <c r="F145" s="87" t="n">
        <v>230</v>
      </c>
      <c r="G145" s="25" t="inlineStr">
        <is>
          <t>ศรีสยาม</t>
        </is>
      </c>
      <c r="H145" s="159" t="n">
        <v>23686</v>
      </c>
    </row>
    <row r="146" ht="18" customHeight="1">
      <c r="B146" s="86" t="inlineStr">
        <is>
          <t>น้ำยาล้างเครื่องภายนอก KAR 5L. (สีขาว)</t>
        </is>
      </c>
      <c r="C146" s="21" t="inlineStr">
        <is>
          <t>1กล.</t>
        </is>
      </c>
      <c r="D146" s="87" t="n">
        <v>240</v>
      </c>
      <c r="F146" s="87" t="n">
        <v>240</v>
      </c>
      <c r="G146" s="25" t="inlineStr">
        <is>
          <t>ศรีสยาม</t>
        </is>
      </c>
      <c r="H146" s="159" t="n">
        <v>23938</v>
      </c>
    </row>
    <row r="147" ht="18" customHeight="1">
      <c r="B147" s="86" t="inlineStr">
        <is>
          <t>น้ำยาล้างเครื่องภายนอก KAR 5L. (สีขาว)</t>
        </is>
      </c>
      <c r="C147" s="21" t="inlineStr">
        <is>
          <t>1กล.</t>
        </is>
      </c>
      <c r="D147" s="87" t="n">
        <v>240</v>
      </c>
      <c r="F147" s="87" t="n">
        <v>240</v>
      </c>
      <c r="G147" s="25" t="inlineStr">
        <is>
          <t>ศรีสยาม</t>
        </is>
      </c>
      <c r="H147" s="159" t="n">
        <v>24076</v>
      </c>
    </row>
    <row r="148" ht="18" customHeight="1">
      <c r="B148" s="86" t="inlineStr">
        <is>
          <t>น้ำยาล้างเครื่องภายนอก KAR 5L. (สีขาว)</t>
        </is>
      </c>
      <c r="C148" s="21" t="inlineStr">
        <is>
          <t>1กล.</t>
        </is>
      </c>
      <c r="D148" s="87" t="n">
        <v>240</v>
      </c>
      <c r="F148" s="87" t="n">
        <v>240</v>
      </c>
      <c r="G148" s="25" t="inlineStr">
        <is>
          <t>ศรีสยาม</t>
        </is>
      </c>
      <c r="H148" s="159" t="n">
        <v>24383</v>
      </c>
    </row>
    <row r="149" ht="18" customHeight="1">
      <c r="B149" s="86" t="inlineStr">
        <is>
          <t>น้ำยาล้างเครื่องภายนอก KAR 5L. (สีขาว)</t>
        </is>
      </c>
      <c r="C149" s="21" t="inlineStr">
        <is>
          <t>1กล.</t>
        </is>
      </c>
      <c r="D149" s="87" t="n">
        <v>240</v>
      </c>
      <c r="F149" s="87" t="n">
        <v>240</v>
      </c>
      <c r="G149" s="25" t="inlineStr">
        <is>
          <t>ศรีสยาม</t>
        </is>
      </c>
      <c r="H149" s="159" t="n">
        <v>24928</v>
      </c>
    </row>
    <row r="151" ht="18" customHeight="1">
      <c r="A151" s="85" t="inlineStr">
        <is>
          <t>น้ำยาล้างตู้แอร์</t>
        </is>
      </c>
      <c r="B151" s="86" t="inlineStr">
        <is>
          <t>น้ำยาล้างตู้แอร์ F11 500 ml. (สำหรับล้างภายใน)</t>
        </is>
      </c>
      <c r="C151" s="21" t="inlineStr">
        <is>
          <t>2ขวด</t>
        </is>
      </c>
      <c r="D151" s="87" t="n">
        <v>70</v>
      </c>
      <c r="F151" s="87" t="n">
        <v>140</v>
      </c>
      <c r="G151" s="25" t="inlineStr">
        <is>
          <t>ศรีสยาม</t>
        </is>
      </c>
      <c r="H151" s="159" t="n">
        <v>23727</v>
      </c>
    </row>
    <row r="152" ht="18" customHeight="1">
      <c r="A152" s="92" t="inlineStr">
        <is>
          <t>เก็บลูกค้าขวดละ 200บาท</t>
        </is>
      </c>
      <c r="B152" s="86" t="inlineStr">
        <is>
          <t>น้ำยาล้างระบบแอร์ F11 (สำหรับล้างภายใน)</t>
        </is>
      </c>
      <c r="C152" s="21" t="inlineStr">
        <is>
          <t>2ขวด</t>
        </is>
      </c>
      <c r="D152" s="87" t="n">
        <v>80</v>
      </c>
      <c r="F152" s="87" t="n">
        <v>160</v>
      </c>
      <c r="G152" s="25" t="inlineStr">
        <is>
          <t>จิตต์อะไหล่</t>
        </is>
      </c>
      <c r="H152" s="159" t="n">
        <v>23752</v>
      </c>
    </row>
    <row r="153" ht="18" customHeight="1">
      <c r="B153" s="86" t="inlineStr">
        <is>
          <t>น้ำยาล้างระบบแอร์ F11 (สำหรับล้างภายใน) FUJI</t>
        </is>
      </c>
      <c r="C153" s="21" t="inlineStr">
        <is>
          <t>12ขวด</t>
        </is>
      </c>
      <c r="D153" s="87" t="n">
        <v>75</v>
      </c>
      <c r="F153" s="87" t="n">
        <v>900</v>
      </c>
      <c r="G153" s="25" t="inlineStr">
        <is>
          <t>จิตต์อะไหล่</t>
        </is>
      </c>
      <c r="H153" s="159" t="n">
        <v>23909</v>
      </c>
      <c r="I153" s="21" t="inlineStr">
        <is>
          <t>1ลัง = 12ขวด</t>
        </is>
      </c>
    </row>
    <row r="154" ht="18" customHeight="1">
      <c r="B154" s="86" t="inlineStr">
        <is>
          <t>น้ำยาล้างระบบแอร์ F11 (สำหรับล้างภายใน) FUJI</t>
        </is>
      </c>
      <c r="C154" s="21" t="inlineStr">
        <is>
          <t>12ขวด</t>
        </is>
      </c>
      <c r="D154" s="87" t="n">
        <v>75</v>
      </c>
      <c r="F154" s="87" t="n">
        <v>900</v>
      </c>
      <c r="G154" s="25" t="inlineStr">
        <is>
          <t>จิตต์อะไหล่</t>
        </is>
      </c>
      <c r="H154" s="159" t="n">
        <v>23994</v>
      </c>
      <c r="I154" s="21" t="inlineStr">
        <is>
          <t>1ลัง = 12ขวด</t>
        </is>
      </c>
    </row>
    <row r="155" ht="18" customHeight="1">
      <c r="B155" s="86" t="inlineStr">
        <is>
          <t>น้ำยาล้างระบบแอร์ F11 (สำหรับล้างภายใน) Hi-clear -- 1ลัง/12ขวด</t>
        </is>
      </c>
      <c r="C155" s="21" t="n">
        <v>12</v>
      </c>
      <c r="D155" s="87" t="n">
        <v>41.67</v>
      </c>
      <c r="F155" s="87">
        <f>SUM(D155*C155)</f>
        <v/>
      </c>
      <c r="G155" s="25" t="inlineStr">
        <is>
          <t>จิตต์อะไหล่</t>
        </is>
      </c>
      <c r="H155" s="159" t="n">
        <v>24648</v>
      </c>
      <c r="I155" s="21" t="inlineStr">
        <is>
          <t>1ลัง = 12ขวด</t>
        </is>
      </c>
    </row>
    <row r="157" ht="18" customHeight="1">
      <c r="A157" s="85" t="inlineStr">
        <is>
          <t>น้ำกลั่น</t>
        </is>
      </c>
      <c r="B157" s="86" t="inlineStr">
        <is>
          <t>น้ำกลั่น MAX CAR 1000 ซีซี.</t>
        </is>
      </c>
      <c r="C157" s="21" t="inlineStr">
        <is>
          <t>1ลัง</t>
        </is>
      </c>
      <c r="D157" s="87" t="n">
        <v>75</v>
      </c>
      <c r="F157" s="87" t="n">
        <v>75</v>
      </c>
      <c r="G157" s="25" t="inlineStr">
        <is>
          <t>ศรีสยาม</t>
        </is>
      </c>
      <c r="H157" s="159" t="n">
        <v>22480</v>
      </c>
    </row>
    <row r="158" ht="18" customHeight="1">
      <c r="B158" s="86" t="inlineStr">
        <is>
          <t xml:space="preserve">น้ำกลั่น  </t>
        </is>
      </c>
      <c r="C158" s="21" t="inlineStr">
        <is>
          <t>12ขวด</t>
        </is>
      </c>
      <c r="D158" s="87" t="n">
        <v>5.25</v>
      </c>
      <c r="F158" s="87" t="n">
        <v>63</v>
      </c>
      <c r="G158" s="25" t="inlineStr">
        <is>
          <t>ศรีสยาม</t>
        </is>
      </c>
      <c r="H158" s="159" t="n">
        <v>23079</v>
      </c>
    </row>
    <row r="159" ht="18" customHeight="1">
      <c r="B159" s="86" t="inlineStr">
        <is>
          <t xml:space="preserve">น้ำกลั่น  </t>
        </is>
      </c>
      <c r="C159" s="21" t="inlineStr">
        <is>
          <t>12ขวด</t>
        </is>
      </c>
      <c r="D159" s="87" t="n">
        <v>5.25</v>
      </c>
      <c r="F159" s="87" t="n">
        <v>63</v>
      </c>
      <c r="G159" s="25" t="inlineStr">
        <is>
          <t>ศรีสยาม</t>
        </is>
      </c>
      <c r="H159" s="159" t="n">
        <v>23261</v>
      </c>
    </row>
    <row r="160" ht="18" customHeight="1">
      <c r="B160" s="86" t="inlineStr">
        <is>
          <t xml:space="preserve">น้ำกลั่น  </t>
        </is>
      </c>
      <c r="C160" s="21" t="inlineStr">
        <is>
          <t>12ขวด</t>
        </is>
      </c>
      <c r="D160" s="87" t="n">
        <v>6.25</v>
      </c>
      <c r="F160" s="87" t="n">
        <v>75</v>
      </c>
      <c r="G160" s="25" t="inlineStr">
        <is>
          <t>ศรีสยาม</t>
        </is>
      </c>
      <c r="H160" s="159" t="n">
        <v>23561</v>
      </c>
    </row>
    <row r="161" ht="18" customHeight="1">
      <c r="B161" s="86" t="inlineStr">
        <is>
          <t xml:space="preserve">น้ำกลั่น แม็กไซเคิล 1200cc. </t>
        </is>
      </c>
      <c r="C161" s="21" t="inlineStr">
        <is>
          <t>12ขวด</t>
        </is>
      </c>
      <c r="D161" s="87" t="n">
        <v>6.25</v>
      </c>
      <c r="F161" s="87" t="n">
        <v>75</v>
      </c>
      <c r="G161" s="25" t="inlineStr">
        <is>
          <t>ศรีสยาม</t>
        </is>
      </c>
      <c r="H161" s="159" t="n">
        <v>23860</v>
      </c>
    </row>
    <row r="163" ht="18" customHeight="1">
      <c r="A163" s="85" t="inlineStr">
        <is>
          <t>น้ำมันคอมพ์แอร์</t>
        </is>
      </c>
      <c r="B163" s="86" t="inlineStr">
        <is>
          <t>น้ำมันคอมพ์แอร์ R134A AIR-PRO ขนาด 200CC.</t>
        </is>
      </c>
      <c r="C163" s="21" t="inlineStr">
        <is>
          <t>2ขวด</t>
        </is>
      </c>
      <c r="D163" s="87" t="n">
        <v>90</v>
      </c>
      <c r="F163" s="87" t="n">
        <v>180</v>
      </c>
      <c r="G163" s="25" t="inlineStr">
        <is>
          <t>ศรีสยาม</t>
        </is>
      </c>
      <c r="H163" s="159" t="n">
        <v>23152</v>
      </c>
    </row>
    <row r="164" ht="18" customHeight="1">
      <c r="B164" s="86" t="inlineStr">
        <is>
          <t>น้ำมันคอมพ์แอร์ R134A AIR-PRO ขนาด 200CC.</t>
        </is>
      </c>
      <c r="C164" s="21" t="inlineStr">
        <is>
          <t>1ขวด</t>
        </is>
      </c>
      <c r="D164" s="87" t="n">
        <v>90</v>
      </c>
      <c r="F164" s="87" t="n">
        <v>90</v>
      </c>
      <c r="G164" s="25" t="inlineStr">
        <is>
          <t>ศรีสยาม</t>
        </is>
      </c>
      <c r="H164" s="159" t="n">
        <v>23163</v>
      </c>
    </row>
    <row r="165" ht="18" customHeight="1">
      <c r="B165" s="86" t="inlineStr">
        <is>
          <t>น้ำมันคอมพ์แอร์ R134A AIR-PRO ขนาด 500CC.</t>
        </is>
      </c>
      <c r="C165" s="21" t="inlineStr">
        <is>
          <t>6ขวด</t>
        </is>
      </c>
      <c r="D165" s="87" t="n">
        <v>165</v>
      </c>
      <c r="F165" s="87" t="n">
        <v>990</v>
      </c>
      <c r="G165" s="25" t="inlineStr">
        <is>
          <t>ศรีสยาม</t>
        </is>
      </c>
      <c r="H165" s="159" t="n">
        <v>23182</v>
      </c>
    </row>
    <row r="166" ht="18" customHeight="1">
      <c r="B166" s="86" t="inlineStr">
        <is>
          <t>น้ำมันคอมพ์แอร์ R134A AIR-PRO ขนาด 500CC.</t>
        </is>
      </c>
      <c r="C166" s="21" t="inlineStr">
        <is>
          <t>1ขวด</t>
        </is>
      </c>
      <c r="D166" s="87" t="n">
        <v>155</v>
      </c>
      <c r="F166" s="87" t="n">
        <v>155</v>
      </c>
      <c r="G166" s="25" t="inlineStr">
        <is>
          <t>ศรีสยาม</t>
        </is>
      </c>
      <c r="H166" s="159" t="n">
        <v>23289</v>
      </c>
    </row>
    <row r="167" ht="18" customHeight="1">
      <c r="B167" s="86" t="inlineStr">
        <is>
          <t>น้ำมันคอมพ์แอร์ R134A AIR-PRO ขนาด 500CC.</t>
        </is>
      </c>
      <c r="C167" s="21" t="inlineStr">
        <is>
          <t>1ขวด</t>
        </is>
      </c>
      <c r="D167" s="87" t="n">
        <v>155</v>
      </c>
      <c r="F167" s="87" t="n">
        <v>155</v>
      </c>
      <c r="G167" s="25" t="inlineStr">
        <is>
          <t>ศรีสยาม</t>
        </is>
      </c>
      <c r="H167" s="159" t="n">
        <v>23339</v>
      </c>
    </row>
    <row r="168" ht="18" customHeight="1">
      <c r="B168" s="86" t="inlineStr">
        <is>
          <t>น้ำมันคอมพ์แอร์ R134A AIR-PRO ขนาด 500CC.</t>
        </is>
      </c>
      <c r="C168" s="21" t="inlineStr">
        <is>
          <t>1ขวด</t>
        </is>
      </c>
      <c r="D168" s="87" t="n">
        <v>155</v>
      </c>
      <c r="F168" s="87" t="n">
        <v>155</v>
      </c>
      <c r="G168" s="25" t="inlineStr">
        <is>
          <t>ศรีสยาม</t>
        </is>
      </c>
      <c r="H168" s="159" t="n">
        <v>23364</v>
      </c>
    </row>
    <row r="169" ht="18" customHeight="1">
      <c r="B169" s="86" t="inlineStr">
        <is>
          <t>น้ำมันคอมพ์แอร์ R134A AIR-PRO ขนาด 500CC.</t>
        </is>
      </c>
      <c r="C169" s="21" t="inlineStr">
        <is>
          <t>1ขวด</t>
        </is>
      </c>
      <c r="D169" s="87" t="n">
        <v>155</v>
      </c>
      <c r="F169" s="87" t="n">
        <v>155</v>
      </c>
      <c r="G169" s="25" t="inlineStr">
        <is>
          <t>ศรีสยาม</t>
        </is>
      </c>
      <c r="H169" s="159" t="n">
        <v>23401</v>
      </c>
    </row>
    <row r="170" ht="18" customHeight="1">
      <c r="B170" s="86" t="inlineStr">
        <is>
          <t>น้ำมันคอมพ์แอร์ R134A AIR-PRO ขนาด 500CC.</t>
        </is>
      </c>
      <c r="C170" s="21" t="inlineStr">
        <is>
          <t>1ขวด</t>
        </is>
      </c>
      <c r="D170" s="87" t="n">
        <v>155</v>
      </c>
      <c r="F170" s="87" t="n">
        <v>155</v>
      </c>
      <c r="G170" s="25" t="inlineStr">
        <is>
          <t>ศรีสยาม</t>
        </is>
      </c>
      <c r="H170" s="159" t="n">
        <v>23447</v>
      </c>
    </row>
    <row r="171" ht="18" customHeight="1">
      <c r="B171" s="86" t="inlineStr">
        <is>
          <t>น้ำมันคอมพ์แอร์ R134A AIR-PRO ขนาด 500CC.</t>
        </is>
      </c>
      <c r="C171" s="21" t="inlineStr">
        <is>
          <t>1ขวด</t>
        </is>
      </c>
      <c r="D171" s="87" t="n">
        <v>155</v>
      </c>
      <c r="F171" s="87" t="n">
        <v>155</v>
      </c>
      <c r="G171" s="25" t="inlineStr">
        <is>
          <t>ศรีสยาม</t>
        </is>
      </c>
      <c r="H171" s="159" t="n">
        <v>23497</v>
      </c>
    </row>
    <row r="172" ht="18" customHeight="1">
      <c r="B172" s="86" t="inlineStr">
        <is>
          <t>น้ำมันคอมพ์แอร์ R134A AIR-PRO ขนาด 500CC.</t>
        </is>
      </c>
      <c r="C172" s="21" t="inlineStr">
        <is>
          <t>1ขวด</t>
        </is>
      </c>
      <c r="D172" s="87" t="n">
        <v>155</v>
      </c>
      <c r="F172" s="87" t="n">
        <v>155</v>
      </c>
      <c r="G172" s="25" t="inlineStr">
        <is>
          <t>ศรีสยาม</t>
        </is>
      </c>
      <c r="H172" s="159" t="n">
        <v>23518</v>
      </c>
    </row>
    <row r="173" ht="18" customHeight="1">
      <c r="B173" s="86" t="inlineStr">
        <is>
          <t>น้ำมันคอมพ์แอร์ R134A AIR-PRO ขนาด 500CC.</t>
        </is>
      </c>
      <c r="C173" s="21" t="inlineStr">
        <is>
          <t>1ขวด</t>
        </is>
      </c>
      <c r="D173" s="87" t="n">
        <v>155</v>
      </c>
      <c r="F173" s="87" t="n">
        <v>155</v>
      </c>
      <c r="G173" s="25" t="inlineStr">
        <is>
          <t>ศรีสยาม</t>
        </is>
      </c>
      <c r="H173" s="159" t="n">
        <v>23553</v>
      </c>
    </row>
    <row r="174" ht="18" customHeight="1">
      <c r="B174" s="86" t="inlineStr">
        <is>
          <t>น้ำมันคอมพ์แอร์ R134A AIR-PRO ขนาด 500CC.</t>
        </is>
      </c>
      <c r="C174" s="21" t="inlineStr">
        <is>
          <t>1ขวด</t>
        </is>
      </c>
      <c r="D174" s="87" t="n">
        <v>155</v>
      </c>
      <c r="F174" s="87" t="n">
        <v>155</v>
      </c>
      <c r="G174" s="25" t="inlineStr">
        <is>
          <t>ศรีสยาม</t>
        </is>
      </c>
      <c r="H174" s="159" t="n">
        <v>23572</v>
      </c>
    </row>
    <row r="175" ht="18" customHeight="1">
      <c r="B175" s="86" t="inlineStr">
        <is>
          <t>น้ำมันคอมพ์แอร์ R134A AIR-PRO ขนาด 500CC.</t>
        </is>
      </c>
      <c r="C175" s="21" t="inlineStr">
        <is>
          <t>1ขวด</t>
        </is>
      </c>
      <c r="D175" s="87" t="n">
        <v>155</v>
      </c>
      <c r="F175" s="87" t="n">
        <v>155</v>
      </c>
      <c r="G175" s="25" t="inlineStr">
        <is>
          <t>ศรีสยาม</t>
        </is>
      </c>
      <c r="H175" s="159" t="n">
        <v>23586</v>
      </c>
    </row>
    <row r="176" ht="18" customHeight="1">
      <c r="B176" s="86" t="inlineStr">
        <is>
          <t>น้ำมันคอมพ์แอร์ R134A AIR-PRO ขนาด 500CC.</t>
        </is>
      </c>
      <c r="C176" s="21" t="inlineStr">
        <is>
          <t>1ขวด</t>
        </is>
      </c>
      <c r="D176" s="87" t="n">
        <v>155</v>
      </c>
      <c r="F176" s="87" t="n">
        <v>155</v>
      </c>
      <c r="G176" s="25" t="inlineStr">
        <is>
          <t>ศรีสยาม</t>
        </is>
      </c>
      <c r="H176" s="159" t="n">
        <v>23602</v>
      </c>
    </row>
    <row r="177" ht="18" customHeight="1">
      <c r="B177" s="86" t="inlineStr">
        <is>
          <t>น้ำมันคอมพ์แอร์ R134A AIR-PRO ขนาด 500CC.</t>
        </is>
      </c>
      <c r="C177" s="21" t="inlineStr">
        <is>
          <t>1ขวด</t>
        </is>
      </c>
      <c r="D177" s="87" t="n">
        <v>155</v>
      </c>
      <c r="F177" s="87" t="n">
        <v>155</v>
      </c>
      <c r="G177" s="25" t="inlineStr">
        <is>
          <t>ศรีสยาม</t>
        </is>
      </c>
      <c r="H177" s="159" t="n">
        <v>23616</v>
      </c>
    </row>
    <row r="178" ht="18" customHeight="1">
      <c r="B178" s="86" t="inlineStr">
        <is>
          <t>น้ำมันคอมพ์แอร์ R134A AIR-PRO ขนาด 500CC.</t>
        </is>
      </c>
      <c r="C178" s="21" t="inlineStr">
        <is>
          <t>1ขวด</t>
        </is>
      </c>
      <c r="D178" s="87" t="n">
        <v>155</v>
      </c>
      <c r="F178" s="87" t="n">
        <v>155</v>
      </c>
      <c r="G178" s="25" t="inlineStr">
        <is>
          <t>ศรีสยาม</t>
        </is>
      </c>
      <c r="H178" s="159" t="n">
        <v>23631</v>
      </c>
    </row>
    <row r="179" ht="18" customHeight="1">
      <c r="B179" s="86" t="inlineStr">
        <is>
          <t>น้ำมันคอมพ์แอร์ R134A AIR-PRO ขนาด 500CC.</t>
        </is>
      </c>
      <c r="C179" s="21" t="inlineStr">
        <is>
          <t>1ขวด</t>
        </is>
      </c>
      <c r="D179" s="87" t="n">
        <v>155</v>
      </c>
      <c r="F179" s="87" t="n">
        <v>155</v>
      </c>
      <c r="G179" s="25" t="inlineStr">
        <is>
          <t>ศรีสยาม</t>
        </is>
      </c>
      <c r="H179" s="159" t="n">
        <v>23682</v>
      </c>
    </row>
    <row r="180" ht="18" customHeight="1">
      <c r="B180" s="86" t="inlineStr">
        <is>
          <t>น้ำมันคอมพ์แอร์ R134A AIR-PRO ขนาด 500CC.</t>
        </is>
      </c>
      <c r="C180" s="21" t="inlineStr">
        <is>
          <t>1ขวด</t>
        </is>
      </c>
      <c r="D180" s="87" t="n">
        <v>155</v>
      </c>
      <c r="F180" s="87" t="n">
        <v>155</v>
      </c>
      <c r="G180" s="25" t="inlineStr">
        <is>
          <t>ศรีสยาม</t>
        </is>
      </c>
      <c r="H180" s="159" t="n">
        <v>23686</v>
      </c>
    </row>
    <row r="181" ht="18" customHeight="1">
      <c r="B181" s="86" t="inlineStr">
        <is>
          <t>น้ำมันคอมพ์แอร์ R134A AIR-PRO ขนาด 500CC.</t>
        </is>
      </c>
      <c r="C181" s="21" t="inlineStr">
        <is>
          <t>1ขวด</t>
        </is>
      </c>
      <c r="D181" s="87" t="n">
        <v>155</v>
      </c>
      <c r="F181" s="87" t="n">
        <v>155</v>
      </c>
      <c r="G181" s="25" t="inlineStr">
        <is>
          <t>ศรีสยาม</t>
        </is>
      </c>
      <c r="H181" s="159" t="n">
        <v>23706</v>
      </c>
    </row>
    <row r="182" ht="18" customHeight="1">
      <c r="B182" s="86" t="inlineStr">
        <is>
          <t>น้ำมันคอมพ์แอร์ R134A AIR-PRO ขนาด 500CC.</t>
        </is>
      </c>
      <c r="C182" s="21" t="inlineStr">
        <is>
          <t>2ขวด</t>
        </is>
      </c>
      <c r="D182" s="87" t="n">
        <v>155</v>
      </c>
      <c r="F182" s="87" t="n">
        <v>310</v>
      </c>
      <c r="G182" s="25" t="inlineStr">
        <is>
          <t>ศรีสยาม</t>
        </is>
      </c>
      <c r="H182" s="159" t="n">
        <v>23731</v>
      </c>
    </row>
    <row r="183" ht="18" customHeight="1">
      <c r="B183" s="86" t="inlineStr">
        <is>
          <t>น้ำมันคอมพ์แอร์ R134A AIR-PRO ขนาด 500CC.</t>
        </is>
      </c>
      <c r="C183" s="21" t="inlineStr">
        <is>
          <t>1ขวด</t>
        </is>
      </c>
      <c r="D183" s="87" t="n">
        <v>155</v>
      </c>
      <c r="F183" s="87" t="n">
        <v>155</v>
      </c>
      <c r="G183" s="25" t="inlineStr">
        <is>
          <t>ศรีสยาม</t>
        </is>
      </c>
      <c r="H183" s="159" t="n">
        <v>23775</v>
      </c>
    </row>
    <row r="184" ht="18" customHeight="1">
      <c r="B184" s="86" t="inlineStr">
        <is>
          <t>น้ำมันคอมพ์แอร์ R134A AIR-PRO ขนาด 500CC.</t>
        </is>
      </c>
      <c r="C184" s="21" t="inlineStr">
        <is>
          <t>1ขวด</t>
        </is>
      </c>
      <c r="D184" s="87" t="n">
        <v>155</v>
      </c>
      <c r="F184" s="87" t="n">
        <v>155</v>
      </c>
      <c r="G184" s="25" t="inlineStr">
        <is>
          <t>ศรีสยาม</t>
        </is>
      </c>
      <c r="H184" s="159" t="n">
        <v>23783</v>
      </c>
    </row>
    <row r="185" ht="18" customHeight="1">
      <c r="B185" s="86" t="inlineStr">
        <is>
          <t>น้ำมันคอมพ์แอร์ R134A AIR-PRO ขนาด 500CC.</t>
        </is>
      </c>
      <c r="C185" s="21" t="inlineStr">
        <is>
          <t>1ขวด</t>
        </is>
      </c>
      <c r="D185" s="87" t="n">
        <v>155</v>
      </c>
      <c r="F185" s="87" t="n">
        <v>155</v>
      </c>
      <c r="G185" s="25" t="inlineStr">
        <is>
          <t>ศรีสยาม</t>
        </is>
      </c>
      <c r="H185" s="159" t="n">
        <v>23810</v>
      </c>
    </row>
    <row r="186" ht="18" customHeight="1">
      <c r="B186" s="86" t="inlineStr">
        <is>
          <t>น้ำมันคอมพ์แอร์ R134A AIR-PRO ขนาด 500CC.</t>
        </is>
      </c>
      <c r="C186" s="21" t="inlineStr">
        <is>
          <t>1ขวด</t>
        </is>
      </c>
      <c r="D186" s="87" t="n">
        <v>155</v>
      </c>
      <c r="F186" s="87" t="n">
        <v>155</v>
      </c>
      <c r="G186" s="25" t="inlineStr">
        <is>
          <t>ศรีสยาม</t>
        </is>
      </c>
      <c r="H186" s="159" t="n">
        <v>23820</v>
      </c>
    </row>
    <row r="187" ht="18" customHeight="1">
      <c r="B187" s="86" t="inlineStr">
        <is>
          <t>น้ำมันคอมพ์แอร์ R134A AIR-PRO ขนาด 500CC.</t>
        </is>
      </c>
      <c r="C187" s="21" t="inlineStr">
        <is>
          <t>2ขวด</t>
        </is>
      </c>
      <c r="D187" s="87" t="n">
        <v>155</v>
      </c>
      <c r="F187" s="87" t="n">
        <v>310</v>
      </c>
      <c r="G187" s="25" t="inlineStr">
        <is>
          <t>ศรีสยาม</t>
        </is>
      </c>
      <c r="H187" s="159" t="n">
        <v>23872</v>
      </c>
    </row>
    <row r="188" ht="18" customHeight="1">
      <c r="B188" s="86" t="inlineStr">
        <is>
          <t>น้ำมันคอมพ์แอร์ R134A AIR-PRO ขนาด 500CC.</t>
        </is>
      </c>
      <c r="C188" s="21" t="inlineStr">
        <is>
          <t>1ขวด</t>
        </is>
      </c>
      <c r="D188" s="87" t="n">
        <v>155</v>
      </c>
      <c r="F188" s="87" t="n">
        <v>155</v>
      </c>
      <c r="G188" s="25" t="inlineStr">
        <is>
          <t>ศรีสยาม</t>
        </is>
      </c>
      <c r="H188" s="159" t="n">
        <v>23894</v>
      </c>
    </row>
    <row r="189" ht="18" customHeight="1">
      <c r="B189" s="86" t="inlineStr">
        <is>
          <t>น้ำมันคอมพ์แอร์ R134A AIR-PRO ขนาด 500CC.</t>
        </is>
      </c>
      <c r="C189" s="21" t="inlineStr">
        <is>
          <t>1ขวด</t>
        </is>
      </c>
      <c r="D189" s="87" t="n">
        <v>155</v>
      </c>
      <c r="F189" s="87" t="n">
        <v>155</v>
      </c>
      <c r="G189" s="25" t="inlineStr">
        <is>
          <t>ศรีสยาม</t>
        </is>
      </c>
      <c r="H189" s="159" t="n">
        <v>23913</v>
      </c>
    </row>
    <row r="190" ht="18" customHeight="1">
      <c r="B190" s="86" t="inlineStr">
        <is>
          <t>น้ำมันคอมพ์แอร์ R134A AIR-PRO ขนาด 500CC.</t>
        </is>
      </c>
      <c r="C190" s="21" t="inlineStr">
        <is>
          <t>1ขวด</t>
        </is>
      </c>
      <c r="D190" s="87" t="n">
        <v>155</v>
      </c>
      <c r="F190" s="87" t="n">
        <v>155</v>
      </c>
      <c r="G190" s="25" t="inlineStr">
        <is>
          <t>ศรีสยาม</t>
        </is>
      </c>
      <c r="H190" s="159" t="n">
        <v>23918</v>
      </c>
    </row>
    <row r="191" ht="18" customHeight="1">
      <c r="B191" s="86" t="inlineStr">
        <is>
          <t>น้ำมันคอมพ์แอร์ R134A AIR-PRO ขนาด 500CC.</t>
        </is>
      </c>
      <c r="C191" s="21" t="inlineStr">
        <is>
          <t>1ขวด</t>
        </is>
      </c>
      <c r="D191" s="87" t="n">
        <v>155</v>
      </c>
      <c r="F191" s="87" t="n">
        <v>155</v>
      </c>
      <c r="G191" s="25" t="inlineStr">
        <is>
          <t>ศรีสยาม</t>
        </is>
      </c>
      <c r="H191" s="159" t="n">
        <v>23943</v>
      </c>
    </row>
    <row r="192" ht="18" customHeight="1">
      <c r="B192" s="86" t="inlineStr">
        <is>
          <t>น้ำมันคอมพ์แอร์ R134A AIR-PRO ขนาด 500CC.</t>
        </is>
      </c>
      <c r="C192" s="21" t="inlineStr">
        <is>
          <t>1ขวด</t>
        </is>
      </c>
      <c r="D192" s="87" t="n">
        <v>155</v>
      </c>
      <c r="F192" s="87" t="n">
        <v>155</v>
      </c>
      <c r="G192" s="25" t="inlineStr">
        <is>
          <t>ศรีสยาม</t>
        </is>
      </c>
      <c r="H192" s="159" t="n">
        <v>23962</v>
      </c>
    </row>
    <row r="193" ht="18" customHeight="1">
      <c r="B193" s="86" t="inlineStr">
        <is>
          <t>น้ำมันคอมพ์แอร์ R134A AIR-PRO ขนาด 500CC.</t>
        </is>
      </c>
      <c r="C193" s="21" t="inlineStr">
        <is>
          <t>1ขวด</t>
        </is>
      </c>
      <c r="D193" s="87" t="n">
        <v>155</v>
      </c>
      <c r="F193" s="87" t="n">
        <v>155</v>
      </c>
      <c r="G193" s="25" t="inlineStr">
        <is>
          <t>ศรีสยาม</t>
        </is>
      </c>
      <c r="H193" s="159" t="n">
        <v>23987</v>
      </c>
    </row>
    <row r="194" ht="18" customHeight="1">
      <c r="B194" s="86" t="inlineStr">
        <is>
          <t>น้ำมันคอมพ์แอร์ R134A AIR-PRO ขนาด 500CC.</t>
        </is>
      </c>
      <c r="C194" s="21" t="inlineStr">
        <is>
          <t>1ขวด</t>
        </is>
      </c>
      <c r="D194" s="87" t="n">
        <v>155</v>
      </c>
      <c r="F194" s="87" t="n">
        <v>155</v>
      </c>
      <c r="G194" s="25" t="inlineStr">
        <is>
          <t>ศรีสยาม</t>
        </is>
      </c>
      <c r="H194" s="159" t="n">
        <v>24006</v>
      </c>
    </row>
    <row r="195" ht="18" customHeight="1">
      <c r="B195" s="86" t="inlineStr">
        <is>
          <t>น้ำมันคอมพ์แอร์ R134A AIR-PRO ขนาด 500CC.</t>
        </is>
      </c>
      <c r="C195" s="21" t="inlineStr">
        <is>
          <t>1ขวด</t>
        </is>
      </c>
      <c r="D195" s="87" t="n">
        <v>155</v>
      </c>
      <c r="F195" s="87" t="n">
        <v>155</v>
      </c>
      <c r="G195" s="25" t="inlineStr">
        <is>
          <t>ศรีสยาม</t>
        </is>
      </c>
      <c r="H195" s="159" t="n">
        <v>24019</v>
      </c>
    </row>
    <row r="196" ht="18" customHeight="1">
      <c r="B196" s="86" t="inlineStr">
        <is>
          <t>น้ำมันคอมพ์แอร์ R134A AIR-PRO ขนาด 500CC.</t>
        </is>
      </c>
      <c r="C196" s="21" t="inlineStr">
        <is>
          <t>1ขวด</t>
        </is>
      </c>
      <c r="D196" s="87" t="n">
        <v>155</v>
      </c>
      <c r="F196" s="87" t="n">
        <v>155</v>
      </c>
      <c r="G196" s="25" t="inlineStr">
        <is>
          <t>ศรีสยาม</t>
        </is>
      </c>
      <c r="H196" s="159" t="n">
        <v>24054</v>
      </c>
    </row>
    <row r="197" ht="18" customHeight="1">
      <c r="B197" s="86" t="inlineStr">
        <is>
          <t>น้ำมันคอมพ์แอร์ R134A AIR-PRO ขนาด 500CC.</t>
        </is>
      </c>
      <c r="C197" s="21" t="inlineStr">
        <is>
          <t>1ขวด</t>
        </is>
      </c>
      <c r="D197" s="87" t="n">
        <v>155</v>
      </c>
      <c r="F197" s="87" t="n">
        <v>155</v>
      </c>
      <c r="G197" s="25" t="inlineStr">
        <is>
          <t>ศรีสยาม</t>
        </is>
      </c>
      <c r="H197" s="159" t="n">
        <v>24061</v>
      </c>
    </row>
    <row r="198" ht="18" customHeight="1">
      <c r="B198" s="86" t="inlineStr">
        <is>
          <t>น้ำมันคอมพ์แอร์ R134A AIR-PRO ขนาด 500CC.</t>
        </is>
      </c>
      <c r="C198" s="21" t="inlineStr">
        <is>
          <t>1ขวด</t>
        </is>
      </c>
      <c r="D198" s="87" t="n">
        <v>155</v>
      </c>
      <c r="F198" s="87" t="n">
        <v>155</v>
      </c>
      <c r="G198" s="25" t="inlineStr">
        <is>
          <t>ศรีสยาม</t>
        </is>
      </c>
      <c r="H198" s="159" t="n">
        <v>24076</v>
      </c>
    </row>
    <row r="199" ht="18" customHeight="1">
      <c r="B199" s="86" t="inlineStr">
        <is>
          <t>น้ำมันคอมพ์แอร์ R134A AIR-PRO ขนาด 500CC.</t>
        </is>
      </c>
      <c r="C199" s="21" t="inlineStr">
        <is>
          <t>1ขวด</t>
        </is>
      </c>
      <c r="D199" s="87" t="n">
        <v>155</v>
      </c>
      <c r="F199" s="87" t="n">
        <v>155</v>
      </c>
      <c r="G199" s="25" t="inlineStr">
        <is>
          <t>ศรีสยาม</t>
        </is>
      </c>
      <c r="H199" s="159" t="n">
        <v>24092</v>
      </c>
    </row>
    <row r="200" ht="18" customHeight="1">
      <c r="B200" s="86" t="inlineStr">
        <is>
          <t>น้ำมันคอมพ์แอร์ R134A AIR-PRO ขนาด 500CC.</t>
        </is>
      </c>
      <c r="C200" s="21" t="inlineStr">
        <is>
          <t>1ขวด</t>
        </is>
      </c>
      <c r="D200" s="87" t="n">
        <v>155</v>
      </c>
      <c r="F200" s="87" t="n">
        <v>155</v>
      </c>
      <c r="G200" s="25" t="inlineStr">
        <is>
          <t>ศรีสยาม</t>
        </is>
      </c>
      <c r="H200" s="159" t="n">
        <v>24099</v>
      </c>
    </row>
    <row r="201" ht="18" customHeight="1">
      <c r="B201" s="86" t="inlineStr">
        <is>
          <t>น้ำมันคอมพ์แอร์ R134A AIR-PRO ขนาด 500CC.</t>
        </is>
      </c>
      <c r="C201" s="21" t="inlineStr">
        <is>
          <t>1ขวด</t>
        </is>
      </c>
      <c r="D201" s="87" t="n">
        <v>155</v>
      </c>
      <c r="F201" s="87" t="n">
        <v>155</v>
      </c>
      <c r="G201" s="25" t="inlineStr">
        <is>
          <t>ศรีสยาม</t>
        </is>
      </c>
      <c r="H201" s="159" t="n">
        <v>24124</v>
      </c>
    </row>
    <row r="202" ht="18" customHeight="1">
      <c r="B202" s="86" t="inlineStr">
        <is>
          <t>น้ำมันคอมพ์แอร์ R134A AIR-PRO ขนาด 500CC.</t>
        </is>
      </c>
      <c r="C202" s="21" t="inlineStr">
        <is>
          <t>1ขวด</t>
        </is>
      </c>
      <c r="D202" s="87" t="n">
        <v>155</v>
      </c>
      <c r="F202" s="87" t="n">
        <v>155</v>
      </c>
      <c r="G202" s="25" t="inlineStr">
        <is>
          <t>ศรีสยาม</t>
        </is>
      </c>
      <c r="H202" s="159" t="n">
        <v>24148</v>
      </c>
    </row>
    <row r="203" ht="18" customHeight="1">
      <c r="B203" s="86" t="inlineStr">
        <is>
          <t>น้ำมันคอมพ์แอร์ R134A AIR-PRO ขนาด 500CC.</t>
        </is>
      </c>
      <c r="C203" s="21" t="inlineStr">
        <is>
          <t>1ขวด</t>
        </is>
      </c>
      <c r="D203" s="87" t="n">
        <v>155</v>
      </c>
      <c r="F203" s="87" t="n">
        <v>155</v>
      </c>
      <c r="G203" s="25" t="inlineStr">
        <is>
          <t>ศรีสยาม</t>
        </is>
      </c>
      <c r="H203" s="159" t="n">
        <v>24176</v>
      </c>
    </row>
    <row r="204" ht="18" customHeight="1">
      <c r="B204" s="86" t="inlineStr">
        <is>
          <t>น้ำมันคอมพ์แอร์ R134A AIR-PRO ขนาด 500CC.</t>
        </is>
      </c>
      <c r="C204" s="21" t="inlineStr">
        <is>
          <t>1ขวด</t>
        </is>
      </c>
      <c r="D204" s="87" t="n">
        <v>155</v>
      </c>
      <c r="F204" s="87" t="n">
        <v>155</v>
      </c>
      <c r="G204" s="25" t="inlineStr">
        <is>
          <t>ศรีสยาม</t>
        </is>
      </c>
      <c r="H204" s="159" t="n">
        <v>24183</v>
      </c>
    </row>
    <row r="205" ht="18" customHeight="1">
      <c r="B205" s="86" t="inlineStr">
        <is>
          <t>น้ำมันคอมพ์แอร์ R134A AIR-PRO ขนาด 500CC.</t>
        </is>
      </c>
      <c r="C205" s="21" t="inlineStr">
        <is>
          <t>1ขวด</t>
        </is>
      </c>
      <c r="D205" s="87" t="n">
        <v>155</v>
      </c>
      <c r="F205" s="87" t="n">
        <v>155</v>
      </c>
      <c r="G205" s="25" t="inlineStr">
        <is>
          <t>ศรีสยาม</t>
        </is>
      </c>
      <c r="H205" s="159" t="n">
        <v>24195</v>
      </c>
    </row>
    <row r="206" ht="18" customHeight="1">
      <c r="B206" s="86" t="inlineStr">
        <is>
          <t>น้ำมันคอมพ์แอร์ R134A AIR-PRO ขนาด 500CC.</t>
        </is>
      </c>
      <c r="C206" s="21" t="inlineStr">
        <is>
          <t>1ขวด</t>
        </is>
      </c>
      <c r="D206" s="87" t="n">
        <v>155</v>
      </c>
      <c r="F206" s="87" t="n">
        <v>155</v>
      </c>
      <c r="G206" s="25" t="inlineStr">
        <is>
          <t>ศรีสยาม</t>
        </is>
      </c>
      <c r="H206" s="159" t="n">
        <v>24245</v>
      </c>
    </row>
    <row r="207" ht="18" customHeight="1">
      <c r="B207" s="86" t="inlineStr">
        <is>
          <t>น้ำมันคอมพ์แอร์ R134A AIR-PRO ขนาด 500CC.</t>
        </is>
      </c>
      <c r="C207" s="21" t="inlineStr">
        <is>
          <t>2ขวด</t>
        </is>
      </c>
      <c r="D207" s="87" t="n">
        <v>155</v>
      </c>
      <c r="F207" s="87" t="n">
        <v>310</v>
      </c>
      <c r="G207" s="25" t="inlineStr">
        <is>
          <t>ศรีสยาม</t>
        </is>
      </c>
      <c r="H207" s="159" t="n">
        <v>24277</v>
      </c>
    </row>
    <row r="208" ht="18" customHeight="1">
      <c r="B208" s="86" t="inlineStr">
        <is>
          <t>น้ำมันคอมพ์แอร์ R134A AIR-PRO ขนาด 500CC.</t>
        </is>
      </c>
      <c r="C208" s="21" t="inlineStr">
        <is>
          <t>1ขวด</t>
        </is>
      </c>
      <c r="D208" s="87" t="n">
        <v>155</v>
      </c>
      <c r="F208" s="87" t="n">
        <v>155</v>
      </c>
      <c r="G208" s="25" t="inlineStr">
        <is>
          <t>ศรีสยาม</t>
        </is>
      </c>
      <c r="H208" s="159" t="n">
        <v>24302</v>
      </c>
    </row>
    <row r="209" ht="18" customHeight="1">
      <c r="B209" s="86" t="inlineStr">
        <is>
          <t>น้ำมันคอมพ์แอร์ R134A AIR-PRO ขนาด 500CC.</t>
        </is>
      </c>
      <c r="C209" s="21" t="inlineStr">
        <is>
          <t>1ขวด</t>
        </is>
      </c>
      <c r="D209" s="87" t="n">
        <v>155</v>
      </c>
      <c r="F209" s="87" t="n">
        <v>155</v>
      </c>
      <c r="G209" s="25" t="inlineStr">
        <is>
          <t>ศรีสยาม</t>
        </is>
      </c>
      <c r="H209" s="159" t="n">
        <v>24327</v>
      </c>
    </row>
    <row r="210" ht="18" customHeight="1">
      <c r="B210" s="86" t="inlineStr">
        <is>
          <t>น้ำมันคอมพ์แอร์ R134A AIR-PRO ขนาด 500CC.</t>
        </is>
      </c>
      <c r="C210" s="21" t="inlineStr">
        <is>
          <t>1ขวด</t>
        </is>
      </c>
      <c r="D210" s="87" t="n">
        <v>155</v>
      </c>
      <c r="F210" s="87" t="n">
        <v>155</v>
      </c>
      <c r="G210" s="25" t="inlineStr">
        <is>
          <t>ศรีสยาม</t>
        </is>
      </c>
      <c r="H210" s="159" t="n">
        <v>24330</v>
      </c>
    </row>
    <row r="211" ht="18" customHeight="1">
      <c r="B211" s="86" t="inlineStr">
        <is>
          <t>น้ำมันคอมพ์แอร์ R134A AIR-PRO ขนาด 500CC.</t>
        </is>
      </c>
      <c r="C211" s="21" t="inlineStr">
        <is>
          <t>1ขวด</t>
        </is>
      </c>
      <c r="D211" s="87" t="n">
        <v>155</v>
      </c>
      <c r="F211" s="87" t="n">
        <v>155</v>
      </c>
      <c r="G211" s="25" t="inlineStr">
        <is>
          <t>ศรีสยาม</t>
        </is>
      </c>
      <c r="H211" s="159" t="n">
        <v>24348</v>
      </c>
    </row>
    <row r="212" ht="18" customHeight="1">
      <c r="B212" s="86" t="inlineStr">
        <is>
          <t>น้ำมันคอมพ์แอร์ R134A AIR-PRO ขนาด 500CC.</t>
        </is>
      </c>
      <c r="C212" s="21" t="inlineStr">
        <is>
          <t>1ขวด</t>
        </is>
      </c>
      <c r="D212" s="87" t="n">
        <v>155</v>
      </c>
      <c r="F212" s="87" t="n">
        <v>155</v>
      </c>
      <c r="G212" s="25" t="inlineStr">
        <is>
          <t>ศรีสยาม</t>
        </is>
      </c>
      <c r="H212" s="159" t="n">
        <v>24362</v>
      </c>
    </row>
    <row r="213" ht="18" customHeight="1">
      <c r="B213" s="86" t="inlineStr">
        <is>
          <t>น้ำมันคอมพ์แอร์ R134A AIR-PRO ขนาด 500CC.</t>
        </is>
      </c>
      <c r="C213" s="21" t="inlineStr">
        <is>
          <t>1ขวด</t>
        </is>
      </c>
      <c r="D213" s="87" t="n">
        <v>155</v>
      </c>
      <c r="F213" s="87" t="n">
        <v>155</v>
      </c>
      <c r="G213" s="25" t="inlineStr">
        <is>
          <t>ศรีสยาม</t>
        </is>
      </c>
      <c r="H213" s="159" t="n">
        <v>24376</v>
      </c>
    </row>
    <row r="214" ht="18" customHeight="1">
      <c r="B214" s="86" t="inlineStr">
        <is>
          <t>น้ำมันคอมพ์แอร์ R134A AIR-PRO ขนาด 500CC.</t>
        </is>
      </c>
      <c r="C214" s="21" t="inlineStr">
        <is>
          <t>1ขวด</t>
        </is>
      </c>
      <c r="D214" s="87" t="n">
        <v>155</v>
      </c>
      <c r="F214" s="87" t="n">
        <v>155</v>
      </c>
      <c r="G214" s="25" t="inlineStr">
        <is>
          <t>ศรีสยาม</t>
        </is>
      </c>
      <c r="H214" s="159" t="n">
        <v>24411</v>
      </c>
    </row>
    <row r="215" ht="18" customHeight="1">
      <c r="B215" s="86" t="inlineStr">
        <is>
          <t>น้ำมันคอมพ์แอร์ R134A AIR-PRO ขนาด 500CC.</t>
        </is>
      </c>
      <c r="C215" s="21" t="inlineStr">
        <is>
          <t>1ขวด</t>
        </is>
      </c>
      <c r="D215" s="87" t="n">
        <v>155</v>
      </c>
      <c r="F215" s="87" t="n">
        <v>155</v>
      </c>
      <c r="G215" s="25" t="inlineStr">
        <is>
          <t>ศรีสยาม</t>
        </is>
      </c>
      <c r="H215" s="159" t="n">
        <v>24418</v>
      </c>
    </row>
    <row r="216" ht="18" customHeight="1">
      <c r="B216" s="86" t="inlineStr">
        <is>
          <t>น้ำมันคอมพ์แอร์ R134A AIR-PRO ขนาด 500CC.</t>
        </is>
      </c>
      <c r="C216" s="21" t="inlineStr">
        <is>
          <t>1ขวด</t>
        </is>
      </c>
      <c r="D216" s="87" t="n">
        <v>155</v>
      </c>
      <c r="F216" s="87" t="n">
        <v>155</v>
      </c>
      <c r="G216" s="25" t="inlineStr">
        <is>
          <t>ศรีสยาม</t>
        </is>
      </c>
      <c r="H216" s="159" t="n">
        <v>24435</v>
      </c>
    </row>
    <row r="217" ht="18" customHeight="1">
      <c r="B217" s="86" t="inlineStr">
        <is>
          <t>น้ำมันคอมพ์แอร์ R134A AIR-PRO ขนาด 500CC.</t>
        </is>
      </c>
      <c r="C217" s="21" t="inlineStr">
        <is>
          <t>1ขวด</t>
        </is>
      </c>
      <c r="D217" s="87" t="n">
        <v>155</v>
      </c>
      <c r="F217" s="87" t="n">
        <v>155</v>
      </c>
      <c r="G217" s="25" t="inlineStr">
        <is>
          <t>ศรีสยาม</t>
        </is>
      </c>
      <c r="H217" s="159" t="n">
        <v>24463</v>
      </c>
    </row>
    <row r="218" ht="18" customHeight="1">
      <c r="B218" s="86" t="inlineStr">
        <is>
          <t>น้ำมันคอมพ์แอร์ R134A AIR-PRO ขนาด 500CC.</t>
        </is>
      </c>
      <c r="C218" s="21" t="inlineStr">
        <is>
          <t>2ขวด</t>
        </is>
      </c>
      <c r="D218" s="87" t="n">
        <v>155</v>
      </c>
      <c r="F218" s="87" t="n">
        <v>310</v>
      </c>
      <c r="G218" s="25" t="inlineStr">
        <is>
          <t>ศรีสยาม</t>
        </is>
      </c>
      <c r="H218" s="159" t="n">
        <v>24502</v>
      </c>
    </row>
    <row r="219" ht="18" customHeight="1">
      <c r="B219" s="86" t="inlineStr">
        <is>
          <t>น้ำมันคอมพ์แอร์ R134A AIR-PRO ขนาด 500CC.</t>
        </is>
      </c>
      <c r="C219" s="21" t="inlineStr">
        <is>
          <t>2ขวด</t>
        </is>
      </c>
      <c r="D219" s="87" t="n">
        <v>160</v>
      </c>
      <c r="F219" s="87" t="n">
        <v>320</v>
      </c>
      <c r="G219" s="25" t="inlineStr">
        <is>
          <t>ศรีสยาม</t>
        </is>
      </c>
      <c r="H219" s="159" t="n">
        <v>24539</v>
      </c>
    </row>
    <row r="220" ht="18" customHeight="1">
      <c r="B220" s="86" t="inlineStr">
        <is>
          <t>น้ำมันคอมพ์แอร์ R134A AIR-PRO ขนาด 500CC.</t>
        </is>
      </c>
      <c r="C220" s="21" t="inlineStr">
        <is>
          <t>1ขวด</t>
        </is>
      </c>
      <c r="D220" s="87" t="n">
        <v>160</v>
      </c>
      <c r="F220" s="87" t="n">
        <v>160</v>
      </c>
      <c r="G220" s="25" t="inlineStr">
        <is>
          <t>ศรีสยาม</t>
        </is>
      </c>
      <c r="H220" s="159" t="n">
        <v>24595</v>
      </c>
    </row>
    <row r="221" ht="18" customHeight="1">
      <c r="B221" s="86" t="inlineStr">
        <is>
          <t>น้ำมันคอมพ์แอร์ R134A AIR-PRO ขนาด 500CC.</t>
        </is>
      </c>
      <c r="C221" s="21" t="inlineStr">
        <is>
          <t>2ขวด</t>
        </is>
      </c>
      <c r="D221" s="87" t="n">
        <v>160</v>
      </c>
      <c r="F221" s="87" t="n">
        <v>320</v>
      </c>
      <c r="G221" s="25" t="inlineStr">
        <is>
          <t>ศรีสยาม</t>
        </is>
      </c>
      <c r="H221" s="159" t="n">
        <v>24617</v>
      </c>
    </row>
    <row r="222" ht="18" customHeight="1">
      <c r="B222" s="86" t="inlineStr">
        <is>
          <t>น้ำมันคอมพ์แอร์ R134A AIR-PRO ขนาด 500CC.</t>
        </is>
      </c>
      <c r="C222" s="21" t="n">
        <v>2</v>
      </c>
      <c r="D222" s="87" t="n">
        <v>160</v>
      </c>
      <c r="F222" s="87">
        <f>SUM(D222*C222)</f>
        <v/>
      </c>
      <c r="G222" s="25" t="inlineStr">
        <is>
          <t>ศรีสยาม</t>
        </is>
      </c>
      <c r="H222" s="159" t="n">
        <v>24656</v>
      </c>
    </row>
    <row r="223" ht="18" customHeight="1">
      <c r="B223" s="86" t="inlineStr">
        <is>
          <t>น้ำมันคอมพ์แอร์ R134A AIR-PRO ขนาด 500CC.</t>
        </is>
      </c>
      <c r="C223" s="21" t="n">
        <v>2</v>
      </c>
      <c r="D223" s="87" t="n">
        <v>160</v>
      </c>
      <c r="F223" s="87">
        <f>SUM(D223*C223)</f>
        <v/>
      </c>
      <c r="G223" s="25" t="inlineStr">
        <is>
          <t>ศรีสยาม</t>
        </is>
      </c>
      <c r="H223" s="159" t="n">
        <v>24698</v>
      </c>
    </row>
    <row r="224" ht="18" customHeight="1">
      <c r="B224" s="86" t="inlineStr">
        <is>
          <t>น้ำมันคอมพ์แอร์ R134A AIR-PRO ขนาด 500CC.</t>
        </is>
      </c>
      <c r="C224" s="21" t="n">
        <v>2</v>
      </c>
      <c r="D224" s="87" t="n">
        <v>160</v>
      </c>
      <c r="F224" s="87">
        <f>SUM(D224*C224)</f>
        <v/>
      </c>
      <c r="G224" s="25" t="inlineStr">
        <is>
          <t>ศรีสยาม</t>
        </is>
      </c>
      <c r="H224" s="159" t="n">
        <v>24764</v>
      </c>
    </row>
    <row r="225" ht="18" customHeight="1">
      <c r="B225" s="86" t="inlineStr">
        <is>
          <t>น้ำมันคอมพ์แอร์ R134A AIR-PRO ขนาด 500CC.</t>
        </is>
      </c>
      <c r="C225" s="21" t="n">
        <v>2</v>
      </c>
      <c r="D225" s="87" t="n">
        <v>160</v>
      </c>
      <c r="F225" s="87">
        <f>SUM(D225*C225)</f>
        <v/>
      </c>
      <c r="G225" s="25" t="inlineStr">
        <is>
          <t>ศรีสยาม</t>
        </is>
      </c>
      <c r="H225" s="159" t="n">
        <v>24795</v>
      </c>
    </row>
    <row r="226" ht="18" customHeight="1">
      <c r="B226" s="86" t="inlineStr">
        <is>
          <t>น้ำมันคอมพ์แอร์ R134A AIR-PRO ขนาด 500CC.</t>
        </is>
      </c>
      <c r="C226" s="21" t="n">
        <v>2</v>
      </c>
      <c r="D226" s="87" t="n">
        <v>160</v>
      </c>
      <c r="F226" s="87">
        <f>SUM(D226*C226)</f>
        <v/>
      </c>
      <c r="G226" s="25" t="inlineStr">
        <is>
          <t>ศรีสยาม</t>
        </is>
      </c>
      <c r="H226" s="159" t="n">
        <v>24831</v>
      </c>
    </row>
    <row r="227" ht="18" customHeight="1">
      <c r="B227" s="86" t="inlineStr">
        <is>
          <t>น้ำมันคอมพ์แอร์ R134A AIR-PRO ขนาด 500CC.</t>
        </is>
      </c>
      <c r="C227" s="21" t="n">
        <v>2</v>
      </c>
      <c r="D227" s="87" t="n">
        <v>160</v>
      </c>
      <c r="F227" s="87">
        <f>SUM(D227*C227)</f>
        <v/>
      </c>
      <c r="G227" s="25" t="inlineStr">
        <is>
          <t>ศรีสยาม</t>
        </is>
      </c>
      <c r="H227" s="159" t="n">
        <v>24896</v>
      </c>
    </row>
    <row r="228" ht="18" customHeight="1">
      <c r="B228" s="86" t="inlineStr">
        <is>
          <t>น้ำมันคอมพ์แอร์ R134A AIR-PRO ขนาด 500CC.</t>
        </is>
      </c>
      <c r="C228" s="21" t="n">
        <v>2</v>
      </c>
      <c r="D228" s="87" t="n">
        <v>160</v>
      </c>
      <c r="F228" s="87">
        <f>SUM(D228*C228)</f>
        <v/>
      </c>
      <c r="G228" s="25" t="inlineStr">
        <is>
          <t>ศรีสยาม</t>
        </is>
      </c>
      <c r="H228" s="159" t="n">
        <v>24946</v>
      </c>
    </row>
    <row r="229" ht="18" customHeight="1">
      <c r="B229" s="86" t="inlineStr">
        <is>
          <t>น้ำมันคอมพ์แอร์ R134A AIR-PRO ขนาด 500CC.</t>
        </is>
      </c>
      <c r="C229" s="21" t="n">
        <v>2</v>
      </c>
      <c r="D229" s="87" t="n">
        <v>160</v>
      </c>
      <c r="F229" s="87">
        <f>SUM(D229*C229)</f>
        <v/>
      </c>
      <c r="G229" s="25" t="inlineStr">
        <is>
          <t>ศรีสยาม</t>
        </is>
      </c>
      <c r="H229" s="159" t="n">
        <v>25007</v>
      </c>
    </row>
    <row r="230" ht="18" customHeight="1">
      <c r="B230" s="86" t="inlineStr">
        <is>
          <t>น้ำมันคอมพ์แอร์ R134A AIR-PRO ขนาด 500CC.</t>
        </is>
      </c>
      <c r="C230" s="21" t="n">
        <v>2</v>
      </c>
      <c r="D230" s="87" t="n">
        <v>160</v>
      </c>
      <c r="F230" s="87">
        <f>SUM(D230*C230)</f>
        <v/>
      </c>
      <c r="G230" s="25" t="inlineStr">
        <is>
          <t>ศรีสยาม</t>
        </is>
      </c>
      <c r="H230" s="159" t="n">
        <v>25075</v>
      </c>
    </row>
    <row r="231" ht="18" customHeight="1">
      <c r="B231" s="86" t="inlineStr">
        <is>
          <t>น้ำมันคอมพ์แอร์ R134A AIR-PRO ขนาด 500CC.</t>
        </is>
      </c>
      <c r="C231" s="21" t="n">
        <v>2</v>
      </c>
      <c r="D231" s="87" t="n">
        <v>160</v>
      </c>
      <c r="F231" s="87">
        <f>SUM(D231*C231)</f>
        <v/>
      </c>
      <c r="G231" s="25" t="inlineStr">
        <is>
          <t>ศรีสยาม</t>
        </is>
      </c>
      <c r="H231" s="159" t="n">
        <v>25110</v>
      </c>
    </row>
    <row r="232" ht="18" customHeight="1">
      <c r="B232" s="86" t="inlineStr">
        <is>
          <t>น้ำมันคอมพ์แอร์ R134A AIR-PRO ขนาด 500CC.</t>
        </is>
      </c>
      <c r="C232" s="21" t="n">
        <v>2</v>
      </c>
      <c r="D232" s="87" t="n">
        <v>160</v>
      </c>
      <c r="F232" s="87">
        <f>SUM(D232*C232)</f>
        <v/>
      </c>
      <c r="G232" s="25" t="inlineStr">
        <is>
          <t>ศรีสยาม</t>
        </is>
      </c>
      <c r="H232" s="159" t="n">
        <v>25169</v>
      </c>
    </row>
    <row r="234" ht="18" customHeight="1">
      <c r="A234" s="85" t="inlineStr">
        <is>
          <t>น้ำยาโซเน็กซ์ SONEX</t>
        </is>
      </c>
      <c r="B234" s="86" t="inlineStr">
        <is>
          <t>น้ำยาโซเน็กซ์ SONEX 400cc</t>
        </is>
      </c>
      <c r="C234" s="21" t="inlineStr">
        <is>
          <t>12กป.</t>
        </is>
      </c>
      <c r="D234" s="87" t="n">
        <v>92.5</v>
      </c>
      <c r="F234" s="87" t="n">
        <v>1110</v>
      </c>
      <c r="G234" s="25" t="inlineStr">
        <is>
          <t>ศรีสยาม</t>
        </is>
      </c>
      <c r="H234" s="159" t="n">
        <v>23074</v>
      </c>
      <c r="I234" s="86" t="n"/>
      <c r="J234" s="21" t="n"/>
    </row>
    <row r="235" ht="18" customHeight="1">
      <c r="A235" s="21" t="inlineStr">
        <is>
          <t>คิด กป.ละ 200 บาท</t>
        </is>
      </c>
      <c r="B235" s="86" t="inlineStr">
        <is>
          <t>น้ำยาป้องกันสนิม SONAX  400ML 1 ลัง</t>
        </is>
      </c>
      <c r="C235" s="21" t="inlineStr">
        <is>
          <t>12ขวด</t>
        </is>
      </c>
      <c r="D235" s="87" t="n">
        <v>94.17</v>
      </c>
      <c r="F235" s="87" t="n">
        <v>1130</v>
      </c>
      <c r="G235" s="25" t="inlineStr">
        <is>
          <t>ศรีสยาม</t>
        </is>
      </c>
      <c r="H235" s="159" t="n">
        <v>23195</v>
      </c>
    </row>
    <row r="236" ht="18" customHeight="1">
      <c r="A236" s="86" t="n"/>
      <c r="B236" s="86" t="inlineStr">
        <is>
          <t>น้ำยาป้องกันสนิม SONAX  400ML 1 ลัง</t>
        </is>
      </c>
      <c r="C236" s="21" t="inlineStr">
        <is>
          <t>12ขวด</t>
        </is>
      </c>
      <c r="D236" s="87" t="n">
        <v>91.67</v>
      </c>
      <c r="F236" s="87" t="n">
        <v>1100</v>
      </c>
      <c r="G236" s="25" t="inlineStr">
        <is>
          <t>จิตต์อะไหล่</t>
        </is>
      </c>
      <c r="H236" s="159" t="n">
        <v>23279</v>
      </c>
    </row>
    <row r="237" ht="18" customHeight="1">
      <c r="B237" s="86" t="inlineStr">
        <is>
          <t>น้ำยาป้องกันสนิม SONAX  400ML 1 ลัง</t>
        </is>
      </c>
      <c r="C237" s="21" t="inlineStr">
        <is>
          <t>12ขวด</t>
        </is>
      </c>
      <c r="D237" s="87" t="n">
        <v>95.83</v>
      </c>
      <c r="F237" s="87" t="n">
        <v>1150</v>
      </c>
      <c r="G237" s="25" t="inlineStr">
        <is>
          <t>จิตต์อะไหล่</t>
        </is>
      </c>
      <c r="H237" s="159" t="n">
        <v>23381</v>
      </c>
    </row>
    <row r="238" ht="18" customHeight="1">
      <c r="B238" s="86" t="inlineStr">
        <is>
          <t>น้ำยาป้องกันสนิม SONAX  400ML 1 ลัง</t>
        </is>
      </c>
      <c r="C238" s="21" t="inlineStr">
        <is>
          <t>12ขวด</t>
        </is>
      </c>
      <c r="D238" s="87" t="n">
        <v>93.33</v>
      </c>
      <c r="F238" s="87" t="n">
        <v>1120</v>
      </c>
      <c r="G238" s="25" t="inlineStr">
        <is>
          <t>ศรีสยาม</t>
        </is>
      </c>
      <c r="H238" s="159" t="n">
        <v>23530</v>
      </c>
    </row>
    <row r="239" ht="18" customHeight="1">
      <c r="B239" s="86" t="inlineStr">
        <is>
          <t>น้ำยาป้องกันสนิม SONAX  400ML 1 ลัง</t>
        </is>
      </c>
      <c r="C239" s="21" t="inlineStr">
        <is>
          <t>12ขวด</t>
        </is>
      </c>
      <c r="D239" s="87" t="n">
        <v>93.33</v>
      </c>
      <c r="F239" s="87" t="n">
        <v>1120</v>
      </c>
      <c r="G239" s="25" t="inlineStr">
        <is>
          <t>ศรีสยาม</t>
        </is>
      </c>
      <c r="H239" s="159" t="n">
        <v>23658</v>
      </c>
    </row>
    <row r="240" ht="18" customHeight="1">
      <c r="B240" s="86" t="inlineStr">
        <is>
          <t>น้ำยาป้องกันสนิม SONAX  400ML 1 ลัง</t>
        </is>
      </c>
      <c r="C240" s="21" t="inlineStr">
        <is>
          <t>12ขวด</t>
        </is>
      </c>
      <c r="D240" s="87" t="n">
        <v>102.08</v>
      </c>
      <c r="F240" s="87" t="n">
        <v>1225</v>
      </c>
      <c r="G240" s="25" t="inlineStr">
        <is>
          <t>ศรีสยาม</t>
        </is>
      </c>
      <c r="H240" s="159" t="n">
        <v>23914</v>
      </c>
    </row>
    <row r="241" ht="18" customHeight="1">
      <c r="B241" s="86" t="inlineStr">
        <is>
          <t>น้ำยาป้องกันสนิม SONAX  400ML 1 ลัง</t>
        </is>
      </c>
      <c r="C241" s="21" t="inlineStr">
        <is>
          <t>12ขวด</t>
        </is>
      </c>
      <c r="D241" s="87" t="n">
        <v>102.08</v>
      </c>
      <c r="F241" s="87" t="n">
        <v>1225</v>
      </c>
      <c r="G241" s="25" t="inlineStr">
        <is>
          <t>ศรีสยาม</t>
        </is>
      </c>
      <c r="H241" s="159" t="n">
        <v>24062</v>
      </c>
    </row>
    <row r="242" ht="18" customHeight="1">
      <c r="B242" s="86" t="inlineStr">
        <is>
          <t>น้ำยาป้องกันสนิม SONAX  400ML 1 ลัง</t>
        </is>
      </c>
      <c r="C242" s="21" t="inlineStr">
        <is>
          <t>12ขวด</t>
        </is>
      </c>
      <c r="D242" s="87" t="n">
        <v>102.08</v>
      </c>
      <c r="F242" s="87" t="n">
        <v>1225</v>
      </c>
      <c r="G242" s="25" t="inlineStr">
        <is>
          <t>ศรีสยาม</t>
        </is>
      </c>
      <c r="H242" s="159" t="n">
        <v>24140</v>
      </c>
    </row>
    <row r="243" ht="18" customHeight="1">
      <c r="B243" s="86" t="inlineStr">
        <is>
          <t>น้ำยาป้องกันสนิม SONAX  400ML 1 ลัง</t>
        </is>
      </c>
      <c r="C243" s="21" t="inlineStr">
        <is>
          <t>12ขวด</t>
        </is>
      </c>
      <c r="D243" s="87" t="n">
        <v>102.08</v>
      </c>
      <c r="F243" s="87" t="n">
        <v>1225</v>
      </c>
      <c r="G243" s="25" t="inlineStr">
        <is>
          <t>ศรีสยาม</t>
        </is>
      </c>
      <c r="H243" s="159" t="n">
        <v>24300</v>
      </c>
    </row>
    <row r="244" ht="18" customHeight="1">
      <c r="B244" s="86" t="inlineStr">
        <is>
          <t>น้ำยาป้องกันสนิม SONAX  400ML 1 ลัง</t>
        </is>
      </c>
      <c r="C244" s="21" t="inlineStr">
        <is>
          <t>12ขวด</t>
        </is>
      </c>
      <c r="D244" s="87" t="n">
        <v>102.08</v>
      </c>
      <c r="F244" s="87" t="n">
        <v>1225</v>
      </c>
      <c r="G244" s="25" t="inlineStr">
        <is>
          <t>ศรีสยาม</t>
        </is>
      </c>
      <c r="H244" s="159" t="n">
        <v>24359</v>
      </c>
    </row>
    <row r="245" ht="18" customHeight="1">
      <c r="B245" s="86" t="inlineStr">
        <is>
          <t>น้ำยาป้องกันสนิม SONAX  400ML 1 ลัง</t>
        </is>
      </c>
      <c r="C245" s="21" t="inlineStr">
        <is>
          <t>12ขวด</t>
        </is>
      </c>
      <c r="D245" s="87" t="n">
        <v>102.08</v>
      </c>
      <c r="F245" s="87" t="n">
        <v>1225</v>
      </c>
      <c r="G245" s="25" t="inlineStr">
        <is>
          <t>ศรีสยาม</t>
        </is>
      </c>
      <c r="H245" s="159" t="n">
        <v>24460</v>
      </c>
    </row>
    <row r="246" ht="18" customHeight="1">
      <c r="B246" s="86" t="inlineStr">
        <is>
          <t>น้ำยาป้องกันสนิม SONAX  400ML 1 ลัง</t>
        </is>
      </c>
      <c r="C246" s="21" t="n">
        <v>12</v>
      </c>
      <c r="D246" s="87" t="n">
        <v>102.0958</v>
      </c>
      <c r="F246" s="87">
        <f>SUM(D246*C246)</f>
        <v/>
      </c>
      <c r="G246" s="25" t="inlineStr">
        <is>
          <t>ศรีสยาม</t>
        </is>
      </c>
      <c r="H246" s="159" t="n">
        <v>24591</v>
      </c>
    </row>
    <row r="247" ht="18" customHeight="1">
      <c r="B247" s="86" t="inlineStr">
        <is>
          <t>น้ำยาป้องกันสนิม SONAX  400ML 1 ลัง</t>
        </is>
      </c>
      <c r="C247" s="21" t="n">
        <v>12</v>
      </c>
      <c r="D247" s="87" t="n">
        <v>102.92</v>
      </c>
      <c r="F247" s="87">
        <f>SUM(D247*C247)</f>
        <v/>
      </c>
      <c r="G247" s="25" t="inlineStr">
        <is>
          <t>ศรีสยาม</t>
        </is>
      </c>
      <c r="H247" s="159" t="n">
        <v>24759</v>
      </c>
    </row>
    <row r="248" ht="18" customHeight="1">
      <c r="B248" s="86" t="inlineStr">
        <is>
          <t>น้ำยาป้องกันสนิม SONAX  400ML 1 ลัง</t>
        </is>
      </c>
      <c r="C248" s="21" t="n">
        <v>12</v>
      </c>
      <c r="D248" s="87" t="n">
        <v>102.92</v>
      </c>
      <c r="F248" s="87">
        <f>SUM(D248*C248)</f>
        <v/>
      </c>
      <c r="G248" s="25" t="inlineStr">
        <is>
          <t>ศรีสยาม</t>
        </is>
      </c>
      <c r="H248" s="159" t="n">
        <v>24912</v>
      </c>
    </row>
    <row r="249" ht="18" customHeight="1">
      <c r="B249" s="86" t="inlineStr">
        <is>
          <t>น้ำยาป้องกันสนิม SONAX  400ML 1 ลัง</t>
        </is>
      </c>
      <c r="C249" s="21" t="n">
        <v>12</v>
      </c>
      <c r="D249" s="87" t="n">
        <v>102.92</v>
      </c>
      <c r="E249" s="21" t="inlineStr">
        <is>
          <t>รวมVAT=</t>
        </is>
      </c>
      <c r="F249" s="87">
        <f>SUM(D249*C249)</f>
        <v/>
      </c>
      <c r="G249" s="25" t="inlineStr">
        <is>
          <t>ศรีสยาม</t>
        </is>
      </c>
      <c r="H249" s="159" t="n">
        <v>25064</v>
      </c>
      <c r="I249" s="21" t="inlineStr">
        <is>
          <t>1ลัง=12กป./กป.ละ 103 บาท</t>
        </is>
      </c>
    </row>
    <row r="250" ht="18" customHeight="1">
      <c r="B250" s="86" t="inlineStr">
        <is>
          <t>น้ำยาป้องกันสนิม SONAX  400ML 1 ลัง</t>
        </is>
      </c>
      <c r="C250" s="21" t="n">
        <v>12</v>
      </c>
      <c r="D250" s="87" t="n">
        <v>102.92</v>
      </c>
      <c r="E250" s="21" t="inlineStr">
        <is>
          <t>รวมVAT=</t>
        </is>
      </c>
      <c r="F250" s="87">
        <f>SUM(D250*C250)</f>
        <v/>
      </c>
      <c r="G250" s="25" t="inlineStr">
        <is>
          <t>ศรีสยาม</t>
        </is>
      </c>
      <c r="H250" s="159" t="n">
        <v>25064</v>
      </c>
      <c r="I250" s="21" t="inlineStr">
        <is>
          <t>1ลัง=12กป./กป.ละ 103 บาท</t>
        </is>
      </c>
    </row>
    <row r="252" ht="18" customHeight="1">
      <c r="A252" s="85" t="inlineStr">
        <is>
          <t>น้ำยากันสนิม</t>
        </is>
      </c>
      <c r="B252" s="86" t="inlineStr">
        <is>
          <t>น้ำยากันสนิมหม้อน้ำ TOYOTA แท้ห้าง 3.785 ลิตร (ลด 17%)</t>
        </is>
      </c>
      <c r="C252" s="21" t="inlineStr">
        <is>
          <t>4กล.</t>
        </is>
      </c>
      <c r="D252" s="87" t="n">
        <v>450</v>
      </c>
      <c r="E252" s="93" t="n">
        <v>0.17</v>
      </c>
      <c r="F252" s="87" t="n">
        <v>1598.58</v>
      </c>
      <c r="G252" s="25" t="inlineStr">
        <is>
          <t>ศรีสยาม</t>
        </is>
      </c>
      <c r="H252" s="159" t="n">
        <v>23262</v>
      </c>
      <c r="I252" s="90" t="inlineStr">
        <is>
          <t>ต้นทุนแกลลอนละ 399.65 บาท</t>
        </is>
      </c>
    </row>
    <row r="253" ht="18" customHeight="1">
      <c r="A253" s="94" t="inlineStr">
        <is>
          <t>คิดแกลลอนละ 600 บาท</t>
        </is>
      </c>
      <c r="B253" s="86" t="inlineStr">
        <is>
          <t>น้ำยากันสนิมหม้อน้ำ TOYOTA แท้ห้าง 3.785 ลิตร (ลด 17%)</t>
        </is>
      </c>
      <c r="C253" s="21" t="inlineStr">
        <is>
          <t>4กล.</t>
        </is>
      </c>
      <c r="D253" s="87" t="n">
        <v>450</v>
      </c>
      <c r="E253" s="93" t="n">
        <v>0.17</v>
      </c>
      <c r="F253" s="87" t="n">
        <v>1598.58</v>
      </c>
      <c r="G253" s="25" t="inlineStr">
        <is>
          <t>ศรีสยาม</t>
        </is>
      </c>
      <c r="H253" s="159" t="n">
        <v>23319</v>
      </c>
      <c r="I253" s="90" t="inlineStr">
        <is>
          <t>ต้นทุนแกลลอนละ 399.65 บาท</t>
        </is>
      </c>
    </row>
    <row r="254" ht="18" customHeight="1">
      <c r="B254" s="86" t="inlineStr">
        <is>
          <t>น้ำยากันสนิมหม้อน้ำ TOYOTA แท้ห้าง 3.785 ลิตร (ลด 17%)</t>
        </is>
      </c>
      <c r="C254" s="21" t="inlineStr">
        <is>
          <t>4กล.</t>
        </is>
      </c>
      <c r="D254" s="87" t="n">
        <v>450</v>
      </c>
      <c r="E254" s="93" t="n">
        <v>0.17</v>
      </c>
      <c r="F254" s="87" t="n">
        <v>1598.58</v>
      </c>
      <c r="G254" s="25" t="inlineStr">
        <is>
          <t>ศรีสยาม</t>
        </is>
      </c>
      <c r="H254" s="159" t="n">
        <v>23388</v>
      </c>
      <c r="I254" s="90" t="inlineStr">
        <is>
          <t>ต้นทุนแกลลอนละ 399.65 บาท</t>
        </is>
      </c>
    </row>
    <row r="255" ht="18" customHeight="1">
      <c r="B255" s="86" t="inlineStr">
        <is>
          <t>น้ำยากันสนิมหม้อน้ำ TOYOTA แท้ห้าง 3.785 ลิตร (ลด 17%)</t>
        </is>
      </c>
      <c r="C255" s="21" t="inlineStr">
        <is>
          <t>4กล.</t>
        </is>
      </c>
      <c r="D255" s="87" t="n">
        <v>400</v>
      </c>
      <c r="E255" s="93" t="inlineStr">
        <is>
          <t>ไม่ลด</t>
        </is>
      </c>
      <c r="F255" s="87" t="n">
        <v>1600</v>
      </c>
      <c r="G255" s="25" t="inlineStr">
        <is>
          <t>จิตต์อะไหล่</t>
        </is>
      </c>
      <c r="H255" s="159" t="n">
        <v>23426</v>
      </c>
      <c r="I255" s="90" t="inlineStr">
        <is>
          <t>แกลลอนละ 400 บาท</t>
        </is>
      </c>
    </row>
    <row r="256" ht="18" customHeight="1">
      <c r="B256" s="86" t="inlineStr">
        <is>
          <t>น้ำยากันสนิมหม้อน้ำ TOYOTA แท้ห้าง 3.785 ลิตร (ลด 17%)</t>
        </is>
      </c>
      <c r="C256" s="21" t="inlineStr">
        <is>
          <t>4กล.</t>
        </is>
      </c>
      <c r="D256" s="87" t="n">
        <v>450</v>
      </c>
      <c r="E256" s="93" t="n">
        <v>0.17</v>
      </c>
      <c r="F256" s="87" t="n">
        <v>1598.58</v>
      </c>
      <c r="G256" s="25" t="inlineStr">
        <is>
          <t>ศรีสยาม</t>
        </is>
      </c>
      <c r="H256" s="159" t="n">
        <v>23453</v>
      </c>
      <c r="I256" s="90" t="inlineStr">
        <is>
          <t>ต้นทุนแกลลอนละ 399.65 บาท</t>
        </is>
      </c>
    </row>
    <row r="257" ht="18" customHeight="1">
      <c r="B257" s="86" t="inlineStr">
        <is>
          <t>น้ำยากันสนิมหม้อน้ำ TOYOTA แท้ห้าง 3.785 ลิตร (ลด 17%)</t>
        </is>
      </c>
      <c r="C257" s="21" t="inlineStr">
        <is>
          <t>4กล.</t>
        </is>
      </c>
      <c r="D257" s="87" t="n">
        <v>450</v>
      </c>
      <c r="E257" s="93" t="n">
        <v>0.17</v>
      </c>
      <c r="F257" s="87" t="n">
        <v>1598.58</v>
      </c>
      <c r="G257" s="25" t="inlineStr">
        <is>
          <t>ศรีสยาม</t>
        </is>
      </c>
      <c r="H257" s="159" t="n">
        <v>23532</v>
      </c>
      <c r="I257" s="90" t="inlineStr">
        <is>
          <t>ต้นทุนแกลลอนละ 399.65 บาท</t>
        </is>
      </c>
    </row>
    <row r="258" ht="18" customHeight="1">
      <c r="B258" s="86" t="inlineStr">
        <is>
          <t>น้ำยากันสนิมหม้อน้ำ TOYOTA แท้ห้าง 3.785 ลิตร (ลด 17%)</t>
        </is>
      </c>
      <c r="C258" s="21" t="inlineStr">
        <is>
          <t>4กล.</t>
        </is>
      </c>
      <c r="D258" s="87" t="n">
        <v>450</v>
      </c>
      <c r="E258" s="93" t="n">
        <v>0.17</v>
      </c>
      <c r="F258" s="87" t="n">
        <v>1598.58</v>
      </c>
      <c r="G258" s="25" t="inlineStr">
        <is>
          <t>ศรีสยาม</t>
        </is>
      </c>
      <c r="H258" s="159" t="n">
        <v>23617</v>
      </c>
      <c r="I258" s="90" t="inlineStr">
        <is>
          <t>ต้นทุนแกลลอนละ 399.65 บาท</t>
        </is>
      </c>
    </row>
    <row r="259" ht="18" customHeight="1">
      <c r="B259" s="86" t="inlineStr">
        <is>
          <t>น้ำยากันสนิมหม้อน้ำ TOYOTA แท้ห้าง 3.785 ลิตร (ลด 17%)</t>
        </is>
      </c>
      <c r="C259" s="21" t="inlineStr">
        <is>
          <t>4กล.</t>
        </is>
      </c>
      <c r="D259" s="87" t="n">
        <v>450</v>
      </c>
      <c r="E259" s="93" t="n">
        <v>0.17</v>
      </c>
      <c r="F259" s="87" t="n">
        <v>1598.58</v>
      </c>
      <c r="G259" s="25" t="inlineStr">
        <is>
          <t>ศรีสยาม</t>
        </is>
      </c>
      <c r="H259" s="159" t="n">
        <v>23720</v>
      </c>
      <c r="I259" s="90" t="inlineStr">
        <is>
          <t>ต้นทุนแกลลอนละ 399.65 บาท</t>
        </is>
      </c>
    </row>
    <row r="260" ht="18" customHeight="1">
      <c r="B260" s="86" t="inlineStr">
        <is>
          <t>น้ำยากันสนิมหม้อน้ำ TOYOTA แท้ห้าง 3.785 ลิตร (ลด 17%)</t>
        </is>
      </c>
      <c r="C260" s="21" t="inlineStr">
        <is>
          <t>4กล.</t>
        </is>
      </c>
      <c r="D260" s="87" t="n">
        <v>450</v>
      </c>
      <c r="E260" s="93" t="n">
        <v>0.17</v>
      </c>
      <c r="F260" s="87" t="n">
        <v>1598.58</v>
      </c>
      <c r="G260" s="25" t="inlineStr">
        <is>
          <t>ศรีสยาม</t>
        </is>
      </c>
      <c r="H260" s="159" t="n">
        <v>23731</v>
      </c>
      <c r="I260" s="90" t="inlineStr">
        <is>
          <t>ต้นทุนแกลลอนละ 399.65 บาท</t>
        </is>
      </c>
    </row>
    <row r="261" ht="18" customHeight="1">
      <c r="B261" s="86" t="inlineStr">
        <is>
          <t>น้ำยากันสนิมหม้อน้ำ TOYOTA แท้ห้าง 3.785 ลิตร (ลด 17%)</t>
        </is>
      </c>
      <c r="C261" s="21" t="inlineStr">
        <is>
          <t>4กล.</t>
        </is>
      </c>
      <c r="D261" s="87" t="n">
        <v>450</v>
      </c>
      <c r="E261" s="93" t="n">
        <v>0.17</v>
      </c>
      <c r="F261" s="87" t="n">
        <v>1598.58</v>
      </c>
      <c r="G261" s="25" t="inlineStr">
        <is>
          <t>ศรีสยาม</t>
        </is>
      </c>
      <c r="H261" s="159" t="n">
        <v>23804</v>
      </c>
      <c r="I261" s="90" t="inlineStr">
        <is>
          <t>ต้นทุนแกลลอนละ 399.65 บาท</t>
        </is>
      </c>
    </row>
    <row r="262" ht="18" customHeight="1">
      <c r="B262" s="86" t="inlineStr">
        <is>
          <t>น้ำยากันสนิมหม้อน้ำ TOYOTA แท้ห้าง 3.785 ลิตร (ลด 17%)</t>
        </is>
      </c>
      <c r="C262" s="21" t="inlineStr">
        <is>
          <t>4กล.</t>
        </is>
      </c>
      <c r="D262" s="87" t="n">
        <v>450</v>
      </c>
      <c r="E262" s="93" t="n">
        <v>0.17</v>
      </c>
      <c r="F262" s="87" t="n">
        <v>1598.58</v>
      </c>
      <c r="G262" s="25" t="inlineStr">
        <is>
          <t>ศรีสยาม</t>
        </is>
      </c>
      <c r="H262" s="159" t="n">
        <v>23850</v>
      </c>
      <c r="I262" s="90" t="inlineStr">
        <is>
          <t>ต้นทุนแกลลอนละ 399.65 บาท</t>
        </is>
      </c>
    </row>
    <row r="263" ht="18" customHeight="1">
      <c r="B263" s="86" t="inlineStr">
        <is>
          <t>น้ำยากันสนิมหม้อน้ำ TOYOTA แท้ห้าง 3.785 ลิตร (ลด 17%)</t>
        </is>
      </c>
      <c r="C263" s="21" t="inlineStr">
        <is>
          <t>4กล.</t>
        </is>
      </c>
      <c r="D263" s="87" t="n">
        <v>450</v>
      </c>
      <c r="E263" s="93" t="n">
        <v>0.17</v>
      </c>
      <c r="F263" s="87" t="n">
        <v>1598.58</v>
      </c>
      <c r="G263" s="25" t="inlineStr">
        <is>
          <t>ศรีสยาม</t>
        </is>
      </c>
      <c r="H263" s="159" t="n">
        <v>23850</v>
      </c>
      <c r="I263" s="90" t="inlineStr">
        <is>
          <t>ต้นทุนแกลลอนละ 399.65 บาท</t>
        </is>
      </c>
    </row>
    <row r="264" ht="18" customHeight="1">
      <c r="B264" s="86" t="inlineStr">
        <is>
          <t>น้ำยากันสนิมหม้อน้ำ TOYOTA แท้ห้าง 3.785 ลิตร (ลด 17%)</t>
        </is>
      </c>
      <c r="C264" s="21" t="inlineStr">
        <is>
          <t>4กล.</t>
        </is>
      </c>
      <c r="D264" s="87" t="n">
        <v>450</v>
      </c>
      <c r="E264" s="93" t="n">
        <v>0.17</v>
      </c>
      <c r="F264" s="87" t="n">
        <v>1598.58</v>
      </c>
      <c r="G264" s="25" t="inlineStr">
        <is>
          <t>ศรีสยาม</t>
        </is>
      </c>
      <c r="H264" s="159" t="n">
        <v>23893</v>
      </c>
      <c r="I264" s="90" t="inlineStr">
        <is>
          <t>ต้นทุนแกลลอนละ 399.65 บาท</t>
        </is>
      </c>
    </row>
    <row r="265" ht="18" customHeight="1">
      <c r="B265" s="86" t="inlineStr">
        <is>
          <t>น้ำยากันสนิมหม้อน้ำ TOYOTA แท้ห้าง 3.785 ลิตร (ลด 17%)</t>
        </is>
      </c>
      <c r="C265" s="21" t="inlineStr">
        <is>
          <t>4กล.</t>
        </is>
      </c>
      <c r="D265" s="87" t="n">
        <v>450</v>
      </c>
      <c r="E265" s="93" t="n">
        <v>0.17</v>
      </c>
      <c r="F265" s="87" t="n">
        <v>1598.58</v>
      </c>
      <c r="G265" s="25" t="inlineStr">
        <is>
          <t>ศรีสยาม</t>
        </is>
      </c>
      <c r="H265" s="159" t="n">
        <v>23934</v>
      </c>
      <c r="I265" s="90" t="inlineStr">
        <is>
          <t>ต้นทุนแกลลอนละ 399.65 บาท</t>
        </is>
      </c>
    </row>
    <row r="266" ht="18" customHeight="1">
      <c r="B266" s="86" t="inlineStr">
        <is>
          <t>น้ำยากันสนิมหม้อน้ำ TOYOTA แท้ห้าง 3.785 ลิตร (ลด 17%)</t>
        </is>
      </c>
      <c r="C266" s="21" t="inlineStr">
        <is>
          <t>4กล.</t>
        </is>
      </c>
      <c r="D266" s="87" t="n">
        <v>450</v>
      </c>
      <c r="E266" s="93" t="n">
        <v>0.17</v>
      </c>
      <c r="F266" s="87" t="n">
        <v>1598.58</v>
      </c>
      <c r="G266" s="25" t="inlineStr">
        <is>
          <t>ศรีสยาม</t>
        </is>
      </c>
      <c r="H266" s="159" t="n">
        <v>24043</v>
      </c>
      <c r="I266" s="90" t="inlineStr">
        <is>
          <t>ต้นทุนแกลลอนละ 399.65 บาท</t>
        </is>
      </c>
    </row>
    <row r="267" ht="18" customHeight="1">
      <c r="B267" s="86" t="inlineStr">
        <is>
          <t>น้ำยากันสนิมหม้อน้ำ TOYOTA แท้ห้าง 3.785 ลิตร (ลด 17%)</t>
        </is>
      </c>
      <c r="C267" s="21" t="inlineStr">
        <is>
          <t>4กล.</t>
        </is>
      </c>
      <c r="D267" s="87" t="n">
        <v>450</v>
      </c>
      <c r="E267" s="93" t="n">
        <v>0.17</v>
      </c>
      <c r="F267" s="87" t="n">
        <v>1598.58</v>
      </c>
      <c r="G267" s="25" t="inlineStr">
        <is>
          <t>ศรีสยาม</t>
        </is>
      </c>
      <c r="H267" s="159" t="n">
        <v>24100</v>
      </c>
      <c r="I267" s="90" t="inlineStr">
        <is>
          <t>ต้นทุนแกลลอนละ 399.65 บาท</t>
        </is>
      </c>
    </row>
    <row r="268" ht="18" customHeight="1">
      <c r="B268" s="86" t="inlineStr">
        <is>
          <t>น้ำยากันสนิมหม้อน้ำ TOYOTA แท้ห้าง 3.785 ลิตร (ลด 17%)</t>
        </is>
      </c>
      <c r="C268" s="21" t="inlineStr">
        <is>
          <t>4กล.</t>
        </is>
      </c>
      <c r="D268" s="87" t="n">
        <v>450</v>
      </c>
      <c r="E268" s="93" t="n">
        <v>0.17</v>
      </c>
      <c r="F268" s="87" t="n">
        <v>1598.58</v>
      </c>
      <c r="G268" s="25" t="inlineStr">
        <is>
          <t>ศรีสยาม</t>
        </is>
      </c>
      <c r="H268" s="159" t="n">
        <v>24176</v>
      </c>
      <c r="I268" s="90" t="inlineStr">
        <is>
          <t>ต้นทุนแกลลอนละ 399.65 บาท</t>
        </is>
      </c>
    </row>
    <row r="269" ht="18" customHeight="1">
      <c r="B269" s="86" t="inlineStr">
        <is>
          <t>น้ำยากันสนิมหม้อน้ำ TOYOTA แท้ห้าง 3.785 ลิตร (ลด 17%)</t>
        </is>
      </c>
      <c r="C269" s="21" t="inlineStr">
        <is>
          <t>4กล.</t>
        </is>
      </c>
      <c r="D269" s="87" t="n">
        <v>450</v>
      </c>
      <c r="E269" s="93" t="n">
        <v>0.17</v>
      </c>
      <c r="F269" s="87" t="n">
        <v>1598.58</v>
      </c>
      <c r="G269" s="25" t="inlineStr">
        <is>
          <t>ศรีสยาม</t>
        </is>
      </c>
      <c r="H269" s="159" t="n">
        <v>24230</v>
      </c>
      <c r="I269" s="90" t="inlineStr">
        <is>
          <t>ต้นทุนแกลลอนละ 399.65 บาท</t>
        </is>
      </c>
    </row>
    <row r="270" ht="18" customHeight="1">
      <c r="B270" s="86" t="inlineStr">
        <is>
          <t>น้ำยากันสนิมหม้อน้ำ TOYOTA แท้ห้าง 3.785 ลิตร (ลด 17%)</t>
        </is>
      </c>
      <c r="C270" s="21" t="inlineStr">
        <is>
          <t>4กล.</t>
        </is>
      </c>
      <c r="D270" s="87" t="n">
        <v>450</v>
      </c>
      <c r="E270" s="93" t="n">
        <v>0.17</v>
      </c>
      <c r="F270" s="87" t="n">
        <v>1598.58</v>
      </c>
      <c r="G270" s="25" t="inlineStr">
        <is>
          <t>ศรีสยาม</t>
        </is>
      </c>
      <c r="H270" s="159" t="n">
        <v>24287</v>
      </c>
      <c r="I270" s="90" t="inlineStr">
        <is>
          <t>ต้นทุนแกลลอนละ 399.65 บาท</t>
        </is>
      </c>
    </row>
    <row r="271" ht="18" customHeight="1">
      <c r="B271" s="86" t="inlineStr">
        <is>
          <t>น้ำยากันสนิมหม้อน้ำ TOYOTA แท้ห้าง 3.785 ลิตร (ลด 17%)</t>
        </is>
      </c>
      <c r="C271" s="21" t="inlineStr">
        <is>
          <t>4กล.</t>
        </is>
      </c>
      <c r="D271" s="87" t="n">
        <v>450</v>
      </c>
      <c r="E271" s="93" t="n">
        <v>0.17</v>
      </c>
      <c r="F271" s="87" t="n">
        <v>1598.58</v>
      </c>
      <c r="G271" s="25" t="inlineStr">
        <is>
          <t>ศรีสยาม</t>
        </is>
      </c>
      <c r="H271" s="159" t="n">
        <v>24323</v>
      </c>
      <c r="I271" s="90" t="inlineStr">
        <is>
          <t>ต้นทุนแกลลอนละ 399.65 บาท</t>
        </is>
      </c>
    </row>
    <row r="272" ht="18" customHeight="1">
      <c r="B272" s="86" t="inlineStr">
        <is>
          <t>น้ำยากันสนิมหม้อน้ำ TOYOTA แท้ห้าง 3.785 ลิตร (ลด 17%)</t>
        </is>
      </c>
      <c r="C272" s="21" t="inlineStr">
        <is>
          <t>4กล.</t>
        </is>
      </c>
      <c r="D272" s="87" t="n">
        <v>450</v>
      </c>
      <c r="E272" s="93" t="n">
        <v>0.17</v>
      </c>
      <c r="F272" s="87" t="n">
        <v>1598.58</v>
      </c>
      <c r="G272" s="25" t="inlineStr">
        <is>
          <t>ศรีสยาม</t>
        </is>
      </c>
      <c r="H272" s="159" t="n">
        <v>24390</v>
      </c>
      <c r="I272" s="90" t="inlineStr">
        <is>
          <t>ต้นทุนแกลลอนละ 399.65 บาท</t>
        </is>
      </c>
    </row>
    <row r="273" ht="18" customHeight="1">
      <c r="B273" s="86" t="inlineStr">
        <is>
          <t>น้ำยากันสนิมหม้อน้ำ TOYOTA แท้ห้าง 3.785 ลิตร (ลด 17%)</t>
        </is>
      </c>
      <c r="C273" s="21" t="inlineStr">
        <is>
          <t>4กล.</t>
        </is>
      </c>
      <c r="D273" s="87" t="n">
        <v>469</v>
      </c>
      <c r="E273" s="93" t="n">
        <v>0.17</v>
      </c>
      <c r="F273" s="87" t="n">
        <v>1666.08</v>
      </c>
      <c r="G273" s="25" t="inlineStr">
        <is>
          <t>ศรีสยาม</t>
        </is>
      </c>
      <c r="H273" s="159" t="n">
        <v>24478</v>
      </c>
      <c r="I273" s="90" t="inlineStr">
        <is>
          <t>ต้นทุนแกลลอนละ 416.52 บาท</t>
        </is>
      </c>
    </row>
    <row r="274" ht="18" customHeight="1">
      <c r="B274" s="86" t="inlineStr">
        <is>
          <t>น้ำยากันสนิมหม้อน้ำ TOYOTA แท้ห้าง 3.785 ลิตร (ลด 17%)</t>
        </is>
      </c>
      <c r="C274" s="21" t="inlineStr">
        <is>
          <t>4กล.</t>
        </is>
      </c>
      <c r="D274" s="87" t="n">
        <v>469</v>
      </c>
      <c r="E274" s="93" t="n">
        <v>0.17</v>
      </c>
      <c r="F274" s="87" t="n">
        <v>1666.08</v>
      </c>
      <c r="G274" s="25" t="inlineStr">
        <is>
          <t>ศรีสยาม</t>
        </is>
      </c>
      <c r="H274" s="159" t="n">
        <v>24557</v>
      </c>
      <c r="I274" s="90" t="inlineStr">
        <is>
          <t>ต้นทุนแกลลอนละ 416.52 บาท</t>
        </is>
      </c>
    </row>
    <row r="275" ht="18" customHeight="1">
      <c r="B275" s="91" t="inlineStr">
        <is>
          <t>น้ำยากันสนิมหม้อน้ำ TOYOTA แท้ห้าง 3.785 ลิตร (ลด 17%) ลังละ4กล.</t>
        </is>
      </c>
      <c r="C275" s="21" t="n">
        <v>4</v>
      </c>
      <c r="D275" s="87" t="n">
        <v>480</v>
      </c>
      <c r="E275" s="93" t="n">
        <v>0.17</v>
      </c>
      <c r="F275" s="87">
        <f>SUM(D275*C275*0.83*107/100)</f>
        <v/>
      </c>
      <c r="G275" s="25" t="inlineStr">
        <is>
          <t>ศรีสยาม</t>
        </is>
      </c>
      <c r="H275" s="159" t="n">
        <v>24656</v>
      </c>
      <c r="I275" s="90" t="inlineStr">
        <is>
          <t>ลังละ4กล./ต้นทุนแกลลอนละ 513.60 บาท</t>
        </is>
      </c>
    </row>
    <row r="276" ht="18" customHeight="1">
      <c r="B276" s="91" t="inlineStr">
        <is>
          <t>น้ำยากันสนิมหม้อน้ำ TOYOTA แท้ห้าง 3.785 ลิตร (ลด 17%) ลังละ4กล.</t>
        </is>
      </c>
      <c r="C276" s="21" t="n">
        <v>4</v>
      </c>
      <c r="D276" s="87" t="n">
        <v>480</v>
      </c>
      <c r="E276" s="93" t="n">
        <v>0.17</v>
      </c>
      <c r="F276" s="87">
        <f>SUM(D276*C276*0.83*107/100)</f>
        <v/>
      </c>
      <c r="G276" s="25" t="inlineStr">
        <is>
          <t>ศรีสยาม</t>
        </is>
      </c>
      <c r="H276" s="159" t="n">
        <v>24729</v>
      </c>
      <c r="I276" s="90" t="inlineStr">
        <is>
          <t>ลังละ4กล./ต้นทุนแกลลอนละ 513.60 บาท</t>
        </is>
      </c>
    </row>
    <row r="277" ht="18" customHeight="1">
      <c r="B277" s="91" t="inlineStr">
        <is>
          <t>น้ำยากันสนิมหม้อน้ำ TOYOTA แท้ห้าง 3.785 ลิตร (ลด 17%) ลังละ4กล.</t>
        </is>
      </c>
      <c r="C277" s="21" t="n">
        <v>4</v>
      </c>
      <c r="D277" s="87" t="n">
        <v>480</v>
      </c>
      <c r="E277" s="93" t="n">
        <v>0.17</v>
      </c>
      <c r="F277" s="87">
        <f>SUM(D277*C277*0.83*107/100)</f>
        <v/>
      </c>
      <c r="G277" s="25" t="inlineStr">
        <is>
          <t>ศรีสยาม</t>
        </is>
      </c>
      <c r="H277" s="159" t="n">
        <v>24764</v>
      </c>
      <c r="I277" s="90" t="inlineStr">
        <is>
          <t>ลังละ4กล./ต้นทุนแกลลอนละ 513.60 บาท</t>
        </is>
      </c>
    </row>
    <row r="278" ht="18" customHeight="1">
      <c r="B278" s="91" t="inlineStr">
        <is>
          <t>น้ำยากันสนิมหม้อน้ำ TOYOTA แท้ห้าง 3.785 ลิตร (ลด 17%) ลังละ4กล.</t>
        </is>
      </c>
      <c r="C278" s="21" t="n">
        <v>4</v>
      </c>
      <c r="D278" s="87" t="n">
        <v>480</v>
      </c>
      <c r="E278" s="93" t="n">
        <v>0.17</v>
      </c>
      <c r="F278" s="87">
        <f>SUM(D278*C278*0.83*107/100)</f>
        <v/>
      </c>
      <c r="G278" s="25" t="inlineStr">
        <is>
          <t>ศรีสยาม</t>
        </is>
      </c>
      <c r="H278" s="159" t="n">
        <v>24781</v>
      </c>
      <c r="I278" s="90" t="inlineStr">
        <is>
          <t>ลังละ4กล./ต้นทุนแกลลอนละ 513.60 บาท</t>
        </is>
      </c>
    </row>
    <row r="279" ht="18" customHeight="1">
      <c r="B279" s="91" t="inlineStr">
        <is>
          <t>น้ำยากันสนิมหม้อน้ำ TOYOTA แท้ห้าง 3.785 ลิตร (ลด 17%) ลังละ4กล.</t>
        </is>
      </c>
      <c r="C279" s="21" t="n">
        <v>4</v>
      </c>
      <c r="D279" s="87" t="n">
        <v>480</v>
      </c>
      <c r="E279" s="93" t="n">
        <v>0.17</v>
      </c>
      <c r="F279" s="87">
        <f>SUM(D279*C279*0.83*107/100)</f>
        <v/>
      </c>
      <c r="G279" s="25" t="inlineStr">
        <is>
          <t>ศรีสยาม</t>
        </is>
      </c>
      <c r="H279" s="159" t="n">
        <v>24825</v>
      </c>
      <c r="I279" s="90" t="inlineStr">
        <is>
          <t>ลังละ4กล./ต้นทุนแกลลอนละ 513.60 บาท</t>
        </is>
      </c>
    </row>
    <row r="280" ht="18" customHeight="1">
      <c r="B280" s="91" t="inlineStr">
        <is>
          <t>น้ำยากันสนิมหม้อน้ำ TOYOTA แท้ห้าง 3.785 ลิตร (ลด 17%) ลังละ4กล.</t>
        </is>
      </c>
      <c r="C280" s="21" t="n">
        <v>4</v>
      </c>
      <c r="D280" s="87" t="n">
        <v>480</v>
      </c>
      <c r="E280" s="93" t="n">
        <v>0.17</v>
      </c>
      <c r="F280" s="87">
        <f>SUM(D280*C280*0.83*107/100)</f>
        <v/>
      </c>
      <c r="G280" s="25" t="inlineStr">
        <is>
          <t>ศรีสยาม</t>
        </is>
      </c>
      <c r="H280" s="159" t="n">
        <v>24846</v>
      </c>
      <c r="I280" s="90" t="inlineStr">
        <is>
          <t>ลังละ4กล./ต้นทุนแกลลอนละ 513.60 บาท</t>
        </is>
      </c>
    </row>
    <row r="281" ht="18" customHeight="1">
      <c r="B281" s="91" t="inlineStr">
        <is>
          <t>น้ำยากันสนิมหม้อน้ำ TOYOTA แท้ห้าง 3.785 ลิตร (ลด 17%) ลังละ4กล.</t>
        </is>
      </c>
      <c r="C281" s="21" t="n">
        <v>4</v>
      </c>
      <c r="D281" s="87" t="n">
        <v>499</v>
      </c>
      <c r="E281" s="93" t="n">
        <v>0.17</v>
      </c>
      <c r="F281" s="87">
        <f>SUM(D281*C281*0.83*107/100)</f>
        <v/>
      </c>
      <c r="G281" s="25" t="inlineStr">
        <is>
          <t>ศรีสยาม</t>
        </is>
      </c>
      <c r="H281" s="159" t="n">
        <v>24890</v>
      </c>
      <c r="I281" s="90" t="inlineStr">
        <is>
          <t>ลังละ4กล./ต้นทุนแกลลอนละ 534 บาท (ราคาในตารางคือยังไม่รวม VAT )</t>
        </is>
      </c>
    </row>
    <row r="282" ht="18" customHeight="1">
      <c r="B282" s="91" t="inlineStr">
        <is>
          <t>น้ำยากันสนิมหม้อน้ำ TOYOTA แท้ห้าง 3.785 ลิตร (ลด 17%) ลังละ4กล.</t>
        </is>
      </c>
      <c r="C282" s="21" t="n">
        <v>4</v>
      </c>
      <c r="D282" s="87" t="n">
        <v>499</v>
      </c>
      <c r="E282" s="93" t="n">
        <v>0.17</v>
      </c>
      <c r="F282" s="87">
        <f>SUM(D282*C282*0.83*107/100)</f>
        <v/>
      </c>
      <c r="G282" s="25" t="inlineStr">
        <is>
          <t>ศรีสยาม</t>
        </is>
      </c>
      <c r="H282" s="159" t="n">
        <v>24928</v>
      </c>
      <c r="I282" s="90" t="inlineStr">
        <is>
          <t>ลังละ4กล./ต้นทุนแกลลอนละ 534 บาท (ราคาในตารางคือยังไม่รวม VAT )</t>
        </is>
      </c>
    </row>
    <row r="283" ht="18" customHeight="1">
      <c r="B283" s="91" t="inlineStr">
        <is>
          <t>น้ำยากันสนิมหม้อน้ำ TOYOTA แท้ห้าง 3.785 ลิตร (ลด 17%) ลังละ4กล.</t>
        </is>
      </c>
      <c r="C283" s="21" t="n">
        <v>4</v>
      </c>
      <c r="D283" s="87" t="n">
        <v>499</v>
      </c>
      <c r="E283" s="93" t="n">
        <v>0.17</v>
      </c>
      <c r="F283" s="87">
        <f>SUM(D283*C283*0.83*107/100)</f>
        <v/>
      </c>
      <c r="G283" s="25" t="inlineStr">
        <is>
          <t>ศรีสยาม</t>
        </is>
      </c>
      <c r="H283" s="159" t="n">
        <v>25003</v>
      </c>
      <c r="I283" s="90" t="inlineStr">
        <is>
          <t>ลังละ4กล./ต้นทุนแกลลอนละ 534 บาท (ราคาในตารางคือยังไม่รวม VAT )</t>
        </is>
      </c>
    </row>
    <row r="284" ht="18" customHeight="1">
      <c r="B284" s="91" t="inlineStr">
        <is>
          <t>น้ำยากันสนิมหม้อน้ำ TOYOTA แท้ห้าง 3.785 ลิตร (ลด 17%) ลังละ4กล.</t>
        </is>
      </c>
      <c r="C284" s="21" t="n">
        <v>4</v>
      </c>
      <c r="D284" s="87" t="n">
        <v>499</v>
      </c>
      <c r="E284" s="93" t="n">
        <v>0.17</v>
      </c>
      <c r="F284" s="87">
        <f>SUM(D284*C284*0.83*107/100)</f>
        <v/>
      </c>
      <c r="G284" s="25" t="inlineStr">
        <is>
          <t>ศรีสยาม</t>
        </is>
      </c>
      <c r="H284" s="159" t="n">
        <v>25056</v>
      </c>
      <c r="I284" s="90" t="inlineStr">
        <is>
          <t>ลังละ4กล./ต้นทุนแกลลอนละ 534 บาท (ราคาในตารางคือยังไม่รวม VAT )</t>
        </is>
      </c>
    </row>
    <row r="285" ht="18" customHeight="1">
      <c r="B285" s="91" t="inlineStr">
        <is>
          <t>น้ำยากันสนิมหม้อน้ำ TOYOTA แท้ห้าง 3.785 ลิตร (ลด 17%) ลังละ4กล.</t>
        </is>
      </c>
      <c r="C285" s="21" t="n">
        <v>4</v>
      </c>
      <c r="D285" s="87" t="n">
        <v>499</v>
      </c>
      <c r="E285" s="93" t="n">
        <v>0.17</v>
      </c>
      <c r="F285" s="87">
        <f>SUM(D285*C285*0.83*107/100)</f>
        <v/>
      </c>
      <c r="G285" s="25" t="inlineStr">
        <is>
          <t>ศรีสยาม</t>
        </is>
      </c>
      <c r="H285" s="159" t="n">
        <v>25092</v>
      </c>
      <c r="I285" s="90" t="inlineStr">
        <is>
          <t>ลังละ4กล./ต้นทุนแกลลอนละ 534 บาท (ราคาในตารางคือยังไม่รวม VAT )</t>
        </is>
      </c>
    </row>
    <row r="286" ht="18" customHeight="1">
      <c r="B286" s="91" t="inlineStr">
        <is>
          <t>น้ำยากันสนิมหม้อน้ำ TOYOTA แท้ห้าง 3.785 ลิตร (ลด 17%) ลังละ4กล.</t>
        </is>
      </c>
      <c r="C286" s="21" t="n">
        <v>4</v>
      </c>
      <c r="D286" s="87" t="n">
        <v>499</v>
      </c>
      <c r="E286" s="93" t="n">
        <v>0.17</v>
      </c>
      <c r="F286" s="87">
        <f>SUM(D286*C286*0.83*107/100)</f>
        <v/>
      </c>
      <c r="G286" s="25" t="inlineStr">
        <is>
          <t>ศรีสยาม</t>
        </is>
      </c>
      <c r="H286" s="159" t="n">
        <v>25111</v>
      </c>
      <c r="I286" s="90" t="inlineStr">
        <is>
          <t>ลังละ4กล./ต้นทุนแกลลอนละ 534 บาท (ราคาในตารางคือยังไม่รวม VAT )</t>
        </is>
      </c>
    </row>
    <row r="287" ht="18" customHeight="1">
      <c r="B287" s="91" t="inlineStr">
        <is>
          <t>น้ำยากันสนิมหม้อน้ำ TOYOTA แท้ห้าง 3.785 ลิตร (ลด 17%) ลังละ4กล.</t>
        </is>
      </c>
      <c r="C287" s="21" t="n">
        <v>4</v>
      </c>
      <c r="D287" s="87" t="n">
        <v>499</v>
      </c>
      <c r="E287" s="93" t="n">
        <v>0.17</v>
      </c>
      <c r="F287" s="87">
        <f>SUM(D287*C287*0.83*107/100)</f>
        <v/>
      </c>
      <c r="G287" s="25" t="inlineStr">
        <is>
          <t>ศรีสยาม</t>
        </is>
      </c>
      <c r="H287" s="159" t="n">
        <v>25124</v>
      </c>
      <c r="I287" s="90" t="inlineStr">
        <is>
          <t>ลังละ4กล./ต้นทุนแกลลอนละ 534 บาท (ราคาในตารางคือยังไม่รวม VAT )</t>
        </is>
      </c>
    </row>
    <row r="288" ht="18" customHeight="1">
      <c r="B288" s="91" t="inlineStr">
        <is>
          <t>น้ำยากันสนิมหม้อน้ำ TOYOTA แท้ห้าง 3.785 ลิตร (ลด 17%) ลังละ4กล.</t>
        </is>
      </c>
      <c r="C288" s="21" t="n">
        <v>4</v>
      </c>
      <c r="D288" s="87" t="n">
        <v>499</v>
      </c>
      <c r="E288" s="93" t="n">
        <v>0.17</v>
      </c>
      <c r="F288" s="87">
        <f>SUM(D288*C288*0.83*107/100)</f>
        <v/>
      </c>
      <c r="G288" s="25" t="inlineStr">
        <is>
          <t>ศรีสยาม</t>
        </is>
      </c>
      <c r="H288" s="159" t="n">
        <v>25143</v>
      </c>
      <c r="I288" s="90" t="inlineStr">
        <is>
          <t>ลังละ4กล./ต้นทุนแกลลอนละ 534 บาท (ราคาในตารางคือยังไม่รวม VAT )</t>
        </is>
      </c>
    </row>
    <row r="290" ht="18" customHeight="1">
      <c r="A290" s="94" t="inlineStr">
        <is>
          <t>คิดแกลลอนละ 450 บาท</t>
        </is>
      </c>
      <c r="B290" s="86" t="inlineStr">
        <is>
          <t>น้ำยากันสนิมหม้อน้ำ HONDA แท้ห้าง 4ลิตร (ไม่มีส่วนลด)</t>
        </is>
      </c>
      <c r="C290" s="21" t="inlineStr">
        <is>
          <t>4กล.</t>
        </is>
      </c>
      <c r="D290" s="87" t="n">
        <v>290</v>
      </c>
      <c r="E290" s="21" t="inlineStr">
        <is>
          <t>ไม่ลด</t>
        </is>
      </c>
      <c r="F290" s="87" t="n">
        <v>1160</v>
      </c>
      <c r="G290" s="25" t="inlineStr">
        <is>
          <t>ศรีสยาม</t>
        </is>
      </c>
      <c r="H290" s="159" t="n">
        <v>23262</v>
      </c>
    </row>
    <row r="291" ht="18" customHeight="1">
      <c r="B291" s="86" t="inlineStr">
        <is>
          <t>น้ำยากันสนิมหม้อน้ำ HONDA แท้ห้าง 4ลิตร (ไม่มีส่วนลด)</t>
        </is>
      </c>
      <c r="C291" s="21" t="inlineStr">
        <is>
          <t>6กล.</t>
        </is>
      </c>
      <c r="D291" s="87" t="n">
        <v>263.33</v>
      </c>
      <c r="E291" s="21" t="inlineStr">
        <is>
          <t>ไม่ลด</t>
        </is>
      </c>
      <c r="F291" s="87" t="n">
        <v>1580</v>
      </c>
      <c r="G291" s="25" t="inlineStr">
        <is>
          <t>จิตต์อะไหล่</t>
        </is>
      </c>
      <c r="H291" s="159" t="n">
        <v>23426</v>
      </c>
      <c r="I291" s="90" t="inlineStr">
        <is>
          <t>แกลลอนละ 263.33 บาท</t>
        </is>
      </c>
    </row>
    <row r="292" ht="18" customHeight="1">
      <c r="B292" s="86" t="inlineStr">
        <is>
          <t>น้ำยากันสนิมหม้อน้ำ HONDA แท้ห้าง 4ลิตร (ไม่มีส่วนลด)</t>
        </is>
      </c>
      <c r="C292" s="21" t="inlineStr">
        <is>
          <t>6กล.</t>
        </is>
      </c>
      <c r="D292" s="87" t="n">
        <v>273.33</v>
      </c>
      <c r="E292" s="21" t="inlineStr">
        <is>
          <t>ไม่ลด</t>
        </is>
      </c>
      <c r="F292" s="87" t="n">
        <v>1640</v>
      </c>
      <c r="G292" s="25" t="inlineStr">
        <is>
          <t>ศรีสยาม</t>
        </is>
      </c>
      <c r="H292" s="159" t="n">
        <v>23726</v>
      </c>
      <c r="I292" s="90" t="inlineStr">
        <is>
          <t>แกลลอนละ 273.33 บาท</t>
        </is>
      </c>
    </row>
    <row r="293" ht="18" customHeight="1">
      <c r="B293" s="86" t="inlineStr">
        <is>
          <t>น้ำยากันสนิมหม้อน้ำ HONDA แท้ห้าง 4ลิตร (ไม่มีส่วนลด)</t>
        </is>
      </c>
      <c r="C293" s="21" t="inlineStr">
        <is>
          <t>6กล.</t>
        </is>
      </c>
      <c r="D293" s="87" t="n">
        <v>290</v>
      </c>
      <c r="E293" s="21" t="inlineStr">
        <is>
          <t>ไม่ลด</t>
        </is>
      </c>
      <c r="F293" s="87" t="n">
        <v>1740</v>
      </c>
      <c r="G293" s="25" t="inlineStr">
        <is>
          <t>ศรีสยาม</t>
        </is>
      </c>
      <c r="H293" s="159" t="n">
        <v>24091</v>
      </c>
      <c r="I293" s="90" t="inlineStr">
        <is>
          <t>ต้นทุน แกลลอนละ 290 บาท</t>
        </is>
      </c>
    </row>
    <row r="294" ht="18" customHeight="1">
      <c r="B294" s="86" t="inlineStr">
        <is>
          <t>น้ำยากันสนิมหม้อน้ำ HONDA แท้ห้าง 4ลิตร (ไม่มีส่วนลด)</t>
        </is>
      </c>
      <c r="C294" s="21" t="inlineStr">
        <is>
          <t>6กล.</t>
        </is>
      </c>
      <c r="D294" s="87" t="n">
        <v>273.33</v>
      </c>
      <c r="E294" s="21" t="inlineStr">
        <is>
          <t>ไม่ลด</t>
        </is>
      </c>
      <c r="F294" s="87" t="n">
        <v>1640</v>
      </c>
      <c r="G294" s="25" t="inlineStr">
        <is>
          <t>ศรีสยาม</t>
        </is>
      </c>
      <c r="H294" s="159" t="n">
        <v>24287</v>
      </c>
      <c r="I294" s="90" t="inlineStr">
        <is>
          <t>แกลลอนละ 273.33 บาท</t>
        </is>
      </c>
    </row>
    <row r="295" ht="18" customHeight="1">
      <c r="B295" s="86" t="inlineStr">
        <is>
          <t>น้ำยากันสนิมหม้อน้ำ HONDA แท้ห้าง 4ลิตร (ไม่มีส่วนลด)</t>
        </is>
      </c>
      <c r="C295" s="21" t="inlineStr">
        <is>
          <t>6กล.</t>
        </is>
      </c>
      <c r="D295" s="87" t="n">
        <v>273.33</v>
      </c>
      <c r="E295" s="21" t="inlineStr">
        <is>
          <t>ไม่ลด</t>
        </is>
      </c>
      <c r="F295" s="87" t="n">
        <v>1640</v>
      </c>
      <c r="G295" s="25" t="inlineStr">
        <is>
          <t>ศรีสยาม</t>
        </is>
      </c>
      <c r="H295" s="159" t="n">
        <v>24463</v>
      </c>
      <c r="I295" s="90" t="inlineStr">
        <is>
          <t>แกลลอนละ 273.33 บาท</t>
        </is>
      </c>
    </row>
    <row r="296" ht="18" customHeight="1">
      <c r="B296" s="86" t="inlineStr">
        <is>
          <t>น้ำยากันสนิมหม้อน้ำ HONDA แท้ห้าง 4ลิตร (ไม่มีส่วนลด)</t>
        </is>
      </c>
      <c r="C296" s="21" t="n">
        <v>6</v>
      </c>
      <c r="D296" s="87">
        <f>SUM(F296/C296)</f>
        <v/>
      </c>
      <c r="E296" s="21" t="inlineStr">
        <is>
          <t>ไม่ลด</t>
        </is>
      </c>
      <c r="F296" s="87" t="n">
        <v>1580</v>
      </c>
      <c r="G296" s="25" t="inlineStr">
        <is>
          <t>ศรีสยาม</t>
        </is>
      </c>
      <c r="H296" s="159" t="n">
        <v>24596</v>
      </c>
      <c r="I296" s="90" t="inlineStr">
        <is>
          <t>แกลลอนละ 263.33 บาท</t>
        </is>
      </c>
    </row>
    <row r="297" ht="18" customHeight="1">
      <c r="B297" s="86" t="inlineStr">
        <is>
          <t>น้ำยากันสนิมหม้อน้ำ HONDA แท้ห้าง 4ลิตร (ไม่มีส่วนลด)</t>
        </is>
      </c>
      <c r="C297" s="21" t="n">
        <v>6</v>
      </c>
      <c r="D297" s="87" t="n">
        <v>289</v>
      </c>
      <c r="E297" s="21" t="inlineStr">
        <is>
          <t>ไม่ลด</t>
        </is>
      </c>
      <c r="F297" s="87">
        <f>SUM(D297*C297)</f>
        <v/>
      </c>
      <c r="G297" s="25" t="inlineStr">
        <is>
          <t>ศรีสยาม</t>
        </is>
      </c>
      <c r="H297" s="159" t="n">
        <v>24711</v>
      </c>
      <c r="I297" s="90" t="inlineStr">
        <is>
          <t>แกลลอนละ 289 บาท</t>
        </is>
      </c>
    </row>
    <row r="298" ht="18" customHeight="1">
      <c r="B298" s="86" t="inlineStr">
        <is>
          <t>น้ำยากันสนิมหม้อน้ำ HONDA แท้ห้าง 4ลิตร (ไม่มีส่วนลด)</t>
        </is>
      </c>
      <c r="C298" s="21" t="n">
        <v>6</v>
      </c>
      <c r="D298" s="87" t="n">
        <v>289</v>
      </c>
      <c r="E298" s="21" t="inlineStr">
        <is>
          <t>ไม่ลด</t>
        </is>
      </c>
      <c r="F298" s="87">
        <f>SUM(D298*C298)</f>
        <v/>
      </c>
      <c r="G298" s="25" t="inlineStr">
        <is>
          <t>ศรีสยาม</t>
        </is>
      </c>
      <c r="H298" s="159" t="n">
        <v>24846</v>
      </c>
      <c r="I298" s="95" t="inlineStr">
        <is>
          <t>แกลลอนละ 289 บาท (ราคารวม VATแล้ว)</t>
        </is>
      </c>
    </row>
    <row r="299" ht="18" customHeight="1">
      <c r="B299" s="86" t="inlineStr">
        <is>
          <t>น้ำยากันสนิมหม้อน้ำ HONDA แท้ห้าง 4ลิตร (ไม่มีส่วนลด)</t>
        </is>
      </c>
      <c r="C299" s="21" t="n">
        <v>6</v>
      </c>
      <c r="D299" s="87" t="n">
        <v>289</v>
      </c>
      <c r="E299" s="21" t="inlineStr">
        <is>
          <t>ไม่ลด</t>
        </is>
      </c>
      <c r="F299" s="87">
        <f>SUM(D299*C299)</f>
        <v/>
      </c>
      <c r="G299" s="25" t="inlineStr">
        <is>
          <t>ศรีสยาม</t>
        </is>
      </c>
      <c r="H299" s="159" t="n">
        <v>25054</v>
      </c>
      <c r="I299" s="95" t="inlineStr">
        <is>
          <t>แกลลอนละ 289 บาท (ราคารวม VATแล้ว)</t>
        </is>
      </c>
    </row>
    <row r="300" ht="18" customHeight="1">
      <c r="B300" s="86" t="inlineStr">
        <is>
          <t>น้ำยากันสนิมหม้อน้ำ HONDA แท้ห้าง 4ลิตร (ไม่มีส่วนลด)</t>
        </is>
      </c>
      <c r="C300" s="21" t="n">
        <v>6</v>
      </c>
      <c r="D300" s="87" t="n">
        <v>289</v>
      </c>
      <c r="E300" s="21" t="inlineStr">
        <is>
          <t>ไม่ลด</t>
        </is>
      </c>
      <c r="F300" s="87">
        <f>SUM(D300*C300)</f>
        <v/>
      </c>
      <c r="G300" s="25" t="inlineStr">
        <is>
          <t>ศรีสยาม</t>
        </is>
      </c>
      <c r="H300" s="159" t="n">
        <v>25157</v>
      </c>
      <c r="I300" s="95" t="inlineStr">
        <is>
          <t>แกลลอนละ 289 บาท (ราคารวม VATแล้ว)</t>
        </is>
      </c>
    </row>
    <row r="302" ht="18" customHeight="1">
      <c r="A302" s="94" t="inlineStr">
        <is>
          <t>คิดแกลลอนละ 550 บาท</t>
        </is>
      </c>
      <c r="B302" s="86" t="inlineStr">
        <is>
          <t>น้ำยากันสนิมหม้อน้ำ ISUZU แท้ห้าง 3ลิตร (ไม่มีส่วนลด) SUPER LLC</t>
        </is>
      </c>
      <c r="C302" s="21" t="inlineStr">
        <is>
          <t>6กล.</t>
        </is>
      </c>
      <c r="D302" s="87" t="n">
        <v>381.67</v>
      </c>
      <c r="F302" s="87" t="n">
        <v>2290</v>
      </c>
      <c r="G302" s="25" t="inlineStr">
        <is>
          <t>ศรีสยาม</t>
        </is>
      </c>
      <c r="H302" s="159" t="n">
        <v>23383</v>
      </c>
    </row>
    <row r="303" ht="18" customHeight="1">
      <c r="B303" s="86" t="inlineStr">
        <is>
          <t>น้ำยากันสนิมหม้อน้ำ ISUZU แท้ห้าง 3ลิตร (ไม่มีส่วนลด) SUPER LLC</t>
        </is>
      </c>
      <c r="C303" s="21" t="inlineStr">
        <is>
          <t>6กล.</t>
        </is>
      </c>
      <c r="D303" s="87" t="n">
        <v>381.67</v>
      </c>
      <c r="F303" s="87" t="n">
        <v>2290</v>
      </c>
      <c r="G303" s="25" t="inlineStr">
        <is>
          <t>ศรีสยาม</t>
        </is>
      </c>
      <c r="H303" s="159" t="n">
        <v>23440</v>
      </c>
    </row>
    <row r="304" ht="18" customHeight="1">
      <c r="B304" s="86" t="inlineStr">
        <is>
          <t>น้ำยากันสนิมหม้อน้ำ ISUZU แท้ห้าง 3ลิตร (ไม่มีส่วนลด) SUPER LLC</t>
        </is>
      </c>
      <c r="C304" s="21" t="inlineStr">
        <is>
          <t>6กล.</t>
        </is>
      </c>
      <c r="D304" s="87" t="n">
        <v>455</v>
      </c>
      <c r="E304" s="93" t="n">
        <v>0.22</v>
      </c>
      <c r="F304" s="87" t="n">
        <v>2278.46</v>
      </c>
      <c r="G304" s="25" t="inlineStr">
        <is>
          <t>ศรีสยาม</t>
        </is>
      </c>
      <c r="H304" s="159" t="n">
        <v>23473</v>
      </c>
      <c r="I304" s="90" t="inlineStr">
        <is>
          <t>ลดแล้วเหลือ แกลลอนละ 380 บาท (1ลังมี6กล.)</t>
        </is>
      </c>
    </row>
    <row r="305" ht="18" customHeight="1">
      <c r="B305" s="86" t="inlineStr">
        <is>
          <t>น้ำยากันสนิมหม้อน้ำ ISUZU แท้ห้าง 3ลิตร (ไม่มีส่วนลด) SUPER LLC</t>
        </is>
      </c>
      <c r="C305" s="21" t="inlineStr">
        <is>
          <t>6กล.</t>
        </is>
      </c>
      <c r="D305" s="87" t="n">
        <v>455</v>
      </c>
      <c r="E305" s="93" t="n">
        <v>0.22</v>
      </c>
      <c r="F305" s="87" t="n">
        <v>2278.46</v>
      </c>
      <c r="G305" s="25" t="inlineStr">
        <is>
          <t>ศรีสยาม</t>
        </is>
      </c>
      <c r="H305" s="159" t="n">
        <v>23551</v>
      </c>
      <c r="I305" s="90" t="inlineStr">
        <is>
          <t>ลดแล้วเหลือ แกลลอนละ 380 บาท (1ลังมี6กล.)</t>
        </is>
      </c>
    </row>
    <row r="306" ht="18" customHeight="1">
      <c r="B306" s="86" t="inlineStr">
        <is>
          <t>น้ำยากันสนิมหม้อน้ำ ISUZU แท้ห้าง 3ลิตร (ไม่มีส่วนลด) SUPER LLC</t>
        </is>
      </c>
      <c r="C306" s="21" t="inlineStr">
        <is>
          <t>6กล.</t>
        </is>
      </c>
      <c r="E306" s="93" t="n"/>
      <c r="F306" s="87" t="n">
        <v>2250</v>
      </c>
      <c r="G306" s="25" t="inlineStr">
        <is>
          <t>ศรีสยาม</t>
        </is>
      </c>
      <c r="H306" s="159" t="n">
        <v>23551</v>
      </c>
      <c r="I306" s="90" t="inlineStr">
        <is>
          <t>ลดแล้วเหลือ แกลลอนละ 375 บาท (1ลังมี6กล.)</t>
        </is>
      </c>
    </row>
    <row r="307" ht="18" customHeight="1">
      <c r="B307" s="86" t="inlineStr">
        <is>
          <t>น้ำยากันสนิมหม้อน้ำ ISUZU แท้ห้าง 3ลิตร (ไม่มีส่วนลด) SUPER LLC</t>
        </is>
      </c>
      <c r="C307" s="21" t="inlineStr">
        <is>
          <t>6กล.</t>
        </is>
      </c>
      <c r="D307" s="87" t="n">
        <v>455</v>
      </c>
      <c r="E307" s="93" t="n">
        <v>0.16</v>
      </c>
      <c r="F307" s="87" t="n">
        <v>2453.72</v>
      </c>
      <c r="G307" s="25" t="inlineStr">
        <is>
          <t>ศรีสยาม</t>
        </is>
      </c>
      <c r="H307" s="159" t="n">
        <v>23616</v>
      </c>
      <c r="I307" s="90" t="inlineStr">
        <is>
          <t>ลดแล้วเหลือ แกลลอนละ 375 บาท (1ลังมี6กล.)</t>
        </is>
      </c>
    </row>
    <row r="308" ht="18" customHeight="1">
      <c r="B308" s="86" t="inlineStr">
        <is>
          <t>น้ำยากันสนิมหม้อน้ำ ISUZU แท้ห้าง 3ลิตร (ไม่มีส่วนลด) SUPER LLC</t>
        </is>
      </c>
      <c r="C308" s="21" t="inlineStr">
        <is>
          <t>6กล.</t>
        </is>
      </c>
      <c r="D308" s="87" t="n">
        <v>495</v>
      </c>
      <c r="E308" s="93" t="n">
        <v>0.22</v>
      </c>
      <c r="F308" s="87" t="n">
        <v>2478.76</v>
      </c>
      <c r="G308" s="25" t="inlineStr">
        <is>
          <t>ศรีสยาม</t>
        </is>
      </c>
      <c r="H308" s="159" t="n">
        <v>23694</v>
      </c>
      <c r="I308" s="90" t="inlineStr">
        <is>
          <t>ลดแล้วเหลือ แกลลอนละ 414 บาท (1ลังมี6กล.) ราคาเต็ม ลังละ 2,970 บาท</t>
        </is>
      </c>
    </row>
    <row r="309" ht="18" customHeight="1">
      <c r="B309" s="86" t="inlineStr">
        <is>
          <t>น้ำยากันสนิมหม้อน้ำ ISUZU แท้ห้าง 3ลิตร (ไม่มีส่วนลด) SUPER LLC</t>
        </is>
      </c>
      <c r="C309" s="21" t="inlineStr">
        <is>
          <t>6กล.</t>
        </is>
      </c>
      <c r="D309" s="87" t="n">
        <v>495</v>
      </c>
      <c r="E309" s="93" t="n">
        <v>0.22</v>
      </c>
      <c r="F309" s="87" t="n">
        <v>2478.76</v>
      </c>
      <c r="G309" s="25" t="inlineStr">
        <is>
          <t>ศรีสยาม</t>
        </is>
      </c>
      <c r="H309" s="159" t="n">
        <v>23799</v>
      </c>
      <c r="I309" s="90" t="inlineStr">
        <is>
          <t>ลดแล้วเหลือ แกลลอนละ 414 บาท (1ลังมี6กล.) ราคาเต็ม ลังละ 2,970 บาท</t>
        </is>
      </c>
    </row>
    <row r="310" ht="18" customHeight="1">
      <c r="B310" s="86" t="inlineStr">
        <is>
          <t>น้ำยากันสนิมหม้อน้ำ ISUZU แท้ห้าง 3ลิตร (ไม่มีส่วนลด) SUPER LLC</t>
        </is>
      </c>
      <c r="C310" s="21" t="inlineStr">
        <is>
          <t>6กล.</t>
        </is>
      </c>
      <c r="D310" s="87" t="n">
        <v>495</v>
      </c>
      <c r="E310" s="93" t="n">
        <v>0.22</v>
      </c>
      <c r="F310" s="87" t="n">
        <v>2478.76</v>
      </c>
      <c r="G310" s="25" t="inlineStr">
        <is>
          <t>ศรีสยาม</t>
        </is>
      </c>
      <c r="H310" s="159" t="n">
        <v>23829</v>
      </c>
      <c r="I310" s="90" t="inlineStr">
        <is>
          <t>ลดแล้วเหลือ แกลลอนละ 414 บาท (1ลังมี6กล.) ราคาเต็ม ลังละ 2,970 บาท</t>
        </is>
      </c>
    </row>
    <row r="311" ht="18" customHeight="1">
      <c r="B311" s="86" t="inlineStr">
        <is>
          <t>น้ำยากันสนิมหม้อน้ำ ISUZU แท้ห้าง 3ลิตร (ไม่มีส่วนลด) SUPER LLC</t>
        </is>
      </c>
      <c r="C311" s="21" t="inlineStr">
        <is>
          <t>6กล.</t>
        </is>
      </c>
      <c r="D311" s="87" t="n">
        <v>495</v>
      </c>
      <c r="E311" s="93" t="n">
        <v>0.22</v>
      </c>
      <c r="F311" s="87" t="n">
        <v>2478.76</v>
      </c>
      <c r="G311" s="25" t="inlineStr">
        <is>
          <t>ศรีสยาม</t>
        </is>
      </c>
      <c r="H311" s="159" t="n">
        <v>23928</v>
      </c>
      <c r="I311" s="90" t="inlineStr">
        <is>
          <t>ลดแล้วเหลือ แกลลอนละ 414 บาท (1ลังมี6กล.) ราคาเต็ม ลังละ 2,970 บาท</t>
        </is>
      </c>
    </row>
    <row r="312" ht="18" customHeight="1">
      <c r="B312" s="86" t="inlineStr">
        <is>
          <t>น้ำยากันสนิมหม้อน้ำ ISUZU แท้ห้าง 3ลิตร (ไม่มีส่วนลด) SUPER LLC</t>
        </is>
      </c>
      <c r="C312" s="21" t="inlineStr">
        <is>
          <t>6กล.</t>
        </is>
      </c>
      <c r="D312" s="87" t="n">
        <v>495</v>
      </c>
      <c r="E312" s="93" t="n">
        <v>0.22</v>
      </c>
      <c r="F312" s="87" t="n">
        <v>2478.76</v>
      </c>
      <c r="G312" s="25" t="inlineStr">
        <is>
          <t>ศรีสยาม</t>
        </is>
      </c>
      <c r="H312" s="159" t="n">
        <v>23990</v>
      </c>
      <c r="I312" s="90" t="inlineStr">
        <is>
          <t>ลดแล้วเหลือ แกลลอนละ 414 บาท (1ลังมี6กล.) ราคาเต็ม ลังละ 2,970 บาท</t>
        </is>
      </c>
    </row>
    <row r="313" ht="18" customHeight="1">
      <c r="B313" s="86" t="inlineStr">
        <is>
          <t>น้ำยากันสนิมหม้อน้ำ ISUZU แท้ห้าง 3ลิตร (ไม่มีส่วนลด) SUPER LLC</t>
        </is>
      </c>
      <c r="C313" s="21" t="inlineStr">
        <is>
          <t>6กล.</t>
        </is>
      </c>
      <c r="D313" s="87" t="n">
        <v>495</v>
      </c>
      <c r="E313" s="93" t="n">
        <v>0.22</v>
      </c>
      <c r="F313" s="87" t="n">
        <v>2478.76</v>
      </c>
      <c r="G313" s="25" t="inlineStr">
        <is>
          <t>ศรีสยาม</t>
        </is>
      </c>
      <c r="H313" s="159" t="n">
        <v>24018</v>
      </c>
      <c r="I313" s="90" t="inlineStr">
        <is>
          <t>ลดแล้วเหลือ แกลลอนละ 414 บาท (1ลังมี6กล.) ราคาเต็ม ลังละ 2,970 บาท</t>
        </is>
      </c>
    </row>
    <row r="314" ht="18" customHeight="1">
      <c r="B314" s="86" t="inlineStr">
        <is>
          <t>น้ำยากันสนิมหม้อน้ำ ISUZU แท้ห้าง 3ลิตร (ไม่มีส่วนลด) SUPER LLC</t>
        </is>
      </c>
      <c r="C314" s="21" t="inlineStr">
        <is>
          <t>6กล.</t>
        </is>
      </c>
      <c r="D314" s="87" t="n">
        <v>495</v>
      </c>
      <c r="E314" s="93" t="n">
        <v>0.22</v>
      </c>
      <c r="F314" s="87" t="n">
        <v>2478.76</v>
      </c>
      <c r="G314" s="25" t="inlineStr">
        <is>
          <t>ศรีสยาม</t>
        </is>
      </c>
      <c r="H314" s="159" t="n">
        <v>24091</v>
      </c>
      <c r="I314" s="90" t="inlineStr">
        <is>
          <t>ลดแล้วเหลือ แกลลอนละ 414 บาท (1ลังมี6กล.) ราคาเต็ม ลังละ 2,970 บาท</t>
        </is>
      </c>
    </row>
    <row r="315" ht="18" customHeight="1">
      <c r="B315" s="86" t="inlineStr">
        <is>
          <t>น้ำยากันสนิมหม้อน้ำ ISUZU แท้ห้าง 3ลิตร (ไม่มีส่วนลด) SUPER LLC</t>
        </is>
      </c>
      <c r="C315" s="21" t="inlineStr">
        <is>
          <t>6กล.</t>
        </is>
      </c>
      <c r="D315" s="87" t="n">
        <v>495</v>
      </c>
      <c r="E315" s="93" t="n">
        <v>0.22</v>
      </c>
      <c r="F315" s="87" t="n">
        <v>2478.76</v>
      </c>
      <c r="G315" s="25" t="inlineStr">
        <is>
          <t>ศรีสยาม</t>
        </is>
      </c>
      <c r="H315" s="159" t="n">
        <v>24166</v>
      </c>
      <c r="I315" s="90" t="inlineStr">
        <is>
          <t>ลดแล้วเหลือ แกลลอนละ 414 บาท (1ลังมี6กล.) ราคาเต็ม ลังละ 2,970 บาท</t>
        </is>
      </c>
    </row>
    <row r="316" ht="18" customHeight="1">
      <c r="B316" s="86" t="inlineStr">
        <is>
          <t>น้ำยากันสนิมหม้อน้ำ ISUZU แท้ห้าง 3ลิตร (ไม่มีส่วนลด) SUPER LLC</t>
        </is>
      </c>
      <c r="C316" s="21" t="inlineStr">
        <is>
          <t>6กล.</t>
        </is>
      </c>
      <c r="D316" s="87" t="n">
        <v>495</v>
      </c>
      <c r="E316" s="93" t="n">
        <v>0.22</v>
      </c>
      <c r="F316" s="87" t="n">
        <v>2478.76</v>
      </c>
      <c r="G316" s="25" t="inlineStr">
        <is>
          <t>ศรีสยาม</t>
        </is>
      </c>
      <c r="H316" s="159" t="n">
        <v>24181</v>
      </c>
      <c r="I316" s="90" t="inlineStr">
        <is>
          <t>ลดแล้วเหลือ แกลลอนละ 414 บาท (1ลังมี6กล.) ราคาเต็ม ลังละ 2,970 บาท</t>
        </is>
      </c>
    </row>
    <row r="317" ht="18" customHeight="1">
      <c r="B317" s="86" t="inlineStr">
        <is>
          <t>น้ำยากันสนิมหม้อน้ำ ISUZU แท้ห้าง 3ลิตร (ไม่มีส่วนลด) SUPER LLC</t>
        </is>
      </c>
      <c r="C317" s="21" t="inlineStr">
        <is>
          <t>6กล.</t>
        </is>
      </c>
      <c r="D317" s="87" t="n">
        <v>495</v>
      </c>
      <c r="E317" s="93" t="n">
        <v>0.22</v>
      </c>
      <c r="F317" s="87" t="n">
        <v>2478.76</v>
      </c>
      <c r="G317" s="25" t="inlineStr">
        <is>
          <t>ศรีสยาม</t>
        </is>
      </c>
      <c r="H317" s="159" t="n">
        <v>24230</v>
      </c>
      <c r="I317" s="90" t="inlineStr">
        <is>
          <t>ลดแล้วเหลือ แกลลอนละ 414 บาท (1ลังมี6กล.) ราคาเต็ม ลังละ 2,970 บาท</t>
        </is>
      </c>
    </row>
    <row r="318" ht="18" customHeight="1">
      <c r="B318" s="86" t="inlineStr">
        <is>
          <t>น้ำยากันสนิมหม้อน้ำ ISUZU แท้ห้าง 3ลิตร (ไม่มีส่วนลด) SUPER LLC</t>
        </is>
      </c>
      <c r="C318" s="21" t="inlineStr">
        <is>
          <t>6กล.</t>
        </is>
      </c>
      <c r="D318" s="87" t="n">
        <v>495</v>
      </c>
      <c r="E318" s="93" t="n">
        <v>0.22</v>
      </c>
      <c r="F318" s="87" t="n">
        <v>2478.76</v>
      </c>
      <c r="G318" s="25" t="inlineStr">
        <is>
          <t>ศรีสยาม</t>
        </is>
      </c>
      <c r="H318" s="159" t="n">
        <v>24253</v>
      </c>
      <c r="I318" s="90" t="inlineStr">
        <is>
          <t>ลดแล้วเหลือ แกลลอนละ 414 บาท (1ลังมี6กล.) ราคาเต็ม ลังละ 2,970 บาท</t>
        </is>
      </c>
    </row>
    <row r="319" ht="18" customHeight="1">
      <c r="B319" s="86" t="inlineStr">
        <is>
          <t>น้ำยากันสนิมหม้อน้ำ ISUZU แท้ห้าง 3ลิตร (ไม่มีส่วนลด) SUPER LLC</t>
        </is>
      </c>
      <c r="C319" s="21" t="inlineStr">
        <is>
          <t>6กล.</t>
        </is>
      </c>
      <c r="D319" s="87" t="n">
        <v>495</v>
      </c>
      <c r="E319" s="93" t="n">
        <v>0.22</v>
      </c>
      <c r="F319" s="87" t="n">
        <v>2478.76</v>
      </c>
      <c r="G319" s="25" t="inlineStr">
        <is>
          <t>ศรีสยาม</t>
        </is>
      </c>
      <c r="H319" s="159" t="n">
        <v>24312</v>
      </c>
      <c r="I319" s="90" t="inlineStr">
        <is>
          <t>ลดแล้วเหลือ แกลลอนละ 414 บาท (1ลังมี6กล.) ราคาเต็ม ลังละ 2,970 บาท</t>
        </is>
      </c>
    </row>
    <row r="320" ht="18" customHeight="1">
      <c r="B320" s="86" t="inlineStr">
        <is>
          <t>น้ำยากันสนิมหม้อน้ำ ISUZU แท้ห้าง 3ลิตร (ไม่มีส่วนลด) SUPER LLC</t>
        </is>
      </c>
      <c r="C320" s="21" t="inlineStr">
        <is>
          <t>6กล.</t>
        </is>
      </c>
      <c r="D320" s="87" t="n">
        <v>495</v>
      </c>
      <c r="E320" s="93" t="n">
        <v>0.22</v>
      </c>
      <c r="F320" s="87" t="n">
        <v>2478.76</v>
      </c>
      <c r="G320" s="25" t="inlineStr">
        <is>
          <t>ศรีสยาม</t>
        </is>
      </c>
      <c r="H320" s="159" t="n">
        <v>24390</v>
      </c>
      <c r="I320" s="90" t="inlineStr">
        <is>
          <t>ลดแล้วเหลือ แกลลอนละ 414 บาท (1ลังมี6กล.) ราคาเต็ม ลังละ 2,970 บาท</t>
        </is>
      </c>
    </row>
    <row r="321" ht="18" customHeight="1">
      <c r="B321" s="86" t="inlineStr">
        <is>
          <t>น้ำยากันสนิมหม้อน้ำ ISUZU แท้ห้าง 3ลิตร (ไม่มีส่วนลด) SUPER LLC</t>
        </is>
      </c>
      <c r="C321" s="21" t="inlineStr">
        <is>
          <t>6กล.</t>
        </is>
      </c>
      <c r="D321" s="87" t="n">
        <v>495</v>
      </c>
      <c r="E321" s="93" t="n">
        <v>0.22</v>
      </c>
      <c r="F321" s="87" t="n">
        <v>2478.76</v>
      </c>
      <c r="G321" s="25" t="inlineStr">
        <is>
          <t>ศรีสยาม</t>
        </is>
      </c>
      <c r="H321" s="159" t="n">
        <v>24419</v>
      </c>
      <c r="I321" s="90" t="inlineStr">
        <is>
          <t>ลดแล้วเหลือ แกลลอนละ 414 บาท (1ลังมี6กล.) ราคาเต็ม ลังละ 2,970 บาท</t>
        </is>
      </c>
    </row>
    <row r="322" ht="18" customHeight="1">
      <c r="B322" s="86" t="inlineStr">
        <is>
          <t>น้ำยากันสนิมหม้อน้ำ ISUZU แท้ห้าง 3ลิตร (ไม่มีส่วนลด) SUPER LLC</t>
        </is>
      </c>
      <c r="C322" s="21" t="inlineStr">
        <is>
          <t>6กล.</t>
        </is>
      </c>
      <c r="D322" s="87" t="n">
        <v>495</v>
      </c>
      <c r="E322" s="93" t="n">
        <v>0.22</v>
      </c>
      <c r="F322" s="87" t="n">
        <v>2478.76</v>
      </c>
      <c r="G322" s="25" t="inlineStr">
        <is>
          <t>ศรีสยาม</t>
        </is>
      </c>
      <c r="H322" s="159" t="n">
        <v>24447</v>
      </c>
      <c r="I322" s="90" t="inlineStr">
        <is>
          <t>ลดแล้วเหลือ แกลลอนละ 414 บาท (1ลังมี6กล.) ราคาเต็ม ลังละ 2,970 บาท</t>
        </is>
      </c>
    </row>
    <row r="323" ht="18" customHeight="1">
      <c r="B323" s="86" t="inlineStr">
        <is>
          <t>น้ำยากันสนิมหม้อน้ำ ISUZU แท้ห้าง 3ลิตร (ไม่มีส่วนลด) SUPER LLC</t>
        </is>
      </c>
      <c r="C323" s="21" t="inlineStr">
        <is>
          <t>6กล.</t>
        </is>
      </c>
      <c r="D323" s="87" t="n">
        <v>495</v>
      </c>
      <c r="E323" s="93" t="n">
        <v>0.22</v>
      </c>
      <c r="F323" s="87" t="n">
        <v>2478.76</v>
      </c>
      <c r="G323" s="25" t="inlineStr">
        <is>
          <t>ศรีสยาม</t>
        </is>
      </c>
      <c r="H323" s="159" t="n">
        <v>24478</v>
      </c>
      <c r="I323" s="90" t="inlineStr">
        <is>
          <t>ลดแล้วเหลือ แกลลอนละ 414 บาท (1ลังมี6กล.) ราคาเต็ม ลังละ 2,970 บาท</t>
        </is>
      </c>
    </row>
    <row r="324" ht="18" customHeight="1">
      <c r="B324" s="86" t="inlineStr">
        <is>
          <t>น้ำยากันสนิมหม้อน้ำ ISUZU แท้ห้าง 3ลิตร (ไม่มีส่วนลด) SUPER LLC</t>
        </is>
      </c>
      <c r="C324" s="21" t="inlineStr">
        <is>
          <t>6กล.</t>
        </is>
      </c>
      <c r="D324" s="87" t="n">
        <v>495</v>
      </c>
      <c r="E324" s="93" t="n">
        <v>0.22</v>
      </c>
      <c r="F324" s="87" t="n">
        <v>2478.76</v>
      </c>
      <c r="G324" s="25" t="inlineStr">
        <is>
          <t>ศรีสยาม</t>
        </is>
      </c>
      <c r="H324" s="159" t="n">
        <v>24497</v>
      </c>
      <c r="I324" s="90" t="inlineStr">
        <is>
          <t>ลดแล้วเหลือ แกลลอนละ 414 บาท (1ลังมี6กล.) ราคาเต็ม ลังละ 2,970 บาท</t>
        </is>
      </c>
    </row>
    <row r="325" ht="18" customHeight="1">
      <c r="B325" s="86" t="inlineStr">
        <is>
          <t>น้ำยากันสนิมหม้อน้ำ ISUZU แท้ห้าง 3ลิตร (ไม่มีส่วนลด) SUPER LLC</t>
        </is>
      </c>
      <c r="C325" s="21" t="inlineStr">
        <is>
          <t>6กล.</t>
        </is>
      </c>
      <c r="D325" s="87" t="n">
        <v>495</v>
      </c>
      <c r="E325" s="93" t="n">
        <v>0.22</v>
      </c>
      <c r="F325" s="87" t="n">
        <v>2478.76</v>
      </c>
      <c r="G325" s="25" t="inlineStr">
        <is>
          <t>ศรีสยาม</t>
        </is>
      </c>
      <c r="H325" s="159" t="n">
        <v>24633</v>
      </c>
      <c r="I325" s="90" t="inlineStr">
        <is>
          <t>ลดแล้วเหลือ แกลลอนละ 414 บาท (1ลังมี6กล.) ราคาเต็ม ลังละ 2,970 บาท</t>
        </is>
      </c>
    </row>
    <row r="326" ht="18" customHeight="1">
      <c r="B326" s="96" t="inlineStr">
        <is>
          <t>น้ำยากันสนิมหม้อน้ำ ISUZU แท้ห้าง 3ลิตร (ลด22%)SUPER LLC1ลังมี6กล.</t>
        </is>
      </c>
      <c r="C326" s="21" t="n">
        <v>6</v>
      </c>
      <c r="D326" s="87" t="n">
        <v>495</v>
      </c>
      <c r="E326" s="97" t="n">
        <v>22</v>
      </c>
      <c r="F326" s="87">
        <f>SUM(D326*C326*0.78*107/100)</f>
        <v/>
      </c>
      <c r="G326" s="25" t="inlineStr">
        <is>
          <t>ศรีสยาม</t>
        </is>
      </c>
      <c r="H326" s="159" t="n">
        <v>24656</v>
      </c>
      <c r="I326" s="90" t="inlineStr">
        <is>
          <t>ลังละ6กล./ต้นทุนแกลลอนละ 386.10 บาท</t>
        </is>
      </c>
    </row>
    <row r="327" ht="18" customHeight="1">
      <c r="B327" s="96" t="inlineStr">
        <is>
          <t>น้ำยากันสนิมหม้อน้ำ ISUZU แท้ห้าง 3ลิตร (ลด22%)SUPER LLC1ลังมี6กล.</t>
        </is>
      </c>
      <c r="C327" s="21" t="n">
        <v>6</v>
      </c>
      <c r="D327" s="87" t="n">
        <v>495</v>
      </c>
      <c r="E327" s="97" t="n">
        <v>22</v>
      </c>
      <c r="F327" s="87">
        <f>SUM(D327*C327*0.78*107/100)</f>
        <v/>
      </c>
      <c r="G327" s="25" t="inlineStr">
        <is>
          <t>ศรีสยาม</t>
        </is>
      </c>
      <c r="H327" s="159" t="n">
        <v>24712</v>
      </c>
      <c r="I327" s="90" t="inlineStr">
        <is>
          <t>ลังละ6กล./ต้นทุนแกลลอนละ 386.10 บาท</t>
        </is>
      </c>
    </row>
    <row r="328" ht="18" customHeight="1">
      <c r="B328" s="96" t="inlineStr">
        <is>
          <t>น้ำยากันสนิมหม้อน้ำ ISUZU แท้ห้าง 3ลิตร (ลด22%)SUPER LLC1ลังมี6กล.</t>
        </is>
      </c>
      <c r="C328" s="21" t="n">
        <v>6</v>
      </c>
      <c r="D328" s="87" t="n">
        <v>495</v>
      </c>
      <c r="E328" s="97" t="n">
        <v>22</v>
      </c>
      <c r="F328" s="87">
        <f>SUM(D328*C328*0.78*107/100)</f>
        <v/>
      </c>
      <c r="G328" s="25" t="inlineStr">
        <is>
          <t>ศรีสยาม</t>
        </is>
      </c>
      <c r="H328" s="159" t="n">
        <v>24820</v>
      </c>
      <c r="I328" s="90" t="inlineStr">
        <is>
          <t>ลังละ6กล./ต้นทุนแกลลอนละ 386.10 บาท</t>
        </is>
      </c>
    </row>
    <row r="329" ht="18" customHeight="1">
      <c r="B329" s="96" t="inlineStr">
        <is>
          <t>น้ำยากันสนิมหม้อน้ำ ISUZU แท้ห้าง 3ลิตร (ลด22%)SUPER LLC1ลังมี6กล.</t>
        </is>
      </c>
      <c r="C329" s="21" t="n">
        <v>6</v>
      </c>
      <c r="D329" s="87" t="n">
        <v>495</v>
      </c>
      <c r="E329" s="97" t="n">
        <v>22</v>
      </c>
      <c r="F329" s="87">
        <f>SUM(D329*C329*0.78*107/100)</f>
        <v/>
      </c>
      <c r="G329" s="25" t="inlineStr">
        <is>
          <t>ศรีสยาม</t>
        </is>
      </c>
      <c r="H329" s="159" t="n">
        <v>24846</v>
      </c>
      <c r="I329" s="90" t="inlineStr">
        <is>
          <t>ลังละ6กล./ต้นทุนแกลลอนละ 529.65 บาท</t>
        </is>
      </c>
    </row>
    <row r="330" ht="18" customHeight="1">
      <c r="B330" s="96" t="inlineStr">
        <is>
          <t>น้ำยากันสนิมหม้อน้ำ ISUZU แท้ห้าง 3ลิตร (ลด22%)SUPER LLC1ลังมี6กล.</t>
        </is>
      </c>
      <c r="C330" s="21" t="n">
        <v>6</v>
      </c>
      <c r="D330" s="87" t="n">
        <v>495</v>
      </c>
      <c r="E330" s="97" t="n">
        <v>22</v>
      </c>
      <c r="F330" s="87">
        <f>SUM(D330*C330*0.78*107/100)</f>
        <v/>
      </c>
      <c r="G330" s="25" t="inlineStr">
        <is>
          <t>ศรีสยาม</t>
        </is>
      </c>
      <c r="H330" s="159" t="n">
        <v>24916</v>
      </c>
      <c r="I330" s="90" t="inlineStr">
        <is>
          <t>ลังละ6กล./ต้นทุนแกลลอนละ 529.65 บาท</t>
        </is>
      </c>
    </row>
    <row r="331" ht="18" customHeight="1">
      <c r="B331" s="96" t="inlineStr">
        <is>
          <t>น้ำยากันสนิมหม้อน้ำ ISUZU แท้ห้าง 3ลิตร (ลด22%)SUPER LLC1ลังมี6กล.</t>
        </is>
      </c>
      <c r="C331" s="21" t="n">
        <v>6</v>
      </c>
      <c r="D331" s="87" t="n">
        <v>495</v>
      </c>
      <c r="E331" s="97" t="n">
        <v>22</v>
      </c>
      <c r="F331" s="87">
        <f>SUM(D331*C331*0.78*107/100)</f>
        <v/>
      </c>
      <c r="G331" s="25" t="inlineStr">
        <is>
          <t>ศรีสยาม</t>
        </is>
      </c>
      <c r="H331" s="159" t="n">
        <v>24935</v>
      </c>
      <c r="I331" s="90" t="inlineStr">
        <is>
          <t>ลังละ6กล./ต้นทุนแกลลอนละ 529.65 บาท</t>
        </is>
      </c>
    </row>
    <row r="332" ht="18" customHeight="1">
      <c r="B332" s="96" t="inlineStr">
        <is>
          <t>น้ำยากันสนิมหม้อน้ำ ISUZU แท้ห้าง 3ลิตร (ลด22%)SUPER LLC1ลังมี6กล.</t>
        </is>
      </c>
      <c r="C332" s="21" t="n">
        <v>6</v>
      </c>
      <c r="D332" s="87" t="n">
        <v>495</v>
      </c>
      <c r="E332" s="97" t="n">
        <v>22</v>
      </c>
      <c r="F332" s="87">
        <f>SUM(D332*C332*0.78*107/100)</f>
        <v/>
      </c>
      <c r="G332" s="25" t="inlineStr">
        <is>
          <t>ศรีสยาม</t>
        </is>
      </c>
      <c r="H332" s="159" t="n">
        <v>24978</v>
      </c>
      <c r="I332" s="90" t="inlineStr">
        <is>
          <t>ลังละ6กล./ต้นทุนแกลลอนละ 529.65 บาท</t>
        </is>
      </c>
    </row>
    <row r="333" ht="18" customHeight="1">
      <c r="B333" s="96" t="inlineStr">
        <is>
          <t>น้ำยากันสนิมหม้อน้ำ ISUZU แท้ห้าง 3ลิตร (ลด22%)SUPER LLC1ลังมี6กล.</t>
        </is>
      </c>
      <c r="C333" s="21" t="n">
        <v>6</v>
      </c>
      <c r="D333" s="87" t="n">
        <v>495</v>
      </c>
      <c r="E333" s="97" t="n">
        <v>22</v>
      </c>
      <c r="F333" s="87">
        <f>SUM(D333*C333*0.78*107/100)</f>
        <v/>
      </c>
      <c r="G333" s="25" t="inlineStr">
        <is>
          <t>ศรีสยาม</t>
        </is>
      </c>
      <c r="H333" s="159" t="n">
        <v>25013</v>
      </c>
      <c r="I333" s="90" t="inlineStr">
        <is>
          <t>ลังละ6กล./ต้นทุนแกลลอนละ 529.65 บาท</t>
        </is>
      </c>
    </row>
    <row r="334" ht="18" customHeight="1">
      <c r="B334" s="96" t="inlineStr">
        <is>
          <t>น้ำยากันสนิมหม้อน้ำ ISUZU แท้ห้าง 3ลิตร (ลด22%)SUPER LLC1ลังมี6กล.</t>
        </is>
      </c>
      <c r="C334" s="21" t="n">
        <v>6</v>
      </c>
      <c r="D334" s="87" t="n">
        <v>495</v>
      </c>
      <c r="E334" s="97" t="n">
        <v>22</v>
      </c>
      <c r="F334" s="87">
        <f>SUM(D334*C334*0.78*107/100)</f>
        <v/>
      </c>
      <c r="G334" s="25" t="inlineStr">
        <is>
          <t>ศรีสยาม</t>
        </is>
      </c>
      <c r="H334" s="159" t="n">
        <v>25040</v>
      </c>
      <c r="I334" s="90" t="inlineStr">
        <is>
          <t>ลังละ6กล./ต้นทุนแกลลอนละ 529.65 บาท</t>
        </is>
      </c>
    </row>
    <row r="335" ht="18" customHeight="1">
      <c r="B335" s="96" t="inlineStr">
        <is>
          <t>น้ำยากันสนิมหม้อน้ำ ISUZU แท้ห้าง 3ลิตร (ลด22%)SUPER LLC1ลังมี6กล.</t>
        </is>
      </c>
      <c r="C335" s="21" t="n">
        <v>6</v>
      </c>
      <c r="D335" s="87" t="n">
        <v>495</v>
      </c>
      <c r="E335" s="97" t="n">
        <v>22</v>
      </c>
      <c r="F335" s="87">
        <f>SUM(D335*C335*0.78*107/100)</f>
        <v/>
      </c>
      <c r="G335" s="25" t="inlineStr">
        <is>
          <t>ศรีสยาม</t>
        </is>
      </c>
      <c r="H335" s="159" t="n">
        <v>25064</v>
      </c>
      <c r="I335" s="90" t="inlineStr">
        <is>
          <t>ลังละ6กล./ต้นทุนแกลลอนละ 529.65 บาท</t>
        </is>
      </c>
    </row>
    <row r="336" ht="18" customHeight="1">
      <c r="B336" s="96" t="inlineStr">
        <is>
          <t>น้ำยากันสนิมหม้อน้ำ ISUZU แท้ห้าง 3ลิตร (ลด22%)SUPER LLC1ลังมี6กล.</t>
        </is>
      </c>
      <c r="C336" s="21" t="n">
        <v>6</v>
      </c>
      <c r="D336" s="87" t="n">
        <v>495</v>
      </c>
      <c r="E336" s="97" t="n">
        <v>22</v>
      </c>
      <c r="F336" s="87">
        <f>SUM(D336*C336*0.78*107/100)</f>
        <v/>
      </c>
      <c r="G336" s="25" t="inlineStr">
        <is>
          <t>ศรีสยาม</t>
        </is>
      </c>
      <c r="H336" s="159" t="n">
        <v>25149</v>
      </c>
      <c r="I336" s="90" t="inlineStr">
        <is>
          <t>ลังละ6กล./ต้นทุนแกลลอนละ 529.65 บาท</t>
        </is>
      </c>
    </row>
    <row r="337" ht="18" customHeight="1">
      <c r="B337" s="96" t="inlineStr">
        <is>
          <t>น้ำยากันสนิมหม้อน้ำ ISUZU แท้ห้าง 3ลิตร (ลด22%)SUPER LLC1ลังมี6กล.</t>
        </is>
      </c>
      <c r="C337" s="21" t="n">
        <v>6</v>
      </c>
      <c r="D337" s="87" t="n">
        <v>495</v>
      </c>
      <c r="E337" s="97" t="n">
        <v>22</v>
      </c>
      <c r="F337" s="87">
        <f>SUM(D337*C337*0.78*107/100)</f>
        <v/>
      </c>
      <c r="G337" s="25" t="inlineStr">
        <is>
          <t>ศรีสยาม</t>
        </is>
      </c>
      <c r="H337" s="159" t="n">
        <v>25190</v>
      </c>
      <c r="I337" s="90" t="inlineStr">
        <is>
          <t>ลังละ6กล./ต้นทุนแกลลอนละ 529.65 บาท</t>
        </is>
      </c>
    </row>
    <row r="338" ht="18" customHeight="1">
      <c r="B338" s="96" t="inlineStr">
        <is>
          <t>น้ำยากันสนิมหม้อน้ำ ISUZU แท้ห้าง 3ลิตร (ลด22%)SUPER LLC1ลังมี6กล.</t>
        </is>
      </c>
      <c r="C338" s="21" t="n">
        <v>6</v>
      </c>
      <c r="D338" s="87" t="n">
        <v>495</v>
      </c>
      <c r="E338" s="97" t="n">
        <v>22</v>
      </c>
      <c r="F338" s="87">
        <f>SUM(D338*C338*0.78*107/100)</f>
        <v/>
      </c>
      <c r="G338" s="25" t="inlineStr">
        <is>
          <t>ศรีสยาม</t>
        </is>
      </c>
      <c r="H338" s="159" t="n">
        <v>25217</v>
      </c>
      <c r="I338" s="90" t="inlineStr">
        <is>
          <t>ลังละ6กล./ต้นทุนแกลลอนละ 529.65 บาท</t>
        </is>
      </c>
    </row>
    <row r="340" ht="18" customHeight="1">
      <c r="A340" s="85" t="inlineStr">
        <is>
          <t>น้ำยาแอร์</t>
        </is>
      </c>
      <c r="B340" s="86" t="inlineStr">
        <is>
          <t xml:space="preserve">น้ำยาแอร์ Honey Cool R134A  ขนาดถังละ 13.6 โล  </t>
        </is>
      </c>
      <c r="C340" s="21" t="inlineStr">
        <is>
          <t>5ถัง</t>
        </is>
      </c>
      <c r="D340" s="87" t="n">
        <v>1500</v>
      </c>
      <c r="F340" s="87" t="n">
        <v>7500</v>
      </c>
      <c r="G340" s="25" t="inlineStr">
        <is>
          <t>ร้านบางไผ่</t>
        </is>
      </c>
      <c r="H340" s="159" t="n">
        <v>23390</v>
      </c>
      <c r="I340" s="90" t="inlineStr">
        <is>
          <t>โปรโมชั่น 5ถัง ในราคาถังละ 1,500 บาท</t>
        </is>
      </c>
    </row>
    <row r="341" ht="18" customHeight="1">
      <c r="B341" s="86" t="inlineStr">
        <is>
          <t xml:space="preserve">น้ำยาแอร์ Entalpia R134A / ร้านบางไผ่   ขนาดถังละ 13.6 โล    </t>
        </is>
      </c>
      <c r="C341" s="21" t="inlineStr">
        <is>
          <t>3ถัง</t>
        </is>
      </c>
      <c r="D341" s="87" t="n">
        <v>3000</v>
      </c>
      <c r="F341" s="87" t="n">
        <v>9000</v>
      </c>
      <c r="G341" s="25" t="inlineStr">
        <is>
          <t>ร้านบางไผ่</t>
        </is>
      </c>
      <c r="H341" s="159" t="n">
        <v>23781</v>
      </c>
      <c r="I341" s="21" t="inlineStr">
        <is>
          <t>ต้นทุนประมาณ 231บาท/กิโล</t>
        </is>
      </c>
    </row>
    <row r="342" ht="18" customHeight="1">
      <c r="B342" s="98" t="inlineStr">
        <is>
          <t>**รถกระบะ ถ้าแว็กน้ำยาใหม่ใช้ประมาณ 700กรัม</t>
        </is>
      </c>
    </row>
    <row r="343" ht="18" customHeight="1">
      <c r="B343" s="86" t="inlineStr">
        <is>
          <t xml:space="preserve">น้ำยาแอร์ Entalpia R134A / ร้านบางไผ่   ขนาดถังละ 13.6 โล    </t>
        </is>
      </c>
      <c r="C343" s="21" t="inlineStr">
        <is>
          <t>2ถัง</t>
        </is>
      </c>
      <c r="D343" s="87" t="n">
        <v>2650</v>
      </c>
      <c r="F343" s="87" t="n">
        <v>5300</v>
      </c>
      <c r="G343" s="25" t="inlineStr">
        <is>
          <t>ร้านบางไผ่</t>
        </is>
      </c>
      <c r="H343" s="159" t="n">
        <v>23853</v>
      </c>
    </row>
    <row r="344" ht="18" customHeight="1">
      <c r="B344" s="86" t="inlineStr">
        <is>
          <t xml:space="preserve">น้ำยาแอร์ Entalpia R134A / ร้านบางไผ่   ขนาดถังละ 13.6 โล    </t>
        </is>
      </c>
      <c r="C344" s="21" t="inlineStr">
        <is>
          <t>3ถัง</t>
        </is>
      </c>
      <c r="D344" s="87" t="n">
        <v>2300</v>
      </c>
      <c r="F344" s="87" t="n">
        <v>6900</v>
      </c>
      <c r="G344" s="25" t="inlineStr">
        <is>
          <t>ร้านบางไผ่</t>
        </is>
      </c>
      <c r="H344" s="159" t="n">
        <v>23955</v>
      </c>
    </row>
    <row r="345" ht="18" customHeight="1">
      <c r="B345" s="86" t="inlineStr">
        <is>
          <t xml:space="preserve">น้ำยาแอร์ Entalpia R134A / ร้านบางไผ่   ขนาดถังละ 13.6 โล    </t>
        </is>
      </c>
      <c r="C345" s="21" t="inlineStr">
        <is>
          <t>3ถัง</t>
        </is>
      </c>
      <c r="D345" s="87" t="n">
        <v>2150</v>
      </c>
      <c r="F345" s="87" t="n">
        <v>6450</v>
      </c>
      <c r="G345" s="25" t="inlineStr">
        <is>
          <t>ร้านบางไผ่</t>
        </is>
      </c>
      <c r="H345" s="159" t="n">
        <v>24296</v>
      </c>
    </row>
    <row r="346" ht="18" customHeight="1">
      <c r="B346" s="86" t="inlineStr">
        <is>
          <t xml:space="preserve">น้ำยาแอร์ Entalpia R134A / ร้านบางไผ่   ขนาดถังละ 13.6 โล    </t>
        </is>
      </c>
      <c r="C346" s="21" t="inlineStr">
        <is>
          <t>2ถัง</t>
        </is>
      </c>
      <c r="D346" s="87" t="n">
        <v>1900</v>
      </c>
      <c r="F346" s="87" t="n">
        <v>3800</v>
      </c>
      <c r="G346" s="25" t="inlineStr">
        <is>
          <t>ร้านบางไผ่</t>
        </is>
      </c>
      <c r="H346" s="159" t="n">
        <v>24363</v>
      </c>
    </row>
    <row r="347" ht="18" customHeight="1">
      <c r="B347" s="86" t="inlineStr">
        <is>
          <t xml:space="preserve">น้ำยาแอร์ Entalpia R134A / ร้านบางไผ่   ขนาดถังละ 13.6 โล    </t>
        </is>
      </c>
      <c r="C347" s="21" t="inlineStr">
        <is>
          <t>2ถัง</t>
        </is>
      </c>
      <c r="D347" s="87" t="n">
        <v>2300</v>
      </c>
      <c r="F347" s="87" t="n">
        <v>4600</v>
      </c>
      <c r="G347" s="25" t="inlineStr">
        <is>
          <t>ร้านบางไผ่</t>
        </is>
      </c>
      <c r="H347" s="159" t="n">
        <v>24553</v>
      </c>
    </row>
    <row r="348" ht="18" customFormat="1" customHeight="1" s="98">
      <c r="A348" s="92" t="n"/>
      <c r="B348" s="98" t="inlineStr">
        <is>
          <t xml:space="preserve"> ** เมื่อ 2/8/67 เช็คไปที่ร้านบางไผ่ แจ้งว่า น้ำยาแอร์ Entalpia ปรับราคาขึ้นและเค้าไม่ได้เอามาแล้ว (มีแต่ไซด์1โล=1,000 บาท) ถ้าจะมีก็คือเกรดเดียวกันคือ ยี่ห้อ JH R134A ขนาดถังละ 13.6 โล (2ถัง) 2,650 บาท กับ เกรดดีของญี่ปุ่นยี่ห้อ มูซากิ ถังละ 2,850 บาท (ตอนนี้เหลือ1ถัง เลยยังไม่สต๊อคของ รอให้เบิกไปก่อน แล้วค่อยสั่งเพิ่มอีกที เผื่อของจะมีมา)</t>
        </is>
      </c>
      <c r="C348" s="92" t="n"/>
      <c r="D348" s="99" t="n"/>
      <c r="E348" s="92" t="n"/>
      <c r="F348" s="99" t="n"/>
      <c r="G348" s="100" t="n"/>
      <c r="H348" s="168" t="n"/>
      <c r="I348" s="92" t="n"/>
    </row>
    <row r="349" ht="18" customHeight="1">
      <c r="B349" s="86" t="inlineStr">
        <is>
          <t xml:space="preserve">น้ำยาแอร์ JH R134A / ร้านบางไผ่   ขนาดถังละ 13.6 โล    </t>
        </is>
      </c>
      <c r="C349" s="21" t="n">
        <v>2</v>
      </c>
      <c r="D349" s="87" t="n">
        <v>2500</v>
      </c>
      <c r="F349" s="87">
        <f>SUM(D349*C349)</f>
        <v/>
      </c>
      <c r="G349" s="25" t="inlineStr">
        <is>
          <t>ร้านบางไผ่</t>
        </is>
      </c>
      <c r="H349" s="159" t="n">
        <v>24755</v>
      </c>
    </row>
    <row r="350" ht="18" customHeight="1">
      <c r="B350" s="86" t="inlineStr">
        <is>
          <t xml:space="preserve">น้ำยาแอร์ JH R134A / ร้านบางไผ่   ขนาดถังละ 13.6 โล    </t>
        </is>
      </c>
      <c r="C350" s="21" t="n">
        <v>2</v>
      </c>
      <c r="D350" s="87" t="n">
        <v>2600</v>
      </c>
      <c r="F350" s="87">
        <f>SUM(D350*C350)</f>
        <v/>
      </c>
      <c r="G350" s="25" t="inlineStr">
        <is>
          <t>ร้านบางไผ่</t>
        </is>
      </c>
      <c r="H350" s="159" t="n">
        <v>24809</v>
      </c>
    </row>
    <row r="351" ht="18" customHeight="1">
      <c r="B351" s="86" t="inlineStr">
        <is>
          <t xml:space="preserve">น้ำยาแอร์ Entalpia R134A / ร้านบางไผ่   ขนาดถังละ 13.6 โล    </t>
        </is>
      </c>
      <c r="C351" s="21" t="n">
        <v>2</v>
      </c>
      <c r="D351" s="87" t="n">
        <v>3000</v>
      </c>
      <c r="F351" s="87">
        <f>SUM(D351*C351)</f>
        <v/>
      </c>
      <c r="G351" s="25" t="inlineStr">
        <is>
          <t>ร้านบางไผ่</t>
        </is>
      </c>
      <c r="H351" s="159" t="n">
        <v>24914</v>
      </c>
    </row>
    <row r="352" ht="18" customHeight="1">
      <c r="B352" s="86" t="inlineStr">
        <is>
          <t xml:space="preserve">น้ำยาแอร์ iGAS R134A / ร้านบางไผ่   ขนาดถังละ 13.6 โล    </t>
        </is>
      </c>
      <c r="C352" s="21" t="n">
        <v>2</v>
      </c>
      <c r="D352" s="87" t="n">
        <v>3400</v>
      </c>
      <c r="F352" s="87">
        <f>SUM(D352*C352)</f>
        <v/>
      </c>
      <c r="G352" s="25" t="inlineStr">
        <is>
          <t>ร้านบางไผ่</t>
        </is>
      </c>
      <c r="H352" s="159" t="n">
        <v>25051</v>
      </c>
    </row>
    <row r="353" ht="18" customFormat="1" customHeight="1" s="98">
      <c r="A353" s="92" t="n"/>
      <c r="B353" s="98" t="inlineStr">
        <is>
          <t xml:space="preserve"> ** เมื่อ 10/2/69 ยี่ห้อ iGAS ปรับราคาขึ้นเป็น 3,850 บาท (โลละ 296.15 บาท) </t>
        </is>
      </c>
      <c r="C353" s="92" t="n"/>
      <c r="D353" s="99" t="n"/>
      <c r="E353" s="92" t="n"/>
      <c r="F353" s="99" t="n"/>
      <c r="G353" s="100" t="n"/>
      <c r="H353" s="168" t="n"/>
      <c r="I353" s="92" t="n"/>
    </row>
    <row r="354" ht="18" customHeight="1">
      <c r="B354" s="86" t="inlineStr">
        <is>
          <t xml:space="preserve">น้ำยาแอร์ iGAS R134A / ร้านบางไผ่   ขนาดถังละ 13.6 โล    </t>
        </is>
      </c>
      <c r="C354" s="21" t="n">
        <v>3</v>
      </c>
      <c r="D354" s="87" t="n">
        <v>3850</v>
      </c>
      <c r="F354" s="87">
        <f>SUM(D354*C354)</f>
        <v/>
      </c>
      <c r="G354" s="25" t="inlineStr">
        <is>
          <t>ร้านบางไผ่</t>
        </is>
      </c>
      <c r="H354" s="159" t="n">
        <v>25244</v>
      </c>
    </row>
    <row r="356" ht="18" customHeight="1">
      <c r="A356" s="85" t="inlineStr">
        <is>
          <t>น้ำยาเช็ดกระจก</t>
        </is>
      </c>
      <c r="B356" s="86" t="inlineStr">
        <is>
          <t>น้ำยาเช็ดกระจก ยี่ห้อ Kassa Home 5200มล.</t>
        </is>
      </c>
      <c r="C356" s="21" t="n">
        <v>1</v>
      </c>
      <c r="D356" s="87" t="n">
        <v>158</v>
      </c>
      <c r="F356" s="87">
        <f>SUM(D356*C356)</f>
        <v/>
      </c>
      <c r="G356" s="25" t="inlineStr">
        <is>
          <t>ไทวัสดุ</t>
        </is>
      </c>
      <c r="H356" s="159" t="n">
        <v>24950</v>
      </c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I22" sqref="I22"/>
    </sheetView>
  </sheetViews>
  <sheetFormatPr baseColWidth="8" defaultColWidth="8.59765625" defaultRowHeight="21"/>
  <cols>
    <col width="12.59765625" customWidth="1" style="8" min="1" max="1"/>
    <col width="43.59765625" customWidth="1" style="6" min="2" max="2"/>
    <col width="6.69921875" customWidth="1" style="8" min="3" max="3"/>
    <col width="8.59765625" customWidth="1" style="9" min="4" max="4"/>
    <col width="6.796875" customWidth="1" style="8" min="5" max="5"/>
    <col width="11.19921875" customWidth="1" style="9" min="6" max="6"/>
    <col width="9.3984375" customWidth="1" style="10" min="7" max="7"/>
    <col width="8.59765625" customWidth="1" style="161" min="8" max="8"/>
    <col width="21.796875" customWidth="1" style="8" min="9" max="9"/>
    <col width="8.59765625" customWidth="1" style="1" min="10" max="16384"/>
  </cols>
  <sheetData>
    <row r="1" ht="21" customFormat="1" customHeight="1" s="2">
      <c r="A1" s="162" t="inlineStr">
        <is>
          <t>ประเภท</t>
        </is>
      </c>
      <c r="B1" s="162" t="inlineStr">
        <is>
          <t>รายการ</t>
        </is>
      </c>
      <c r="C1" s="162" t="inlineStr">
        <is>
          <t>จำนวน</t>
        </is>
      </c>
      <c r="D1" s="163" t="inlineStr">
        <is>
          <t>ราคา/ชิ้น</t>
        </is>
      </c>
      <c r="E1" s="162" t="inlineStr">
        <is>
          <t>ส่วนลด%</t>
        </is>
      </c>
      <c r="F1" s="163" t="inlineStr">
        <is>
          <t>รวมจำนวนเงิน</t>
        </is>
      </c>
      <c r="G1" s="163" t="inlineStr">
        <is>
          <t>ชื่อร้าน</t>
        </is>
      </c>
      <c r="H1" s="164" t="inlineStr">
        <is>
          <t>ว/ด/ป</t>
        </is>
      </c>
      <c r="I1" s="162" t="inlineStr">
        <is>
          <t>หมายเหตุ</t>
        </is>
      </c>
      <c r="J1" s="162" t="inlineStr">
        <is>
          <t>(ราคาที่ระบุคือ ราคาก่อน VAT)</t>
        </is>
      </c>
    </row>
    <row r="2">
      <c r="A2" s="11" t="inlineStr">
        <is>
          <t>หลอดเสียบเล็ก</t>
        </is>
      </c>
      <c r="B2" s="6" t="inlineStr">
        <is>
          <t>สีขาว 1 ไส้</t>
        </is>
      </c>
      <c r="C2" s="8" t="n">
        <v>10</v>
      </c>
      <c r="D2" s="9" t="n">
        <v>30</v>
      </c>
      <c r="F2" s="9" t="n">
        <v>300</v>
      </c>
      <c r="G2" s="10" t="inlineStr">
        <is>
          <t>ต้นคิด</t>
        </is>
      </c>
      <c r="H2" s="161" t="n">
        <v>22592</v>
      </c>
    </row>
    <row r="3">
      <c r="B3" s="6" t="inlineStr">
        <is>
          <t>สีขาว 1 ไส้</t>
        </is>
      </c>
      <c r="C3" s="8" t="n">
        <v>100</v>
      </c>
      <c r="D3" s="9" t="n">
        <v>3.5</v>
      </c>
      <c r="F3" s="9">
        <f>SUM(C3*D3)</f>
        <v/>
      </c>
      <c r="G3" s="10" t="inlineStr">
        <is>
          <t>ต้นคิด</t>
        </is>
      </c>
      <c r="H3" s="161" t="n">
        <v>24190</v>
      </c>
    </row>
    <row r="4">
      <c r="B4" s="6" t="inlineStr">
        <is>
          <t>สีขาว 1 ไส้</t>
        </is>
      </c>
      <c r="C4" s="8" t="n">
        <v>100</v>
      </c>
      <c r="D4" s="9" t="n">
        <v>3.5</v>
      </c>
      <c r="F4" s="9">
        <f>SUM(C4*D4)</f>
        <v/>
      </c>
      <c r="G4" s="10" t="inlineStr">
        <is>
          <t>ต้นคิด</t>
        </is>
      </c>
      <c r="H4" s="161" t="n">
        <v>24707</v>
      </c>
    </row>
    <row r="6">
      <c r="B6" s="6" t="inlineStr">
        <is>
          <t>สีขาว 2 ไส้</t>
        </is>
      </c>
      <c r="C6" s="8" t="n">
        <v>10</v>
      </c>
      <c r="D6" s="9" t="n">
        <v>30</v>
      </c>
      <c r="F6" s="9" t="n">
        <v>300</v>
      </c>
      <c r="G6" s="10" t="inlineStr">
        <is>
          <t>ต้นคิด</t>
        </is>
      </c>
      <c r="H6" s="161" t="n">
        <v>22592</v>
      </c>
    </row>
    <row r="8">
      <c r="B8" s="6" t="inlineStr">
        <is>
          <t>สีขาว 2 ไส้ / T20 (12V 21/5W Eagleye)</t>
        </is>
      </c>
      <c r="C8" s="8" t="inlineStr">
        <is>
          <t>5หลอด</t>
        </is>
      </c>
      <c r="D8" s="9" t="n">
        <v>32</v>
      </c>
      <c r="F8" s="9" t="n">
        <v>160</v>
      </c>
      <c r="G8" s="10" t="inlineStr">
        <is>
          <t>ศรีสยาม</t>
        </is>
      </c>
      <c r="H8" s="161" t="n">
        <v>22868</v>
      </c>
    </row>
    <row r="10">
      <c r="B10" s="6" t="inlineStr">
        <is>
          <t>สีส้ม 1 ไส้</t>
        </is>
      </c>
      <c r="C10" s="8" t="n">
        <v>10</v>
      </c>
      <c r="D10" s="9" t="n">
        <v>30</v>
      </c>
      <c r="F10" s="9" t="n">
        <v>300</v>
      </c>
      <c r="G10" s="10" t="inlineStr">
        <is>
          <t>ต้นคิด</t>
        </is>
      </c>
      <c r="H10" s="161" t="n">
        <v>22871</v>
      </c>
    </row>
    <row r="12">
      <c r="B12" s="6" t="inlineStr">
        <is>
          <t>สีส้ม 2 ไส้</t>
        </is>
      </c>
      <c r="C12" s="8" t="inlineStr">
        <is>
          <t>10หลอด</t>
        </is>
      </c>
      <c r="D12" s="9" t="n">
        <v>35</v>
      </c>
      <c r="F12" s="9" t="n">
        <v>350</v>
      </c>
      <c r="G12" s="10" t="inlineStr">
        <is>
          <t>ต้นคิด</t>
        </is>
      </c>
      <c r="H12" s="161" t="n">
        <v>22592</v>
      </c>
    </row>
    <row r="13">
      <c r="B13" s="6" t="inlineStr">
        <is>
          <t>สีส้ม 2 ไส้</t>
        </is>
      </c>
      <c r="C13" s="8" t="inlineStr">
        <is>
          <t>10หลอด</t>
        </is>
      </c>
      <c r="D13" s="9" t="n">
        <v>30</v>
      </c>
      <c r="F13" s="9" t="n">
        <v>300</v>
      </c>
      <c r="G13" s="10" t="inlineStr">
        <is>
          <t>ต้นคิด</t>
        </is>
      </c>
      <c r="H13" s="161" t="n">
        <v>22871</v>
      </c>
    </row>
    <row r="15">
      <c r="A15" s="11" t="inlineStr">
        <is>
          <t>หลอดเสียบใหญ่</t>
        </is>
      </c>
      <c r="B15" s="6" t="inlineStr">
        <is>
          <t>สีขาว 2 ไส้ / หลอดใหญ่</t>
        </is>
      </c>
      <c r="C15" s="8" t="inlineStr">
        <is>
          <t>10หลอด</t>
        </is>
      </c>
      <c r="D15" s="9" t="n">
        <v>30</v>
      </c>
      <c r="F15" s="9" t="n">
        <v>300</v>
      </c>
      <c r="G15" s="10" t="inlineStr">
        <is>
          <t>ต้นคิด</t>
        </is>
      </c>
      <c r="H15" s="161" t="n">
        <v>22871</v>
      </c>
    </row>
    <row r="16">
      <c r="B16" s="6" t="inlineStr">
        <is>
          <t>สีขาว 2 ไส้ / หลอดใหญ่</t>
        </is>
      </c>
      <c r="C16" s="8" t="inlineStr">
        <is>
          <t>10หลอด</t>
        </is>
      </c>
      <c r="D16" s="9" t="n">
        <v>30</v>
      </c>
      <c r="F16" s="9" t="n">
        <v>300</v>
      </c>
      <c r="G16" s="10" t="inlineStr">
        <is>
          <t>ต้นคิด</t>
        </is>
      </c>
      <c r="H16" s="161" t="n">
        <v>24095</v>
      </c>
    </row>
    <row r="17">
      <c r="B17" s="6" t="inlineStr">
        <is>
          <t>สีขาว 2 ไส้ / หลอดใหญ่</t>
        </is>
      </c>
      <c r="C17" s="8" t="n">
        <v>20</v>
      </c>
      <c r="D17" s="9" t="n">
        <v>23.35</v>
      </c>
      <c r="F17" s="9">
        <f>SUM(D17*C17)</f>
        <v/>
      </c>
      <c r="G17" s="10" t="inlineStr">
        <is>
          <t>Shopee</t>
        </is>
      </c>
      <c r="H17" s="161" t="n">
        <v>25100</v>
      </c>
    </row>
    <row r="19">
      <c r="B19" s="6" t="inlineStr">
        <is>
          <t>สีขาว1ไส้ / หลอดใหญ่</t>
        </is>
      </c>
      <c r="C19" s="8" t="n">
        <v>20</v>
      </c>
      <c r="D19" s="9" t="n">
        <v>30</v>
      </c>
      <c r="F19" s="9">
        <f>SUM(D19*C19)</f>
        <v/>
      </c>
      <c r="G19" s="10" t="inlineStr">
        <is>
          <t>ต้นคิด</t>
        </is>
      </c>
      <c r="H19" s="161" t="n">
        <v>24170</v>
      </c>
    </row>
    <row r="21">
      <c r="B21" s="6" t="inlineStr">
        <is>
          <t>สีส้ม 1 ไส้ / หลอดใหญ่</t>
        </is>
      </c>
      <c r="C21" s="8" t="inlineStr">
        <is>
          <t>10หลอด</t>
        </is>
      </c>
      <c r="D21" s="9" t="n">
        <v>35</v>
      </c>
      <c r="F21" s="9" t="n">
        <v>350</v>
      </c>
      <c r="G21" s="10" t="inlineStr">
        <is>
          <t>ต้นคิด</t>
        </is>
      </c>
      <c r="H21" s="161" t="n">
        <v>24095</v>
      </c>
    </row>
    <row r="23">
      <c r="B23" s="6" t="inlineStr">
        <is>
          <t>สีส้ม 2 ไส้ / หลอดใหญ่</t>
        </is>
      </c>
      <c r="C23" s="8" t="inlineStr">
        <is>
          <t>10หลอด</t>
        </is>
      </c>
      <c r="D23" s="9" t="n">
        <v>35</v>
      </c>
      <c r="F23" s="9" t="n">
        <v>35</v>
      </c>
      <c r="G23" s="10" t="inlineStr">
        <is>
          <t>ต้นคิด</t>
        </is>
      </c>
      <c r="H23" s="161" t="n">
        <v>24095</v>
      </c>
    </row>
    <row r="25">
      <c r="A25" s="11" t="inlineStr">
        <is>
          <t>หลอดไฟหน้า</t>
        </is>
      </c>
      <c r="B25" s="6" t="inlineStr">
        <is>
          <t>H4</t>
        </is>
      </c>
      <c r="C25" s="8" t="inlineStr">
        <is>
          <t>10หลอด</t>
        </is>
      </c>
      <c r="D25" s="9" t="n">
        <v>70</v>
      </c>
      <c r="F25" s="9" t="n">
        <v>700</v>
      </c>
      <c r="G25" s="10" t="inlineStr">
        <is>
          <t>ต้นคิด</t>
        </is>
      </c>
      <c r="H25" s="161" t="n">
        <v>22592</v>
      </c>
    </row>
    <row r="26">
      <c r="A26" s="29" t="inlineStr">
        <is>
          <t>เก็บเงิน 300 บาท</t>
        </is>
      </c>
      <c r="B26" s="6" t="inlineStr">
        <is>
          <t>H4</t>
        </is>
      </c>
      <c r="C26" s="8" t="n">
        <v>10</v>
      </c>
      <c r="D26" s="9" t="n">
        <v>70</v>
      </c>
      <c r="F26" s="9">
        <f>SUM(D26*C26)</f>
        <v/>
      </c>
      <c r="G26" s="10" t="inlineStr">
        <is>
          <t>ต้นคิด</t>
        </is>
      </c>
      <c r="H26" s="161" t="n">
        <v>24170</v>
      </c>
    </row>
    <row r="27">
      <c r="B27" s="6" t="inlineStr">
        <is>
          <t>H4</t>
        </is>
      </c>
      <c r="C27" s="8" t="n">
        <v>20</v>
      </c>
      <c r="D27" s="9" t="n">
        <v>70</v>
      </c>
      <c r="F27" s="9">
        <f>SUM(D27*C27)</f>
        <v/>
      </c>
      <c r="G27" s="10" t="inlineStr">
        <is>
          <t>ต้นคิด</t>
        </is>
      </c>
      <c r="H27" s="161" t="n">
        <v>24600</v>
      </c>
    </row>
    <row r="29">
      <c r="B29" s="6" t="inlineStr">
        <is>
          <t>H7</t>
        </is>
      </c>
      <c r="C29" s="8" t="inlineStr">
        <is>
          <t>10หลอด</t>
        </is>
      </c>
      <c r="D29" s="9" t="n">
        <v>90</v>
      </c>
      <c r="F29" s="9" t="n">
        <v>900</v>
      </c>
      <c r="G29" s="10" t="inlineStr">
        <is>
          <t>ต้นคิด</t>
        </is>
      </c>
      <c r="H29" s="161" t="n">
        <v>22592</v>
      </c>
    </row>
    <row r="31">
      <c r="A31" s="11" t="inlineStr">
        <is>
          <t>หลอดไฟตัดหมอก</t>
        </is>
      </c>
      <c r="B31" s="6" t="inlineStr">
        <is>
          <t>H11 -- ใส่ไฟตัดหมอก ฟอร์จูนเนอร์ โฉมแชมป์</t>
        </is>
      </c>
      <c r="C31" s="8" t="n">
        <v>10</v>
      </c>
      <c r="D31" s="9" t="n">
        <v>120</v>
      </c>
      <c r="F31" s="9" t="n">
        <v>1200</v>
      </c>
      <c r="G31" s="10" t="inlineStr">
        <is>
          <t>ต้นคิด</t>
        </is>
      </c>
      <c r="H31" s="161" t="n">
        <v>22592</v>
      </c>
    </row>
    <row r="32">
      <c r="B32" s="6" t="inlineStr">
        <is>
          <t>H11 -- ใส่ไฟตัดหมอก ฟอร์จูนเนอร์ โฉมแชมป์</t>
        </is>
      </c>
      <c r="C32" s="8" t="n">
        <v>20</v>
      </c>
      <c r="D32" s="9" t="n">
        <v>120</v>
      </c>
      <c r="F32" s="9">
        <f>SUM(C32*D32)</f>
        <v/>
      </c>
      <c r="G32" s="10" t="inlineStr">
        <is>
          <t>ต้นคิด</t>
        </is>
      </c>
      <c r="H32" s="161" t="n">
        <v>24198</v>
      </c>
    </row>
    <row r="34">
      <c r="B34" s="6" t="inlineStr">
        <is>
          <t>HB4 -- ใส่ไฟตัดหมอก ฟอร์จูนเนอร์ โฉมแชมป์</t>
        </is>
      </c>
    </row>
    <row r="36">
      <c r="B36" s="6" t="inlineStr">
        <is>
          <t>H16</t>
        </is>
      </c>
      <c r="C36" s="8" t="n">
        <v>20</v>
      </c>
      <c r="D36" s="9" t="n">
        <v>120</v>
      </c>
      <c r="F36" s="9">
        <f>SUM(D36*C36)</f>
        <v/>
      </c>
      <c r="G36" s="10" t="inlineStr">
        <is>
          <t>ต้นคิด</t>
        </is>
      </c>
      <c r="H36" s="161" t="n">
        <v>24170</v>
      </c>
    </row>
    <row r="38">
      <c r="B38" s="6" t="inlineStr">
        <is>
          <t>H1</t>
        </is>
      </c>
      <c r="C38" s="8" t="n">
        <v>6</v>
      </c>
      <c r="D38" s="9" t="n">
        <v>50</v>
      </c>
      <c r="F38" s="9">
        <f>SUM(D38*C38)</f>
        <v/>
      </c>
      <c r="G38" s="10" t="inlineStr">
        <is>
          <t>ต้นคิด</t>
        </is>
      </c>
      <c r="H38" s="161" t="n">
        <v>24170</v>
      </c>
    </row>
    <row r="40">
      <c r="B40" s="6" t="inlineStr">
        <is>
          <t>H3</t>
        </is>
      </c>
      <c r="C40" s="8" t="n">
        <v>14</v>
      </c>
      <c r="D40" s="9" t="n">
        <v>40</v>
      </c>
      <c r="F40" s="9">
        <f>SUM(D40*C40)</f>
        <v/>
      </c>
      <c r="G40" s="10" t="inlineStr">
        <is>
          <t>ต้นคิด</t>
        </is>
      </c>
      <c r="H40" s="161" t="n">
        <v>24170</v>
      </c>
    </row>
    <row r="42">
      <c r="B42" s="18" t="n">
        <v>9006</v>
      </c>
      <c r="C42" s="8" t="n">
        <v>20</v>
      </c>
      <c r="D42" s="9" t="n">
        <v>90</v>
      </c>
      <c r="F42" s="9">
        <f>SUM(D42*C42)</f>
        <v/>
      </c>
      <c r="G42" s="10" t="inlineStr">
        <is>
          <t>ต้นคิด</t>
        </is>
      </c>
      <c r="H42" s="161" t="n">
        <v>24170</v>
      </c>
    </row>
    <row r="44">
      <c r="B44" s="6" t="inlineStr">
        <is>
          <t>T15</t>
        </is>
      </c>
      <c r="C44" s="8" t="n">
        <v>20</v>
      </c>
      <c r="D44" s="9" t="n">
        <v>10</v>
      </c>
      <c r="F44" s="9">
        <f>SUM(D44*C44)</f>
        <v/>
      </c>
      <c r="G44" s="10" t="inlineStr">
        <is>
          <t>ต้นคิด</t>
        </is>
      </c>
      <c r="H44" s="161" t="n">
        <v>24170</v>
      </c>
    </row>
    <row r="46">
      <c r="A46" s="11" t="inlineStr">
        <is>
          <t>หลอดไฟเลี้ยว</t>
        </is>
      </c>
      <c r="B46" s="6" t="inlineStr">
        <is>
          <t>กลมสีส้ม 1 ไส้ / เขี้ยวเยื้อง (12V 93*75 Eagleye)</t>
        </is>
      </c>
      <c r="C46" s="8" t="inlineStr">
        <is>
          <t>10หลอด</t>
        </is>
      </c>
      <c r="D46" s="9" t="n">
        <v>25</v>
      </c>
      <c r="F46" s="9" t="n">
        <v>250</v>
      </c>
      <c r="G46" s="10" t="inlineStr">
        <is>
          <t>ศรีสยาม</t>
        </is>
      </c>
      <c r="H46" s="161" t="n">
        <v>22878</v>
      </c>
    </row>
    <row r="47">
      <c r="B47" s="6" t="inlineStr">
        <is>
          <t>กลมสีส้ม 1 ไส้ / เขี้ยวเยื้อง</t>
        </is>
      </c>
      <c r="C47" s="8" t="inlineStr">
        <is>
          <t>10หลอด</t>
        </is>
      </c>
      <c r="D47" s="9" t="n">
        <v>15</v>
      </c>
      <c r="F47" s="9" t="n">
        <v>150</v>
      </c>
      <c r="G47" s="10" t="inlineStr">
        <is>
          <t>ต้นคิด</t>
        </is>
      </c>
      <c r="H47" s="161" t="n">
        <v>23413</v>
      </c>
    </row>
    <row r="48">
      <c r="B48" s="6" t="inlineStr">
        <is>
          <t>กลมสีส้ม 1 ไส้ / เขี้ยวเยื้อง</t>
        </is>
      </c>
      <c r="C48" s="8" t="inlineStr">
        <is>
          <t>10หลอด</t>
        </is>
      </c>
      <c r="D48" s="9" t="n">
        <v>15</v>
      </c>
      <c r="F48" s="9" t="n">
        <v>150</v>
      </c>
      <c r="G48" s="10" t="inlineStr">
        <is>
          <t>ต้นคิด</t>
        </is>
      </c>
      <c r="H48" s="161" t="n">
        <v>24095</v>
      </c>
    </row>
    <row r="50">
      <c r="B50" s="6" t="inlineStr">
        <is>
          <t>กลมสีส้ม 2 ไส้ / เขี้ยวเยื้อง</t>
        </is>
      </c>
      <c r="C50" s="8" t="inlineStr">
        <is>
          <t>10หลอด</t>
        </is>
      </c>
      <c r="D50" s="9" t="n">
        <v>15</v>
      </c>
      <c r="F50" s="9" t="n">
        <v>150</v>
      </c>
      <c r="G50" s="10" t="inlineStr">
        <is>
          <t>ต้นคิด</t>
        </is>
      </c>
      <c r="H50" s="161" t="n">
        <v>22871</v>
      </c>
    </row>
    <row r="51">
      <c r="B51" s="6" t="inlineStr">
        <is>
          <t>กลมสีส้ม 2 ไส้ / เขี้ยวเยื้อง</t>
        </is>
      </c>
      <c r="C51" s="8" t="inlineStr">
        <is>
          <t>10หลอด</t>
        </is>
      </c>
      <c r="D51" s="9" t="n">
        <v>15</v>
      </c>
      <c r="F51" s="9" t="n">
        <v>150</v>
      </c>
      <c r="G51" s="10" t="inlineStr">
        <is>
          <t>ต้นคิด</t>
        </is>
      </c>
      <c r="H51" s="161" t="n">
        <v>23413</v>
      </c>
    </row>
    <row r="53">
      <c r="B53" s="6" t="inlineStr">
        <is>
          <t>กลมสีส้ม 2 ไส้ / เขี้ยวตรง</t>
        </is>
      </c>
      <c r="C53" s="8" t="inlineStr">
        <is>
          <t>10หลอด</t>
        </is>
      </c>
      <c r="D53" s="9" t="n">
        <v>8</v>
      </c>
      <c r="F53" s="9" t="n">
        <v>80</v>
      </c>
      <c r="G53" s="10" t="inlineStr">
        <is>
          <t>ต้นคิด</t>
        </is>
      </c>
      <c r="H53" s="161" t="n">
        <v>24095</v>
      </c>
    </row>
    <row r="55">
      <c r="B55" s="6" t="inlineStr">
        <is>
          <t>กลมสีขาว 1 ไส้ / เขี้ยวเยื้อง</t>
        </is>
      </c>
      <c r="C55" s="8" t="inlineStr">
        <is>
          <t>10หลอด</t>
        </is>
      </c>
      <c r="D55" s="9" t="n">
        <v>15</v>
      </c>
      <c r="F55" s="9" t="n">
        <v>150</v>
      </c>
      <c r="G55" s="10" t="inlineStr">
        <is>
          <t>ต้นคิด</t>
        </is>
      </c>
      <c r="H55" s="161" t="n">
        <v>23413</v>
      </c>
    </row>
    <row r="56">
      <c r="B56" s="6" t="inlineStr">
        <is>
          <t>กลมสีขาว 1 ไส้ / เขี้ยวเยื้อง</t>
        </is>
      </c>
      <c r="C56" s="8" t="inlineStr">
        <is>
          <t>10หลอด</t>
        </is>
      </c>
      <c r="D56" s="9" t="n">
        <v>15</v>
      </c>
      <c r="F56" s="9" t="n">
        <v>150</v>
      </c>
      <c r="G56" s="10" t="inlineStr">
        <is>
          <t>ต้นคิด</t>
        </is>
      </c>
      <c r="H56" s="161" t="n">
        <v>24095</v>
      </c>
    </row>
    <row r="58">
      <c r="B58" s="6" t="inlineStr">
        <is>
          <t>กลมสีขาว 1 ไส้ / เขี้ยวตรง</t>
        </is>
      </c>
      <c r="C58" s="8" t="inlineStr">
        <is>
          <t>10หลอด</t>
        </is>
      </c>
      <c r="D58" s="9" t="n">
        <v>6</v>
      </c>
      <c r="F58" s="9" t="n">
        <v>60</v>
      </c>
      <c r="G58" s="10" t="inlineStr">
        <is>
          <t>ต้นคิด</t>
        </is>
      </c>
      <c r="H58" s="161" t="n">
        <v>24095</v>
      </c>
    </row>
    <row r="60">
      <c r="B60" s="6" t="inlineStr">
        <is>
          <t>กลมสีขาว 2 ไส้ / เขี้ยวตรง</t>
        </is>
      </c>
      <c r="C60" s="8" t="inlineStr">
        <is>
          <t>20หลอด</t>
        </is>
      </c>
      <c r="D60" s="9" t="n">
        <v>6</v>
      </c>
      <c r="F60" s="9" t="n">
        <v>120</v>
      </c>
      <c r="G60" s="10" t="inlineStr">
        <is>
          <t>ต้นคิด</t>
        </is>
      </c>
      <c r="H60" s="161" t="n">
        <v>24095</v>
      </c>
    </row>
    <row r="61">
      <c r="B61" s="6" t="inlineStr">
        <is>
          <t>กลมสีขาว 2 ไส้ / เขี้ยวตรง</t>
        </is>
      </c>
      <c r="C61" s="8" t="n">
        <v>20</v>
      </c>
      <c r="D61" s="9" t="n">
        <v>8</v>
      </c>
      <c r="F61" s="9">
        <f>SUM(C61*D61)</f>
        <v/>
      </c>
      <c r="G61" s="10" t="inlineStr">
        <is>
          <t>ต้นคิด</t>
        </is>
      </c>
      <c r="H61" s="161" t="n">
        <v>24707</v>
      </c>
    </row>
    <row r="62">
      <c r="B62" s="6" t="inlineStr">
        <is>
          <t>กลมสีขาว 2 ไส้ / เขี้ยวตรง</t>
        </is>
      </c>
      <c r="C62" s="8" t="n">
        <v>40</v>
      </c>
      <c r="D62" s="9" t="n">
        <v>6.4</v>
      </c>
      <c r="F62" s="9">
        <f>SUM(C62*D62)</f>
        <v/>
      </c>
      <c r="G62" s="10" t="inlineStr">
        <is>
          <t>Shopee</t>
        </is>
      </c>
      <c r="H62" s="161" t="n">
        <v>25010</v>
      </c>
    </row>
    <row r="64">
      <c r="B64" s="6" t="inlineStr">
        <is>
          <t>กลมสีขาว 2 ไส้ / เขี้ยวเยื้อง</t>
        </is>
      </c>
      <c r="C64" s="8" t="n">
        <v>20</v>
      </c>
      <c r="D64" s="9" t="n">
        <v>15</v>
      </c>
      <c r="F64" s="9">
        <f>SUM(C64*D64)</f>
        <v/>
      </c>
      <c r="G64" s="10" t="inlineStr">
        <is>
          <t>ต้นคิด</t>
        </is>
      </c>
      <c r="H64" s="161" t="n">
        <v>24707</v>
      </c>
    </row>
    <row r="66">
      <c r="A66" s="11" t="inlineStr">
        <is>
          <t>หลอดตะเกียบ</t>
        </is>
      </c>
      <c r="B66" s="6" t="inlineStr">
        <is>
          <t>หลอดตะเกียบ (ทำไฟส่อง ของช่าง) 14W Day light EVE</t>
        </is>
      </c>
      <c r="C66" s="8" t="inlineStr">
        <is>
          <t>3หลอด</t>
        </is>
      </c>
      <c r="D66" s="9" t="n">
        <v>98</v>
      </c>
      <c r="F66" s="9" t="n">
        <v>294</v>
      </c>
      <c r="G66" s="10" t="inlineStr">
        <is>
          <t>ไทวัสดุ</t>
        </is>
      </c>
      <c r="H66" s="161" t="n">
        <v>24042</v>
      </c>
    </row>
    <row r="67">
      <c r="B67" s="6" t="inlineStr">
        <is>
          <t>หลอดตะเกียบ (ทำไฟส่อง ของช่าง) 14W Day light EVE</t>
        </is>
      </c>
      <c r="C67" s="8" t="inlineStr">
        <is>
          <t>5หลอด</t>
        </is>
      </c>
      <c r="D67" s="9" t="n">
        <v>98</v>
      </c>
      <c r="F67" s="9" t="n">
        <v>490</v>
      </c>
      <c r="G67" s="10" t="inlineStr">
        <is>
          <t>ไทวัสดุ</t>
        </is>
      </c>
      <c r="H67" s="161" t="n">
        <v>24085</v>
      </c>
    </row>
    <row r="69">
      <c r="A69" s="11" t="inlineStr">
        <is>
          <t>หลอดไฟเทียบสี</t>
        </is>
      </c>
      <c r="B69" s="6" t="inlineStr">
        <is>
          <t xml:space="preserve">ค่าหลอดไฟส่อง เทียบสี 200W </t>
        </is>
      </c>
      <c r="C69" s="8" t="n">
        <v>5</v>
      </c>
      <c r="D69" s="9" t="n">
        <v>40</v>
      </c>
      <c r="F69" s="9">
        <f>SUM(D69*C69)</f>
        <v/>
      </c>
      <c r="G69" s="10" t="inlineStr">
        <is>
          <t>โรจน</t>
        </is>
      </c>
      <c r="H69" s="161" t="n">
        <v>25007</v>
      </c>
    </row>
  </sheetData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84"/>
  <sheetViews>
    <sheetView zoomScaleNormal="100" workbookViewId="0">
      <pane ySplit="1" topLeftCell="A2" activePane="bottomLeft" state="frozen"/>
      <selection pane="bottomLeft" activeCell="F498" sqref="F498"/>
    </sheetView>
  </sheetViews>
  <sheetFormatPr baseColWidth="8" defaultColWidth="8.59765625" defaultRowHeight="21" customHeight="1"/>
  <cols>
    <col width="16.8984375" customWidth="1" style="8" min="1" max="1"/>
    <col width="45.09765625" customWidth="1" style="6" min="2" max="2"/>
    <col width="7.59765625" customWidth="1" style="8" min="3" max="3"/>
    <col width="8.59765625" customWidth="1" style="9" min="4" max="5"/>
    <col width="6.796875" customWidth="1" style="8" min="6" max="7"/>
    <col width="11.19921875" customWidth="1" style="9" min="8" max="8"/>
    <col width="16.796875" customWidth="1" style="10" min="9" max="9"/>
    <col width="8.59765625" customWidth="1" style="161" min="10" max="10"/>
    <col width="10.59765625" customWidth="1" style="161" min="11" max="11"/>
    <col width="17.796875" customWidth="1" style="18" min="12" max="12"/>
    <col width="6.69921875" customWidth="1" style="6" min="13" max="15"/>
    <col width="8.59765625" customWidth="1" style="6" min="16" max="16384"/>
  </cols>
  <sheetData>
    <row r="1" ht="21" customFormat="1" customHeight="1" s="8">
      <c r="A1" s="162" t="inlineStr">
        <is>
          <t>ประเภท</t>
        </is>
      </c>
      <c r="B1" s="162" t="inlineStr">
        <is>
          <t>รายการ</t>
        </is>
      </c>
      <c r="C1" s="162" t="inlineStr">
        <is>
          <t>จำนวน</t>
        </is>
      </c>
      <c r="D1" s="163" t="inlineStr">
        <is>
          <t>ราคา/ชิ้น</t>
        </is>
      </c>
      <c r="E1" s="163" t="inlineStr">
        <is>
          <t>รวมก่อนVAT</t>
        </is>
      </c>
      <c r="F1" s="162" t="inlineStr">
        <is>
          <t>ส่วนลด%</t>
        </is>
      </c>
      <c r="G1" s="4" t="n"/>
      <c r="H1" s="163" t="inlineStr">
        <is>
          <t>รวมจำนวนเงิน</t>
        </is>
      </c>
      <c r="I1" s="163" t="inlineStr">
        <is>
          <t>ชื่อร้าน</t>
        </is>
      </c>
      <c r="J1" s="164" t="inlineStr">
        <is>
          <t>ว/ด/ป</t>
        </is>
      </c>
      <c r="K1" s="164" t="inlineStr">
        <is>
          <t>บิลเลขที่</t>
        </is>
      </c>
      <c r="L1" s="162" t="inlineStr">
        <is>
          <t>หมายเหตุ</t>
        </is>
      </c>
      <c r="M1" s="162" t="inlineStr">
        <is>
          <t>(ราคาที่ระบุคือ ราคาก่อน VAT)</t>
        </is>
      </c>
    </row>
    <row r="2" ht="21" customHeight="1">
      <c r="A2" s="11" t="inlineStr">
        <is>
          <t>ยางรองเสกิร์ต</t>
        </is>
      </c>
      <c r="B2" s="6" t="inlineStr">
        <is>
          <t xml:space="preserve">ยางรองเสกิร์ต </t>
        </is>
      </c>
      <c r="C2" s="8" t="inlineStr">
        <is>
          <t>2ม้วน</t>
        </is>
      </c>
      <c r="D2" s="9" t="n">
        <v>600</v>
      </c>
      <c r="H2" s="9" t="n">
        <v>1200</v>
      </c>
      <c r="I2" s="10" t="inlineStr">
        <is>
          <t>ร้าน ส.สยามยางยนต์</t>
        </is>
      </c>
      <c r="J2" s="161" t="n">
        <v>22449</v>
      </c>
    </row>
    <row r="3" ht="21" customHeight="1">
      <c r="B3" s="60" t="inlineStr">
        <is>
          <t>ยางรองเสกิร์ตแบบมีกาว (สีดำ/ปีกใหญ่) -- ยาว 100 เมตร/ม้วน (เมตรละ 16 บาท)</t>
        </is>
      </c>
      <c r="C3" s="8" t="n">
        <v>1</v>
      </c>
      <c r="D3" s="9" t="n">
        <v>1600</v>
      </c>
      <c r="H3" s="9" t="n">
        <v>1600</v>
      </c>
      <c r="I3" s="10" t="inlineStr">
        <is>
          <t>ร้าน ส.สยามยางยนต์</t>
        </is>
      </c>
      <c r="J3" s="161" t="n">
        <v>24548</v>
      </c>
    </row>
    <row r="4" ht="21" customHeight="1">
      <c r="B4" s="60" t="n"/>
    </row>
    <row r="5" ht="21" customHeight="1">
      <c r="B5" s="60" t="inlineStr">
        <is>
          <t>ยางรองเสกิร์ตแบบมีกาว (สีดำ/ปีกเล็ก) -- ยาว 100 เมตร/ม้วน (เมตรละ 17 บาท)</t>
        </is>
      </c>
      <c r="C5" s="8" t="n">
        <v>2</v>
      </c>
      <c r="D5" s="9" t="n">
        <v>1700</v>
      </c>
      <c r="H5" s="9">
        <f>SUM(D5*C5)</f>
        <v/>
      </c>
      <c r="I5" s="10" t="inlineStr">
        <is>
          <t>ร้าน ส.สยามยางยนต์</t>
        </is>
      </c>
      <c r="J5" s="161" t="n">
        <v>24921</v>
      </c>
    </row>
    <row r="6" ht="21" customHeight="1">
      <c r="B6" s="60" t="n"/>
    </row>
    <row r="7" ht="21" customHeight="1">
      <c r="B7" s="60" t="inlineStr">
        <is>
          <t>ยางรองเสกิร์ตแบบมีกาว (สีเทา/ปีกเล็ก) -- ยาว 100 เมตร/ม้วน (เมตรละ 17 บาท)</t>
        </is>
      </c>
      <c r="C7" s="8" t="n">
        <v>2</v>
      </c>
      <c r="D7" s="9" t="n">
        <v>1700</v>
      </c>
      <c r="H7" s="9">
        <f>SUM(D7*C7)</f>
        <v/>
      </c>
      <c r="I7" s="10" t="inlineStr">
        <is>
          <t>ร้าน ส.สยามยางยนต์</t>
        </is>
      </c>
      <c r="J7" s="161" t="n">
        <v>24921</v>
      </c>
    </row>
    <row r="8" ht="21" customHeight="1">
      <c r="B8" s="60" t="n"/>
    </row>
    <row r="9" ht="21" customHeight="1">
      <c r="B9" s="60" t="inlineStr">
        <is>
          <t>ยางรองเสกิร์ตแบบไม่มีกาว (สีเทา) ยาว 100 เมตร/ม้วน (เมตรละ 8 บาท)</t>
        </is>
      </c>
      <c r="C9" s="8" t="n">
        <v>1</v>
      </c>
      <c r="D9" s="9" t="n">
        <v>800</v>
      </c>
      <c r="H9" s="9">
        <f>SUM(D9*C9)</f>
        <v/>
      </c>
      <c r="I9" s="10" t="inlineStr">
        <is>
          <t>ร้าน ส.สยามยางยนต์</t>
        </is>
      </c>
      <c r="J9" s="161" t="n">
        <v>24714</v>
      </c>
    </row>
    <row r="10" ht="21" customHeight="1">
      <c r="B10" s="60" t="inlineStr">
        <is>
          <t>ยางรองเสกิร์ตแบบไม่มีกาว (สีเทา/ปีกกลาง) ยาว 100 เมตร/ม้วน (เมตรละ 8 บาท)</t>
        </is>
      </c>
      <c r="C10" s="8" t="n">
        <v>2</v>
      </c>
      <c r="D10" s="9" t="n">
        <v>800</v>
      </c>
      <c r="H10" s="9">
        <f>SUM(D10*C10)</f>
        <v/>
      </c>
      <c r="I10" s="10" t="inlineStr">
        <is>
          <t>ร้าน ส.สยามยางยนต์</t>
        </is>
      </c>
      <c r="J10" s="161" t="n">
        <v>25113</v>
      </c>
    </row>
    <row r="11" ht="21" customHeight="1">
      <c r="B11" s="60" t="n"/>
    </row>
    <row r="12" ht="21" customHeight="1">
      <c r="B12" s="60" t="inlineStr">
        <is>
          <t>ยางรองเสกิร์ตแบบไม่มีกาว (สีเทา/ปีกเล็ก) ยาว 100 เมตร/ม้วน (เมตรละ 8 บาท)</t>
        </is>
      </c>
      <c r="C12" s="8" t="n">
        <v>1</v>
      </c>
      <c r="D12" s="9" t="n">
        <v>800</v>
      </c>
      <c r="H12" s="9">
        <f>SUM(D12*C12)</f>
        <v/>
      </c>
      <c r="I12" s="10" t="inlineStr">
        <is>
          <t>ร้าน ส.สยามยางยนต์</t>
        </is>
      </c>
      <c r="J12" s="161" t="n">
        <v>25129</v>
      </c>
    </row>
    <row r="13" ht="21" customHeight="1">
      <c r="B13" s="60" t="n"/>
    </row>
    <row r="14" ht="21" customHeight="1">
      <c r="B14" s="60" t="inlineStr">
        <is>
          <t>ยางรองเสกิร์ตแบบไม่มีกาว (สีดำปีกใหญ่) ยาว 100 เมตร/ม้วน (เมตรละ 8 บาท)</t>
        </is>
      </c>
      <c r="C14" s="8" t="n">
        <v>1</v>
      </c>
      <c r="D14" s="9" t="n">
        <v>800</v>
      </c>
      <c r="H14" s="9">
        <f>SUM(D14*C14)</f>
        <v/>
      </c>
      <c r="I14" s="10" t="inlineStr">
        <is>
          <t>ร้าน ส.สยามยางยนต์</t>
        </is>
      </c>
      <c r="J14" s="161" t="n">
        <v>24714</v>
      </c>
    </row>
    <row r="15" ht="21" customHeight="1">
      <c r="B15" s="60" t="n"/>
    </row>
    <row r="16" ht="21" customHeight="1">
      <c r="B16" s="60" t="inlineStr">
        <is>
          <t>ยางรองเสกิร์ตแบบไม่มีกาว (สีดำปีกเล็ก) ยาว 100 เมตร/ม้วน (เมตรละ 8 บาท)</t>
        </is>
      </c>
      <c r="C16" s="8" t="n">
        <v>1</v>
      </c>
      <c r="D16" s="9" t="n">
        <v>800</v>
      </c>
      <c r="H16" s="9">
        <f>SUM(D16*C16)</f>
        <v/>
      </c>
      <c r="I16" s="10" t="inlineStr">
        <is>
          <t>ร้าน ส.สยามยางยนต์</t>
        </is>
      </c>
      <c r="J16" s="161" t="n">
        <v>24714</v>
      </c>
    </row>
    <row r="17" ht="21" customHeight="1">
      <c r="B17" s="60" t="inlineStr">
        <is>
          <t>ยางรองเสกิร์ตแบบไม่มีกาว (สีดำปีกเล็ก) ยาว 100 เมตร/ม้วน (เมตรละ 8 บาท)</t>
        </is>
      </c>
      <c r="C17" s="8" t="n">
        <v>2</v>
      </c>
      <c r="D17" s="9" t="n">
        <v>800</v>
      </c>
      <c r="H17" s="9">
        <f>SUM(D17*C17)</f>
        <v/>
      </c>
      <c r="I17" s="10" t="inlineStr">
        <is>
          <t>ร้าน ส.สยามยางยนต์</t>
        </is>
      </c>
      <c r="J17" s="161" t="n">
        <v>24921</v>
      </c>
    </row>
    <row r="19" ht="21" customHeight="1">
      <c r="A19" s="11" t="inlineStr">
        <is>
          <t>น้ำยาลงเบาะ</t>
        </is>
      </c>
      <c r="B19" s="6" t="inlineStr">
        <is>
          <t>น้ำยาเช็ดเฟอร์นิเจอร์</t>
        </is>
      </c>
      <c r="C19" s="8" t="inlineStr">
        <is>
          <t>6กล.</t>
        </is>
      </c>
      <c r="D19" s="9" t="n">
        <v>250</v>
      </c>
      <c r="H19" s="9" t="n">
        <v>1500</v>
      </c>
      <c r="I19" s="10" t="inlineStr">
        <is>
          <t>โปรไทยคลีนนิ่ง</t>
        </is>
      </c>
      <c r="J19" s="161" t="n">
        <v>22449</v>
      </c>
    </row>
    <row r="20" ht="21" customHeight="1">
      <c r="B20" s="6" t="inlineStr">
        <is>
          <t>น้ำยาเช็ดเฟอร์นิเจอร์</t>
        </is>
      </c>
      <c r="C20" s="8" t="inlineStr">
        <is>
          <t>4กล.</t>
        </is>
      </c>
      <c r="D20" s="9" t="n">
        <v>250</v>
      </c>
      <c r="H20" s="9" t="n">
        <v>1000</v>
      </c>
      <c r="I20" s="10" t="inlineStr">
        <is>
          <t>โปรไทยคลีนนิ่ง</t>
        </is>
      </c>
      <c r="J20" s="161" t="n">
        <v>23190</v>
      </c>
    </row>
    <row r="21" ht="21" customHeight="1">
      <c r="B21" s="6" t="inlineStr">
        <is>
          <t>น้ำยาเช็ดเฟอร์นิเจอร์</t>
        </is>
      </c>
      <c r="C21" s="8" t="inlineStr">
        <is>
          <t>4กล.</t>
        </is>
      </c>
      <c r="D21" s="9" t="n">
        <v>250</v>
      </c>
      <c r="H21" s="9" t="n">
        <v>1000</v>
      </c>
      <c r="I21" s="10" t="inlineStr">
        <is>
          <t>โปรไทยคลีนนิ่ง</t>
        </is>
      </c>
      <c r="J21" s="161" t="n">
        <v>23312</v>
      </c>
    </row>
    <row r="22" ht="21" customHeight="1">
      <c r="B22" s="6" t="inlineStr">
        <is>
          <t>น้ำยาเช็ดเฟอร์นิเจอร์</t>
        </is>
      </c>
      <c r="C22" s="8" t="inlineStr">
        <is>
          <t>12กล.</t>
        </is>
      </c>
      <c r="D22" s="9" t="n">
        <v>250</v>
      </c>
      <c r="H22" s="9" t="n">
        <v>3000</v>
      </c>
      <c r="I22" s="10" t="inlineStr">
        <is>
          <t>โปรไทยคลีนนิ่ง</t>
        </is>
      </c>
      <c r="J22" s="161" t="n">
        <v>23338</v>
      </c>
    </row>
    <row r="23" ht="21" customHeight="1">
      <c r="B23" s="6" t="inlineStr">
        <is>
          <t>น้ำยาเช็ดเฟอร์นิเจอร์</t>
        </is>
      </c>
      <c r="C23" s="8" t="inlineStr">
        <is>
          <t>4กล.</t>
        </is>
      </c>
      <c r="D23" s="9" t="n">
        <v>250</v>
      </c>
      <c r="H23" s="9" t="n">
        <v>1000</v>
      </c>
      <c r="I23" s="10" t="inlineStr">
        <is>
          <t>โปรไทยคลีนนิ่ง</t>
        </is>
      </c>
      <c r="J23" s="161" t="n">
        <v>23642</v>
      </c>
    </row>
    <row r="24" ht="21" customHeight="1">
      <c r="B24" s="6" t="inlineStr">
        <is>
          <t>น้ำยาเช็ดเฟอร์นิเจอร์</t>
        </is>
      </c>
      <c r="C24" s="8" t="inlineStr">
        <is>
          <t>4กล.</t>
        </is>
      </c>
      <c r="D24" s="9" t="n">
        <v>250</v>
      </c>
      <c r="H24" s="9" t="n">
        <v>1000</v>
      </c>
      <c r="I24" s="10" t="inlineStr">
        <is>
          <t>โปรไทยคลีนนิ่ง</t>
        </is>
      </c>
      <c r="J24" s="161" t="n">
        <v>23698</v>
      </c>
    </row>
    <row r="25" ht="21" customHeight="1">
      <c r="B25" s="6" t="inlineStr">
        <is>
          <t>น้ำยาเช็ดเฟอร์นิเจอร์</t>
        </is>
      </c>
      <c r="C25" s="8" t="inlineStr">
        <is>
          <t>4กล.</t>
        </is>
      </c>
      <c r="D25" s="9" t="n">
        <v>250</v>
      </c>
      <c r="H25" s="9" t="n">
        <v>1000</v>
      </c>
      <c r="I25" s="10" t="inlineStr">
        <is>
          <t>โปรไทยคลีนนิ่ง</t>
        </is>
      </c>
      <c r="J25" s="161" t="n">
        <v>23768</v>
      </c>
    </row>
    <row r="26" ht="21" customHeight="1">
      <c r="B26" s="6" t="inlineStr">
        <is>
          <t>น้ำยาเช็ดเฟอร์นิเจอร์</t>
        </is>
      </c>
      <c r="C26" s="8" t="inlineStr">
        <is>
          <t>6กล.</t>
        </is>
      </c>
      <c r="D26" s="9" t="n">
        <v>250</v>
      </c>
      <c r="H26" s="9" t="n">
        <v>1500</v>
      </c>
      <c r="I26" s="10" t="inlineStr">
        <is>
          <t>โปรไทยคลีนนิ่ง</t>
        </is>
      </c>
      <c r="J26" s="161" t="n">
        <v>23925</v>
      </c>
    </row>
    <row r="27" ht="21" customHeight="1">
      <c r="B27" s="6" t="inlineStr">
        <is>
          <t>น้ำยาเช็ดเฟอร์นิเจอร์</t>
        </is>
      </c>
      <c r="C27" s="8" t="inlineStr">
        <is>
          <t>6กล.</t>
        </is>
      </c>
      <c r="D27" s="9" t="n">
        <v>250</v>
      </c>
      <c r="H27" s="9" t="n">
        <v>1500</v>
      </c>
      <c r="I27" s="10" t="inlineStr">
        <is>
          <t>โปรไทยคลีนนิ่ง</t>
        </is>
      </c>
      <c r="J27" s="161" t="n">
        <v>24086</v>
      </c>
    </row>
    <row r="28" ht="21" customHeight="1">
      <c r="B28" s="6" t="inlineStr">
        <is>
          <t>น้ำยาเช็ดเฟอร์นิเจอร์</t>
        </is>
      </c>
      <c r="C28" s="8" t="inlineStr">
        <is>
          <t>4กล.</t>
        </is>
      </c>
      <c r="D28" s="9" t="n">
        <v>270</v>
      </c>
      <c r="H28" s="9" t="n">
        <v>1080</v>
      </c>
      <c r="I28" s="10" t="inlineStr">
        <is>
          <t>โปรไทยคลีนนิ่ง</t>
        </is>
      </c>
      <c r="J28" s="161" t="n">
        <v>24324</v>
      </c>
    </row>
    <row r="29" ht="21" customHeight="1">
      <c r="B29" s="6" t="inlineStr">
        <is>
          <t>น้ำยาเช็ดเฟอร์นิเจอร์</t>
        </is>
      </c>
      <c r="C29" s="8" t="inlineStr">
        <is>
          <t>4กล.</t>
        </is>
      </c>
      <c r="D29" s="9" t="n">
        <v>250</v>
      </c>
      <c r="H29" s="9" t="n">
        <v>1000</v>
      </c>
      <c r="I29" s="10" t="inlineStr">
        <is>
          <t>โปรไทยคลีนนิ่ง</t>
        </is>
      </c>
      <c r="J29" s="161" t="n">
        <v>24438</v>
      </c>
    </row>
    <row r="30" ht="21" customHeight="1">
      <c r="B30" s="6" t="inlineStr">
        <is>
          <t>น้ำยาเช็ดเฟอร์นิเจอร์</t>
        </is>
      </c>
      <c r="C30" s="8" t="n">
        <v>4</v>
      </c>
      <c r="D30" s="9" t="n">
        <v>260</v>
      </c>
      <c r="H30" s="9">
        <f>SUM(D30*C30)</f>
        <v/>
      </c>
      <c r="I30" s="10" t="inlineStr">
        <is>
          <t>โปรไทยคลีนนิ่ง</t>
        </is>
      </c>
      <c r="J30" s="161" t="n">
        <v>24562</v>
      </c>
    </row>
    <row r="31" ht="21" customHeight="1">
      <c r="B31" s="6" t="inlineStr">
        <is>
          <t>น้ำยาเช็ดเฟอร์นิเจอร์</t>
        </is>
      </c>
      <c r="C31" s="8" t="n">
        <v>4</v>
      </c>
      <c r="D31" s="9" t="n">
        <v>260</v>
      </c>
      <c r="H31" s="9">
        <f>SUM(D31*C31)</f>
        <v/>
      </c>
      <c r="I31" s="10" t="inlineStr">
        <is>
          <t>โปรไทยคลีนนิ่ง</t>
        </is>
      </c>
      <c r="J31" s="161" t="n">
        <v>24563</v>
      </c>
    </row>
    <row r="32" ht="21" customHeight="1">
      <c r="B32" s="6" t="inlineStr">
        <is>
          <t>น้ำยาเช็ดเฟอร์นิเจอร์</t>
        </is>
      </c>
      <c r="C32" s="8" t="n">
        <v>4</v>
      </c>
      <c r="D32" s="9" t="n">
        <v>260</v>
      </c>
      <c r="H32" s="9">
        <f>SUM(D32*C32)</f>
        <v/>
      </c>
      <c r="I32" s="10" t="inlineStr">
        <is>
          <t>โปรไทยคลีนนิ่ง</t>
        </is>
      </c>
      <c r="J32" s="161" t="n">
        <v>24636</v>
      </c>
    </row>
    <row r="33" ht="21" customHeight="1">
      <c r="B33" s="6" t="inlineStr">
        <is>
          <t>น้ำยาเช็ดเฟอร์นิเจอร์</t>
        </is>
      </c>
      <c r="C33" s="8" t="n">
        <v>4</v>
      </c>
      <c r="D33" s="9" t="n">
        <v>280</v>
      </c>
      <c r="H33" s="9">
        <f>SUM(D33*C33)</f>
        <v/>
      </c>
      <c r="I33" s="10" t="inlineStr">
        <is>
          <t>โปรไทยคลีนนิ่ง</t>
        </is>
      </c>
      <c r="J33" s="161" t="n">
        <v>24736</v>
      </c>
    </row>
    <row r="34" ht="21" customHeight="1">
      <c r="B34" s="6" t="inlineStr">
        <is>
          <t>น้ำยาเช็ดเฟอร์นิเจอร์</t>
        </is>
      </c>
      <c r="C34" s="8" t="n">
        <v>2</v>
      </c>
      <c r="D34" s="9" t="n">
        <v>260</v>
      </c>
      <c r="H34" s="9">
        <f>SUM(D34*C34)</f>
        <v/>
      </c>
      <c r="I34" s="10" t="inlineStr">
        <is>
          <t>โปรไทยคลีนนิ่ง</t>
        </is>
      </c>
      <c r="J34" s="161" t="n">
        <v>24808</v>
      </c>
    </row>
    <row r="35" ht="21" customHeight="1">
      <c r="B35" s="6" t="inlineStr">
        <is>
          <t>น้ำยาเช็ดเฟอร์นิเจอร์</t>
        </is>
      </c>
      <c r="C35" s="8" t="n">
        <v>4</v>
      </c>
      <c r="D35" s="9" t="n">
        <v>260</v>
      </c>
      <c r="H35" s="9">
        <f>SUM(D35*C35)</f>
        <v/>
      </c>
      <c r="I35" s="10" t="inlineStr">
        <is>
          <t>โปรไทยคลีนนิ่ง</t>
        </is>
      </c>
      <c r="J35" s="161" t="n">
        <v>24886</v>
      </c>
      <c r="L35" s="18" t="inlineStr">
        <is>
          <t>ก่อนสั่งเหลือสต๊อค 1กล.(7/4/68)</t>
        </is>
      </c>
    </row>
    <row r="36" ht="21" customHeight="1">
      <c r="B36" s="6" t="inlineStr">
        <is>
          <t>น้ำยาเช็ดเฟอร์นิเจอร์</t>
        </is>
      </c>
      <c r="C36" s="8" t="n">
        <v>4</v>
      </c>
      <c r="D36" s="9" t="n">
        <v>278.2</v>
      </c>
      <c r="H36" s="9">
        <f>SUM(D36*C36)</f>
        <v/>
      </c>
      <c r="I36" s="10" t="inlineStr">
        <is>
          <t>โปรไทยคลีนนิ่ง</t>
        </is>
      </c>
      <c r="J36" s="161" t="n">
        <v>24950</v>
      </c>
      <c r="L36" s="18" t="inlineStr">
        <is>
          <t>ราคารวม VAT แล้ว</t>
        </is>
      </c>
    </row>
    <row r="37" ht="21" customHeight="1">
      <c r="B37" s="6" t="inlineStr">
        <is>
          <t>น้ำยาเช็ดเฟอร์นิเจอร์</t>
        </is>
      </c>
      <c r="C37" s="8" t="n">
        <v>2</v>
      </c>
      <c r="D37" s="9" t="n">
        <v>278.2</v>
      </c>
      <c r="H37" s="9">
        <f>SUM(D37*C37)</f>
        <v/>
      </c>
      <c r="I37" s="10" t="inlineStr">
        <is>
          <t>โปรไทยคลีนนิ่ง</t>
        </is>
      </c>
      <c r="J37" s="161" t="n">
        <v>24988</v>
      </c>
    </row>
    <row r="38" ht="21" customHeight="1">
      <c r="B38" s="6" t="inlineStr">
        <is>
          <t>น้ำยาเช็ดเฟอร์นิเจอร์</t>
        </is>
      </c>
      <c r="C38" s="8" t="n">
        <v>1</v>
      </c>
      <c r="D38" s="9" t="n">
        <v>260</v>
      </c>
      <c r="H38" s="9">
        <f>SUM(D38*C38)</f>
        <v/>
      </c>
      <c r="I38" s="10" t="inlineStr">
        <is>
          <t>โปรไทยคลีนนิ่ง</t>
        </is>
      </c>
      <c r="J38" s="161" t="n">
        <v>25063</v>
      </c>
      <c r="L38" s="18" t="inlineStr">
        <is>
          <t>ราคาซื้อไม่เอา VAT</t>
        </is>
      </c>
    </row>
    <row r="39" ht="21" customHeight="1">
      <c r="B39" s="6" t="inlineStr">
        <is>
          <t>น้ำยาเช็ดเฟอร์นิเจอร์</t>
        </is>
      </c>
      <c r="C39" s="8" t="n">
        <v>1</v>
      </c>
      <c r="D39" s="9" t="n">
        <v>260</v>
      </c>
      <c r="H39" s="9">
        <f>SUM(D39*C39)</f>
        <v/>
      </c>
      <c r="I39" s="10" t="inlineStr">
        <is>
          <t>โปรไทยคลีนนิ่ง</t>
        </is>
      </c>
      <c r="J39" s="161" t="n">
        <v>25233</v>
      </c>
      <c r="L39" s="18" t="inlineStr">
        <is>
          <t>ราคาซื้อไม่เอา VAT</t>
        </is>
      </c>
    </row>
    <row r="41" ht="21" customHeight="1">
      <c r="A41" s="11" t="inlineStr">
        <is>
          <t>น้ำยาลงล้อ</t>
        </is>
      </c>
      <c r="B41" s="6" t="inlineStr">
        <is>
          <t xml:space="preserve">น้ำยาลงล้อดำ </t>
        </is>
      </c>
      <c r="C41" s="8" t="inlineStr">
        <is>
          <t>6กล.</t>
        </is>
      </c>
      <c r="D41" s="9" t="n">
        <v>250</v>
      </c>
      <c r="H41" s="9" t="n">
        <v>1500</v>
      </c>
      <c r="I41" s="10" t="inlineStr">
        <is>
          <t>โปรไทยคลีนนิ่ง</t>
        </is>
      </c>
      <c r="J41" s="161" t="n">
        <v>22449</v>
      </c>
    </row>
    <row r="42" ht="21" customHeight="1">
      <c r="B42" s="6" t="inlineStr">
        <is>
          <t xml:space="preserve">น้ำยาลงล้อดำ </t>
        </is>
      </c>
      <c r="C42" s="8" t="inlineStr">
        <is>
          <t>4กล.</t>
        </is>
      </c>
      <c r="D42" s="9" t="n">
        <v>250</v>
      </c>
      <c r="H42" s="9" t="n">
        <v>1000</v>
      </c>
      <c r="I42" s="10" t="inlineStr">
        <is>
          <t>โปรไทยคลีนนิ่ง</t>
        </is>
      </c>
      <c r="J42" s="161" t="n">
        <v>23190</v>
      </c>
    </row>
    <row r="43" ht="21" customHeight="1">
      <c r="B43" s="6" t="inlineStr">
        <is>
          <t xml:space="preserve">น้ำยาลงล้อดำ </t>
        </is>
      </c>
      <c r="C43" s="8" t="inlineStr">
        <is>
          <t>4กล.</t>
        </is>
      </c>
      <c r="D43" s="9" t="n">
        <v>250</v>
      </c>
      <c r="H43" s="9" t="n">
        <v>1000</v>
      </c>
      <c r="I43" s="10" t="inlineStr">
        <is>
          <t>โปรไทยคลีนนิ่ง</t>
        </is>
      </c>
      <c r="J43" s="161" t="n">
        <v>23338</v>
      </c>
    </row>
    <row r="44" ht="21" customHeight="1">
      <c r="B44" s="6" t="inlineStr">
        <is>
          <t xml:space="preserve">น้ำยาลงล้อดำ </t>
        </is>
      </c>
      <c r="C44" s="8" t="inlineStr">
        <is>
          <t>4กล.</t>
        </is>
      </c>
      <c r="D44" s="9" t="n">
        <v>250</v>
      </c>
      <c r="H44" s="9" t="n">
        <v>1000</v>
      </c>
      <c r="I44" s="10" t="inlineStr">
        <is>
          <t>โปรไทยคลีนนิ่ง</t>
        </is>
      </c>
      <c r="J44" s="161" t="n">
        <v>23642</v>
      </c>
    </row>
    <row r="45" ht="21" customHeight="1">
      <c r="B45" s="6" t="inlineStr">
        <is>
          <t xml:space="preserve">น้ำยาลงล้อดำ </t>
        </is>
      </c>
      <c r="C45" s="8" t="inlineStr">
        <is>
          <t>2กล.</t>
        </is>
      </c>
      <c r="D45" s="9" t="n">
        <v>250</v>
      </c>
      <c r="H45" s="9" t="n">
        <v>500</v>
      </c>
      <c r="I45" s="10" t="inlineStr">
        <is>
          <t>โปรไทยคลีนนิ่ง</t>
        </is>
      </c>
      <c r="J45" s="161" t="n">
        <v>23925</v>
      </c>
    </row>
    <row r="46" ht="21" customHeight="1">
      <c r="B46" s="6" t="inlineStr">
        <is>
          <t xml:space="preserve">น้ำยาลงล้อดำ </t>
        </is>
      </c>
      <c r="C46" s="8" t="inlineStr">
        <is>
          <t>2กล.</t>
        </is>
      </c>
      <c r="D46" s="9" t="n">
        <v>250</v>
      </c>
      <c r="H46" s="9" t="n">
        <v>500</v>
      </c>
      <c r="I46" s="10" t="inlineStr">
        <is>
          <t>โปรไทยคลีนนิ่ง</t>
        </is>
      </c>
      <c r="J46" s="161" t="n">
        <v>24086</v>
      </c>
    </row>
    <row r="47" ht="21" customHeight="1">
      <c r="B47" s="6" t="inlineStr">
        <is>
          <t xml:space="preserve">น้ำยาลงล้อดำ </t>
        </is>
      </c>
      <c r="C47" s="8" t="inlineStr">
        <is>
          <t>4กล.</t>
        </is>
      </c>
      <c r="D47" s="9" t="n">
        <v>280</v>
      </c>
      <c r="H47" s="9" t="n">
        <v>1120</v>
      </c>
      <c r="I47" s="10" t="inlineStr">
        <is>
          <t>โปรไทยคลีนนิ่ง</t>
        </is>
      </c>
      <c r="J47" s="161" t="n">
        <v>24438</v>
      </c>
    </row>
    <row r="48" ht="21" customHeight="1">
      <c r="B48" s="6" t="inlineStr">
        <is>
          <t xml:space="preserve">น้ำยาลงล้อดำ </t>
        </is>
      </c>
      <c r="C48" s="8" t="n">
        <v>4</v>
      </c>
      <c r="D48" s="9" t="n">
        <v>280</v>
      </c>
      <c r="H48" s="9">
        <f>SUM(D48*C48)</f>
        <v/>
      </c>
      <c r="I48" s="10" t="inlineStr">
        <is>
          <t>โปรไทยคลีนนิ่ง</t>
        </is>
      </c>
      <c r="J48" s="161" t="n">
        <v>24562</v>
      </c>
    </row>
    <row r="49" ht="21" customHeight="1">
      <c r="B49" s="6" t="inlineStr">
        <is>
          <t xml:space="preserve">น้ำยาลงล้อดำ </t>
        </is>
      </c>
      <c r="C49" s="8" t="n">
        <v>4</v>
      </c>
      <c r="D49" s="9" t="n">
        <v>280</v>
      </c>
      <c r="H49" s="9">
        <f>SUM(D49*C49)</f>
        <v/>
      </c>
      <c r="I49" s="10" t="inlineStr">
        <is>
          <t>โปรไทยคลีนนิ่ง</t>
        </is>
      </c>
      <c r="J49" s="161" t="n">
        <v>24563</v>
      </c>
    </row>
    <row r="50" ht="21" customHeight="1">
      <c r="B50" s="6" t="inlineStr">
        <is>
          <t xml:space="preserve">น้ำยาลงล้อดำ </t>
        </is>
      </c>
      <c r="C50" s="8" t="n">
        <v>2</v>
      </c>
      <c r="D50" s="9" t="n">
        <v>280</v>
      </c>
      <c r="H50" s="9">
        <f>SUM(D50*C50)</f>
        <v/>
      </c>
      <c r="I50" s="10" t="inlineStr">
        <is>
          <t>โปรไทยคลีนนิ่ง</t>
        </is>
      </c>
      <c r="J50" s="161" t="n">
        <v>24808</v>
      </c>
    </row>
    <row r="51" ht="21" customHeight="1">
      <c r="B51" s="6" t="inlineStr">
        <is>
          <t xml:space="preserve">น้ำยาลงล้อดำ </t>
        </is>
      </c>
      <c r="C51" s="8" t="n">
        <v>2</v>
      </c>
      <c r="D51" s="9" t="n">
        <v>280</v>
      </c>
      <c r="H51" s="9">
        <f>SUM(D51*C51)</f>
        <v/>
      </c>
      <c r="I51" s="10" t="inlineStr">
        <is>
          <t>โปรไทยคลีนนิ่ง</t>
        </is>
      </c>
      <c r="J51" s="161" t="n">
        <v>24886</v>
      </c>
      <c r="L51" s="18" t="inlineStr">
        <is>
          <t>ก่อนสั่งเหลือสต๊อค 2กล.(7/4/68)</t>
        </is>
      </c>
    </row>
    <row r="52" ht="21" customHeight="1">
      <c r="B52" s="6" t="inlineStr">
        <is>
          <t xml:space="preserve">น้ำยาลงล้อดำ </t>
        </is>
      </c>
      <c r="C52" s="8" t="n">
        <v>2</v>
      </c>
      <c r="D52" s="9" t="n">
        <v>299.6</v>
      </c>
      <c r="H52" s="9">
        <f>SUM(D52*C52)</f>
        <v/>
      </c>
      <c r="I52" s="10" t="inlineStr">
        <is>
          <t>โปรไทยคลีนนิ่ง</t>
        </is>
      </c>
      <c r="J52" s="161" t="n">
        <v>24950</v>
      </c>
      <c r="L52" s="18" t="inlineStr">
        <is>
          <t>ราคารวม VAT แล้ว</t>
        </is>
      </c>
    </row>
    <row r="53" ht="21" customHeight="1">
      <c r="B53" s="6" t="inlineStr">
        <is>
          <t xml:space="preserve">น้ำยาลงล้อดำ </t>
        </is>
      </c>
      <c r="C53" s="8" t="n">
        <v>2</v>
      </c>
      <c r="D53" s="9" t="n">
        <v>280</v>
      </c>
      <c r="H53" s="9">
        <f>SUM(D53*C53)</f>
        <v/>
      </c>
      <c r="I53" s="10" t="inlineStr">
        <is>
          <t>โปรไทยคลีนนิ่ง</t>
        </is>
      </c>
      <c r="J53" s="161" t="n">
        <v>25063</v>
      </c>
      <c r="L53" s="18" t="inlineStr">
        <is>
          <t>ราคาซื้อไม่เอา VAT</t>
        </is>
      </c>
    </row>
    <row r="54" ht="21" customHeight="1">
      <c r="B54" s="6" t="inlineStr">
        <is>
          <t xml:space="preserve">น้ำยาลงล้อดำ </t>
        </is>
      </c>
      <c r="C54" s="8" t="n">
        <v>2</v>
      </c>
      <c r="D54" s="9" t="n">
        <v>280</v>
      </c>
      <c r="H54" s="9">
        <f>SUM(D54*C54)</f>
        <v/>
      </c>
      <c r="I54" s="10" t="inlineStr">
        <is>
          <t>โปรไทยคลีนนิ่ง</t>
        </is>
      </c>
      <c r="J54" s="161" t="n">
        <v>25100</v>
      </c>
      <c r="L54" s="18" t="inlineStr">
        <is>
          <t>ราคาซื้อไม่เอา VAT</t>
        </is>
      </c>
    </row>
    <row r="55" ht="21" customHeight="1">
      <c r="B55" s="6" t="inlineStr">
        <is>
          <t xml:space="preserve">น้ำยาลงล้อดำ </t>
        </is>
      </c>
      <c r="C55" s="8" t="n">
        <v>2</v>
      </c>
      <c r="D55" s="9" t="n">
        <v>280</v>
      </c>
      <c r="E55" s="9">
        <f>SUM(D55*C55)</f>
        <v/>
      </c>
      <c r="G55" s="8" t="inlineStr">
        <is>
          <t>รวมVAT=</t>
        </is>
      </c>
      <c r="H55" s="9">
        <f>SUM(E55*107/100)</f>
        <v/>
      </c>
      <c r="I55" s="10" t="inlineStr">
        <is>
          <t>โปรไทยคลีนนิ่ง</t>
        </is>
      </c>
      <c r="J55" s="161" t="n">
        <v>25239</v>
      </c>
    </row>
    <row r="57" ht="21" customHeight="1">
      <c r="A57" s="11" t="inlineStr">
        <is>
          <t>ซิลิโคลน</t>
        </is>
      </c>
      <c r="B57" s="6" t="inlineStr">
        <is>
          <t>ซิลิโคลน สีเทา E104 Sparko</t>
        </is>
      </c>
      <c r="C57" s="8" t="inlineStr">
        <is>
          <t>5หลอด</t>
        </is>
      </c>
      <c r="D57" s="9" t="n">
        <v>75</v>
      </c>
      <c r="H57" s="9" t="n">
        <v>375</v>
      </c>
      <c r="I57" s="10" t="inlineStr">
        <is>
          <t>ศรีสยาม</t>
        </is>
      </c>
      <c r="J57" s="161" t="n">
        <v>22461</v>
      </c>
    </row>
    <row r="58" ht="21" customHeight="1">
      <c r="A58" s="53" t="inlineStr">
        <is>
          <t>เก็บลูกค้าหลอดละ 200 บาท</t>
        </is>
      </c>
      <c r="B58" s="6" t="inlineStr">
        <is>
          <t>ซิลิโคลน สีเทา E104 Sparko (1ลัง = 25หลอด)</t>
        </is>
      </c>
      <c r="C58" s="8" t="inlineStr">
        <is>
          <t>25หลอด</t>
        </is>
      </c>
      <c r="D58" s="9" t="n">
        <v>70</v>
      </c>
      <c r="H58" s="9" t="n">
        <v>1750</v>
      </c>
      <c r="I58" s="10" t="inlineStr">
        <is>
          <t>ศรีสยาม</t>
        </is>
      </c>
      <c r="J58" s="161" t="n">
        <v>23203</v>
      </c>
    </row>
    <row r="59" ht="21" customHeight="1">
      <c r="B59" s="6" t="inlineStr">
        <is>
          <t xml:space="preserve">ซิลิโคลน สีเทา  Sparko </t>
        </is>
      </c>
      <c r="C59" s="8" t="inlineStr">
        <is>
          <t>1หลอด</t>
        </is>
      </c>
      <c r="D59" s="9" t="n">
        <v>95</v>
      </c>
      <c r="H59" s="9" t="n">
        <v>95</v>
      </c>
      <c r="I59" s="10" t="inlineStr">
        <is>
          <t>ศรีสยาม</t>
        </is>
      </c>
      <c r="J59" s="161" t="n">
        <v>23634</v>
      </c>
    </row>
    <row r="60" ht="21" customHeight="1">
      <c r="B60" s="6" t="inlineStr">
        <is>
          <t xml:space="preserve">ซิลิโคลน สีเทา  Sparko </t>
        </is>
      </c>
      <c r="C60" s="8" t="inlineStr">
        <is>
          <t>1หลอด</t>
        </is>
      </c>
      <c r="D60" s="9" t="n">
        <v>95</v>
      </c>
      <c r="H60" s="9" t="n">
        <v>95</v>
      </c>
      <c r="I60" s="10" t="inlineStr">
        <is>
          <t>ศรีสยาม</t>
        </is>
      </c>
      <c r="J60" s="161" t="n">
        <v>23635</v>
      </c>
    </row>
    <row r="61" ht="21" customHeight="1">
      <c r="B61" s="6" t="inlineStr">
        <is>
          <t xml:space="preserve">ซิลิโคลน สีเทา  Sparko </t>
        </is>
      </c>
      <c r="C61" s="8" t="inlineStr">
        <is>
          <t>1หลอด</t>
        </is>
      </c>
      <c r="D61" s="9" t="n">
        <v>95</v>
      </c>
      <c r="H61" s="9" t="n">
        <v>95</v>
      </c>
      <c r="I61" s="10" t="inlineStr">
        <is>
          <t>ศรีสยาม</t>
        </is>
      </c>
      <c r="J61" s="161" t="n">
        <v>23690</v>
      </c>
    </row>
    <row r="62" ht="21" customHeight="1">
      <c r="B62" s="6" t="inlineStr">
        <is>
          <t xml:space="preserve">ซิลิโคลน สีเทา  Sparko </t>
        </is>
      </c>
      <c r="C62" s="8" t="inlineStr">
        <is>
          <t>2หลอด</t>
        </is>
      </c>
      <c r="D62" s="9" t="n">
        <v>95</v>
      </c>
      <c r="H62" s="9" t="n">
        <v>190</v>
      </c>
      <c r="I62" s="10" t="inlineStr">
        <is>
          <t>ศรีสยาม</t>
        </is>
      </c>
      <c r="J62" s="161" t="n">
        <v>23717</v>
      </c>
    </row>
    <row r="63" ht="21" customHeight="1">
      <c r="B63" s="6" t="inlineStr">
        <is>
          <t xml:space="preserve">ซิลิโคลน สีเทา  Sparko </t>
        </is>
      </c>
      <c r="C63" s="8" t="inlineStr">
        <is>
          <t>2หลอด</t>
        </is>
      </c>
      <c r="D63" s="9" t="n">
        <v>95</v>
      </c>
      <c r="H63" s="9" t="n">
        <v>190</v>
      </c>
      <c r="I63" s="10" t="inlineStr">
        <is>
          <t>ศรีสยาม</t>
        </is>
      </c>
      <c r="J63" s="161" t="n">
        <v>23727</v>
      </c>
    </row>
    <row r="64" ht="21" customHeight="1">
      <c r="B64" s="6" t="inlineStr">
        <is>
          <t xml:space="preserve">ซิลิโคลน สีเทา  Sparko </t>
        </is>
      </c>
      <c r="C64" s="8" t="inlineStr">
        <is>
          <t>2หลอด</t>
        </is>
      </c>
      <c r="D64" s="9" t="n">
        <v>95</v>
      </c>
      <c r="H64" s="9" t="n">
        <v>190</v>
      </c>
      <c r="I64" s="10" t="inlineStr">
        <is>
          <t>ศรีสยาม</t>
        </is>
      </c>
      <c r="J64" s="161" t="n">
        <v>23838</v>
      </c>
    </row>
    <row r="65" ht="21" customHeight="1">
      <c r="B65" s="6" t="inlineStr">
        <is>
          <t xml:space="preserve">ซิลิโคลน สีเทา  Sparko </t>
        </is>
      </c>
      <c r="C65" s="8" t="inlineStr">
        <is>
          <t>6หลอด</t>
        </is>
      </c>
      <c r="D65" s="9" t="n">
        <v>95</v>
      </c>
      <c r="H65" s="9" t="n">
        <v>570</v>
      </c>
      <c r="I65" s="10" t="inlineStr">
        <is>
          <t>ศรีสยาม</t>
        </is>
      </c>
      <c r="J65" s="161" t="n">
        <v>23904</v>
      </c>
    </row>
    <row r="66" ht="21" customHeight="1">
      <c r="B66" s="6" t="inlineStr">
        <is>
          <t>ซิลิโคลน สีเทา  GTO 310ml.</t>
        </is>
      </c>
      <c r="C66" s="8" t="inlineStr">
        <is>
          <t>6หลอด</t>
        </is>
      </c>
      <c r="D66" s="9" t="n">
        <v>67</v>
      </c>
      <c r="H66" s="9" t="n">
        <v>402</v>
      </c>
      <c r="I66" s="10" t="inlineStr">
        <is>
          <t>ทาเลนท์</t>
        </is>
      </c>
      <c r="J66" s="161" t="n">
        <v>23911</v>
      </c>
      <c r="K66" s="161" t="inlineStr">
        <is>
          <t>IB3002779</t>
        </is>
      </c>
    </row>
    <row r="67" ht="21" customHeight="1">
      <c r="B67" s="6" t="inlineStr">
        <is>
          <t xml:space="preserve">ซิลิโคลน สีเทา  Sparko </t>
        </is>
      </c>
      <c r="C67" s="8" t="inlineStr">
        <is>
          <t>1หลอด</t>
        </is>
      </c>
      <c r="D67" s="9" t="n">
        <v>90</v>
      </c>
      <c r="H67" s="9" t="n">
        <v>90</v>
      </c>
      <c r="I67" s="10" t="inlineStr">
        <is>
          <t>ศรีสยาม</t>
        </is>
      </c>
      <c r="J67" s="161" t="n">
        <v>24195</v>
      </c>
    </row>
    <row r="68" ht="21" customHeight="1">
      <c r="B68" s="6" t="inlineStr">
        <is>
          <t xml:space="preserve">ซิลิโคลน สีเทา  Sparko </t>
        </is>
      </c>
      <c r="C68" s="8" t="inlineStr">
        <is>
          <t>1หลอด</t>
        </is>
      </c>
      <c r="D68" s="9" t="n">
        <v>90</v>
      </c>
      <c r="H68" s="9" t="n">
        <v>90</v>
      </c>
      <c r="I68" s="10" t="inlineStr">
        <is>
          <t>ศรีสยาม</t>
        </is>
      </c>
      <c r="J68" s="161" t="n">
        <v>24279</v>
      </c>
    </row>
    <row r="69" ht="21" customHeight="1">
      <c r="B69" s="6" t="inlineStr">
        <is>
          <t xml:space="preserve">ซิลิโคลน สีเทา  Sparko </t>
        </is>
      </c>
      <c r="C69" s="8" t="inlineStr">
        <is>
          <t>1หลอด</t>
        </is>
      </c>
      <c r="D69" s="9" t="n">
        <v>90</v>
      </c>
      <c r="H69" s="9" t="n">
        <v>90</v>
      </c>
      <c r="I69" s="10" t="inlineStr">
        <is>
          <t>ศรีสยาม</t>
        </is>
      </c>
      <c r="J69" s="161" t="n">
        <v>24320</v>
      </c>
    </row>
    <row r="70" ht="21" customHeight="1">
      <c r="B70" s="6" t="inlineStr">
        <is>
          <t xml:space="preserve">ซิลิโคลน สีเทา  Sparko </t>
        </is>
      </c>
      <c r="C70" s="8" t="inlineStr">
        <is>
          <t>1หลอด</t>
        </is>
      </c>
      <c r="D70" s="9" t="n">
        <v>90</v>
      </c>
      <c r="H70" s="9" t="n">
        <v>90</v>
      </c>
      <c r="I70" s="10" t="inlineStr">
        <is>
          <t>ศรีสยาม</t>
        </is>
      </c>
      <c r="J70" s="161" t="n">
        <v>24545</v>
      </c>
    </row>
    <row r="71" ht="21" customHeight="1">
      <c r="B71" s="6" t="inlineStr">
        <is>
          <t xml:space="preserve">ซิลิโคลน สีเทา  Sparko </t>
        </is>
      </c>
      <c r="C71" s="8" t="n">
        <v>1</v>
      </c>
      <c r="D71" s="9" t="n">
        <v>90</v>
      </c>
      <c r="H71" s="9" t="n">
        <v>90</v>
      </c>
      <c r="I71" s="10" t="inlineStr">
        <is>
          <t>ศรีสยาม</t>
        </is>
      </c>
      <c r="J71" s="161" t="n">
        <v>24605</v>
      </c>
    </row>
    <row r="72" ht="21" customHeight="1">
      <c r="B72" s="6" t="inlineStr">
        <is>
          <t xml:space="preserve">ซิลิโคลน สีเทา  Sparko </t>
        </is>
      </c>
      <c r="C72" s="8" t="n">
        <v>1</v>
      </c>
      <c r="D72" s="9" t="n">
        <v>90</v>
      </c>
      <c r="H72" s="9" t="n">
        <v>90</v>
      </c>
      <c r="I72" s="10" t="inlineStr">
        <is>
          <t>ศรีสยาม</t>
        </is>
      </c>
      <c r="J72" s="161" t="n">
        <v>24643</v>
      </c>
    </row>
    <row r="73" ht="21" customHeight="1">
      <c r="B73" s="6" t="inlineStr">
        <is>
          <t xml:space="preserve">ซิลิโคลน สีเทา  Sparko </t>
        </is>
      </c>
      <c r="C73" s="8" t="n">
        <v>1</v>
      </c>
      <c r="D73" s="9" t="n">
        <v>90</v>
      </c>
      <c r="H73" s="9" t="n">
        <v>90</v>
      </c>
      <c r="I73" s="10" t="inlineStr">
        <is>
          <t>ศรีสยาม</t>
        </is>
      </c>
      <c r="J73" s="161" t="n">
        <v>24656</v>
      </c>
    </row>
    <row r="74" ht="21" customHeight="1">
      <c r="B74" s="6" t="inlineStr">
        <is>
          <t>ซิลิโคลน สีเทา  DOWSIL GP</t>
        </is>
      </c>
      <c r="C74" s="8" t="n">
        <v>1</v>
      </c>
      <c r="D74" s="9" t="n">
        <v>80</v>
      </c>
      <c r="H74" s="9">
        <f>SUM(D74*C74)</f>
        <v/>
      </c>
      <c r="I74" s="10" t="inlineStr">
        <is>
          <t>ร้านโรจน</t>
        </is>
      </c>
      <c r="J74" s="161" t="n">
        <v>24678</v>
      </c>
    </row>
    <row r="75" ht="21" customHeight="1">
      <c r="B75" s="6" t="inlineStr">
        <is>
          <t>ซิลิโคลน สีเทา  DOWSIL GP</t>
        </is>
      </c>
      <c r="C75" s="8" t="n">
        <v>2</v>
      </c>
      <c r="D75" s="9" t="n">
        <v>80</v>
      </c>
      <c r="H75" s="9">
        <f>SUM(D75*C75)</f>
        <v/>
      </c>
      <c r="I75" s="10" t="inlineStr">
        <is>
          <t>ร้านโรจน</t>
        </is>
      </c>
      <c r="J75" s="161" t="n">
        <v>24679</v>
      </c>
    </row>
    <row r="76" ht="21" customHeight="1">
      <c r="B76" s="6" t="inlineStr">
        <is>
          <t>ซิลิโคลน สีเทา  DOWSIL GP</t>
        </is>
      </c>
      <c r="C76" s="8" t="n">
        <v>1</v>
      </c>
      <c r="D76" s="9" t="n">
        <v>80</v>
      </c>
      <c r="H76" s="9">
        <f>SUM(D76*C76)</f>
        <v/>
      </c>
      <c r="I76" s="10" t="inlineStr">
        <is>
          <t>ร้านโรจน</t>
        </is>
      </c>
      <c r="J76" s="161" t="n">
        <v>24710</v>
      </c>
    </row>
    <row r="77" ht="21" customHeight="1">
      <c r="B77" s="6" t="inlineStr">
        <is>
          <t>ซิลิโคลน สีเทา  DOWSIL GP</t>
        </is>
      </c>
      <c r="C77" s="8" t="n">
        <v>1</v>
      </c>
      <c r="D77" s="9" t="n">
        <v>80</v>
      </c>
      <c r="H77" s="9">
        <f>SUM(D77*C77)</f>
        <v/>
      </c>
      <c r="I77" s="10" t="inlineStr">
        <is>
          <t>ร้านโรจน</t>
        </is>
      </c>
      <c r="J77" s="161" t="n">
        <v>24739</v>
      </c>
    </row>
    <row r="78" ht="21" customHeight="1">
      <c r="B78" s="6" t="inlineStr">
        <is>
          <t>ซิลิโคลน สีเทา  DOWSIL GP</t>
        </is>
      </c>
      <c r="C78" s="8" t="n">
        <v>1</v>
      </c>
      <c r="D78" s="9" t="n">
        <v>80</v>
      </c>
      <c r="H78" s="9">
        <f>SUM(D78*C78)</f>
        <v/>
      </c>
      <c r="I78" s="10" t="inlineStr">
        <is>
          <t>ร้านโรจน</t>
        </is>
      </c>
      <c r="J78" s="161" t="n">
        <v>24869</v>
      </c>
    </row>
    <row r="79" ht="21" customHeight="1">
      <c r="B79" s="6" t="inlineStr">
        <is>
          <t>ซิลิโคลน สีเทา  DOWSIL GP</t>
        </is>
      </c>
      <c r="C79" s="8" t="n">
        <v>2</v>
      </c>
      <c r="D79" s="9" t="n">
        <v>80</v>
      </c>
      <c r="H79" s="9">
        <f>SUM(D79*C79)</f>
        <v/>
      </c>
      <c r="I79" s="10" t="inlineStr">
        <is>
          <t>ร้านโรจน</t>
        </is>
      </c>
      <c r="J79" s="161" t="n">
        <v>24882</v>
      </c>
    </row>
    <row r="80" ht="21" customHeight="1">
      <c r="B80" s="6" t="inlineStr">
        <is>
          <t>ซิลิโคลน สีเทา  Giant Kingkong 280 มล.</t>
        </is>
      </c>
      <c r="C80" s="8" t="n">
        <v>2</v>
      </c>
      <c r="D80" s="9" t="n">
        <v>68</v>
      </c>
      <c r="H80" s="9">
        <f>SUM(D80*C80)</f>
        <v/>
      </c>
      <c r="I80" s="10" t="inlineStr">
        <is>
          <t>ไทวัสดุ</t>
        </is>
      </c>
      <c r="J80" s="161" t="n">
        <v>24896</v>
      </c>
    </row>
    <row r="81" ht="21" customHeight="1">
      <c r="B81" s="6" t="inlineStr">
        <is>
          <t>ซิลิโคลน สีเทา  Giant Kingkong 280 มล.</t>
        </is>
      </c>
      <c r="C81" s="8" t="n">
        <v>2</v>
      </c>
      <c r="D81" s="9" t="n">
        <v>68</v>
      </c>
      <c r="H81" s="9">
        <f>SUM(D81*C81)</f>
        <v/>
      </c>
      <c r="I81" s="10" t="inlineStr">
        <is>
          <t>ไทวัสดุ</t>
        </is>
      </c>
      <c r="J81" s="161" t="n">
        <v>24927</v>
      </c>
    </row>
    <row r="82" ht="21" customHeight="1">
      <c r="B82" s="6" t="inlineStr">
        <is>
          <t>ซิลิโคลน สีเทา  DOWSIL GP</t>
        </is>
      </c>
      <c r="C82" s="8" t="n">
        <v>3</v>
      </c>
      <c r="D82" s="9" t="n">
        <v>80</v>
      </c>
      <c r="H82" s="9">
        <f>SUM(D82*C82)</f>
        <v/>
      </c>
      <c r="I82" s="10" t="inlineStr">
        <is>
          <t>ร้านโรจน</t>
        </is>
      </c>
      <c r="J82" s="161" t="n">
        <v>25003</v>
      </c>
    </row>
    <row r="83" ht="21" customHeight="1">
      <c r="B83" s="6" t="inlineStr">
        <is>
          <t>ซิลิโคลน สีเทา  DOWSIL GP</t>
        </is>
      </c>
      <c r="C83" s="8" t="n">
        <v>6</v>
      </c>
      <c r="D83" s="9" t="n">
        <v>75</v>
      </c>
      <c r="H83" s="9">
        <f>SUM(D83*C83)</f>
        <v/>
      </c>
      <c r="I83" s="10" t="inlineStr">
        <is>
          <t>ร้านโรจน</t>
        </is>
      </c>
      <c r="J83" s="161" t="n">
        <v>25035</v>
      </c>
    </row>
    <row r="85" ht="21" customHeight="1">
      <c r="A85" s="53" t="inlineStr">
        <is>
          <t>เก็บลูกค้าหลอดละ 200 บาท</t>
        </is>
      </c>
      <c r="B85" s="6" t="inlineStr">
        <is>
          <t>ซิลิโคลน สีดำ Sparko (1ลัง = 25หลอด)</t>
        </is>
      </c>
      <c r="C85" s="8" t="inlineStr">
        <is>
          <t>25หลอด</t>
        </is>
      </c>
      <c r="D85" s="9" t="n">
        <v>70</v>
      </c>
      <c r="H85" s="9" t="n">
        <v>1750</v>
      </c>
      <c r="I85" s="10" t="inlineStr">
        <is>
          <t>ศรีสยาม</t>
        </is>
      </c>
      <c r="J85" s="161" t="n">
        <v>23263</v>
      </c>
    </row>
    <row r="86" ht="21" customHeight="1">
      <c r="B86" s="6" t="inlineStr">
        <is>
          <t>ซิลิโคลน สีดำ Sparko</t>
        </is>
      </c>
      <c r="C86" s="8" t="inlineStr">
        <is>
          <t>2หลอด</t>
        </is>
      </c>
      <c r="D86" s="9" t="n">
        <v>95</v>
      </c>
      <c r="H86" s="9" t="n">
        <v>190</v>
      </c>
      <c r="I86" s="10" t="inlineStr">
        <is>
          <t>ศรีสยาม</t>
        </is>
      </c>
      <c r="J86" s="161" t="n">
        <v>23690</v>
      </c>
    </row>
    <row r="87" ht="21" customHeight="1">
      <c r="B87" s="6" t="inlineStr">
        <is>
          <t>ซิลิโคลน สีดำ Sparko</t>
        </is>
      </c>
      <c r="C87" s="8" t="inlineStr">
        <is>
          <t>2หลอด</t>
        </is>
      </c>
      <c r="D87" s="9" t="n">
        <v>95</v>
      </c>
      <c r="H87" s="9" t="n">
        <v>190</v>
      </c>
      <c r="I87" s="10" t="inlineStr">
        <is>
          <t>ศรีสยาม</t>
        </is>
      </c>
      <c r="J87" s="161" t="n">
        <v>23862</v>
      </c>
    </row>
    <row r="88" ht="21" customHeight="1">
      <c r="B88" s="6" t="inlineStr">
        <is>
          <t>ซิลิโคลน สีดำ Sparko</t>
        </is>
      </c>
      <c r="C88" s="8" t="inlineStr">
        <is>
          <t>1หลอด</t>
        </is>
      </c>
      <c r="D88" s="9" t="n">
        <v>95</v>
      </c>
      <c r="H88" s="9" t="n">
        <v>95</v>
      </c>
      <c r="I88" s="10" t="inlineStr">
        <is>
          <t>ศรีสยาม</t>
        </is>
      </c>
      <c r="J88" s="161" t="n">
        <v>23904</v>
      </c>
    </row>
    <row r="89" ht="21" customHeight="1">
      <c r="B89" s="6" t="inlineStr">
        <is>
          <t>ซิลิโคลน สีดำ Sparko</t>
        </is>
      </c>
      <c r="C89" s="8" t="inlineStr">
        <is>
          <t>2หลอด</t>
        </is>
      </c>
      <c r="D89" s="9" t="n">
        <v>95</v>
      </c>
      <c r="H89" s="9" t="n">
        <v>190</v>
      </c>
      <c r="I89" s="10" t="inlineStr">
        <is>
          <t>ศรีสยาม</t>
        </is>
      </c>
      <c r="J89" s="161" t="n">
        <v>23904</v>
      </c>
    </row>
    <row r="90" ht="21" customHeight="1">
      <c r="B90" s="6" t="inlineStr">
        <is>
          <t>ซิลิโคลน สีดำ GTO 310ml.</t>
        </is>
      </c>
      <c r="C90" s="8" t="inlineStr">
        <is>
          <t>7หลอด</t>
        </is>
      </c>
      <c r="D90" s="9" t="n">
        <v>67</v>
      </c>
      <c r="H90" s="9" t="n">
        <v>469</v>
      </c>
      <c r="I90" s="10" t="inlineStr">
        <is>
          <t>ทาเลนท์</t>
        </is>
      </c>
      <c r="J90" s="161" t="n">
        <v>23911</v>
      </c>
      <c r="K90" s="161" t="inlineStr">
        <is>
          <t>IB3002779</t>
        </is>
      </c>
    </row>
    <row r="91" ht="21" customHeight="1">
      <c r="B91" s="6" t="inlineStr">
        <is>
          <t>ซิลิโคลน สีดำ Sparko</t>
        </is>
      </c>
      <c r="C91" s="8" t="inlineStr">
        <is>
          <t>2หลอด</t>
        </is>
      </c>
      <c r="D91" s="9" t="n">
        <v>90</v>
      </c>
      <c r="H91" s="9" t="n">
        <v>180</v>
      </c>
      <c r="I91" s="10" t="inlineStr">
        <is>
          <t>ศรีสยาม</t>
        </is>
      </c>
      <c r="J91" s="161" t="n">
        <v>24195</v>
      </c>
    </row>
    <row r="92" ht="21" customHeight="1">
      <c r="B92" s="6" t="inlineStr">
        <is>
          <t>ซิลิโคลน สีดำ Sparko</t>
        </is>
      </c>
      <c r="C92" s="8" t="inlineStr">
        <is>
          <t>1หลอด</t>
        </is>
      </c>
      <c r="D92" s="9" t="n">
        <v>90</v>
      </c>
      <c r="H92" s="9" t="n">
        <v>90</v>
      </c>
      <c r="I92" s="10" t="inlineStr">
        <is>
          <t>ศรีสยาม</t>
        </is>
      </c>
      <c r="J92" s="161" t="n">
        <v>24280</v>
      </c>
    </row>
    <row r="93" ht="21" customHeight="1">
      <c r="B93" s="6" t="inlineStr">
        <is>
          <t>ซิลิโคลน สีดำ Sparko</t>
        </is>
      </c>
      <c r="C93" s="8" t="inlineStr">
        <is>
          <t>2หลอด</t>
        </is>
      </c>
      <c r="D93" s="9" t="n">
        <v>90</v>
      </c>
      <c r="H93" s="9" t="n">
        <v>180</v>
      </c>
      <c r="I93" s="10" t="inlineStr">
        <is>
          <t>ศรีสยาม</t>
        </is>
      </c>
      <c r="J93" s="161" t="n">
        <v>24312</v>
      </c>
    </row>
    <row r="94" ht="21" customHeight="1">
      <c r="B94" s="6" t="inlineStr">
        <is>
          <t>ซิลิโคลน สีดำ Sparko</t>
        </is>
      </c>
      <c r="C94" s="8" t="inlineStr">
        <is>
          <t>1หลอด</t>
        </is>
      </c>
      <c r="D94" s="9" t="n">
        <v>90</v>
      </c>
      <c r="H94" s="9" t="n">
        <v>90</v>
      </c>
      <c r="I94" s="10" t="inlineStr">
        <is>
          <t>ศรีสยาม</t>
        </is>
      </c>
      <c r="J94" s="161" t="n">
        <v>24320</v>
      </c>
    </row>
    <row r="95" ht="21" customHeight="1">
      <c r="B95" s="6" t="inlineStr">
        <is>
          <t>ซิลิโคลน สีดำ Sparko</t>
        </is>
      </c>
      <c r="C95" s="8" t="inlineStr">
        <is>
          <t>2หลอด</t>
        </is>
      </c>
      <c r="D95" s="9" t="n">
        <v>90</v>
      </c>
      <c r="H95" s="9" t="n">
        <v>180</v>
      </c>
      <c r="I95" s="10" t="inlineStr">
        <is>
          <t>ศรีสยาม</t>
        </is>
      </c>
      <c r="J95" s="161" t="n">
        <v>24424</v>
      </c>
    </row>
    <row r="96" ht="21" customHeight="1">
      <c r="B96" s="6" t="inlineStr">
        <is>
          <t>ซิลิโคลน สีดำ Sparko</t>
        </is>
      </c>
      <c r="C96" s="8" t="inlineStr">
        <is>
          <t>2หลอด</t>
        </is>
      </c>
      <c r="D96" s="9" t="n">
        <v>90</v>
      </c>
      <c r="H96" s="9" t="n">
        <v>180</v>
      </c>
      <c r="I96" s="10" t="inlineStr">
        <is>
          <t>ศรีสยาม</t>
        </is>
      </c>
      <c r="J96" s="161" t="n">
        <v>24484</v>
      </c>
    </row>
    <row r="97" ht="21" customHeight="1">
      <c r="B97" s="6" t="inlineStr">
        <is>
          <t>ซิลิโคลน สีดำ Sparko</t>
        </is>
      </c>
      <c r="C97" s="8" t="inlineStr">
        <is>
          <t>2หลอด</t>
        </is>
      </c>
      <c r="D97" s="9" t="n">
        <v>90</v>
      </c>
      <c r="H97" s="9" t="n">
        <v>180</v>
      </c>
      <c r="I97" s="10" t="inlineStr">
        <is>
          <t>ศรีสยาม</t>
        </is>
      </c>
      <c r="J97" s="161" t="n">
        <v>24545</v>
      </c>
    </row>
    <row r="98" ht="21" customHeight="1">
      <c r="B98" s="6" t="inlineStr">
        <is>
          <t>ซิลิโคลน สีดำ Sparko</t>
        </is>
      </c>
      <c r="C98" s="8" t="inlineStr">
        <is>
          <t>2หลอด</t>
        </is>
      </c>
      <c r="D98" s="9" t="n">
        <v>90</v>
      </c>
      <c r="H98" s="9" t="n">
        <v>180</v>
      </c>
      <c r="I98" s="10" t="inlineStr">
        <is>
          <t>ศรีสยาม</t>
        </is>
      </c>
      <c r="J98" s="161" t="n">
        <v>24598</v>
      </c>
    </row>
    <row r="99" ht="21" customHeight="1">
      <c r="B99" s="6" t="inlineStr">
        <is>
          <t>ซิลิโคลน สีดำ Sparko</t>
        </is>
      </c>
      <c r="C99" s="8" t="inlineStr">
        <is>
          <t>1หลอด</t>
        </is>
      </c>
      <c r="D99" s="9" t="n">
        <v>90</v>
      </c>
      <c r="H99" s="9" t="n">
        <v>90</v>
      </c>
      <c r="I99" s="10" t="inlineStr">
        <is>
          <t>ศรีสยาม</t>
        </is>
      </c>
      <c r="J99" s="161" t="n">
        <v>24643</v>
      </c>
    </row>
    <row r="100" ht="21" customHeight="1">
      <c r="B100" s="6" t="inlineStr">
        <is>
          <t>ซิลิโคลน สีดำ Sparko</t>
        </is>
      </c>
      <c r="C100" s="8" t="inlineStr">
        <is>
          <t>1หลอด</t>
        </is>
      </c>
      <c r="D100" s="9" t="n">
        <v>90</v>
      </c>
      <c r="H100" s="9" t="n">
        <v>90</v>
      </c>
      <c r="I100" s="10" t="inlineStr">
        <is>
          <t>ศรีสยาม</t>
        </is>
      </c>
      <c r="J100" s="161" t="n">
        <v>24656</v>
      </c>
    </row>
    <row r="101" ht="21" customHeight="1">
      <c r="B101" s="6" t="inlineStr">
        <is>
          <t>ซิลิโคลน สีดำ  DOWSIL GP</t>
        </is>
      </c>
      <c r="C101" s="8" t="n">
        <v>1</v>
      </c>
      <c r="D101" s="9" t="n">
        <v>80</v>
      </c>
      <c r="H101" s="9">
        <f>SUM(D101*C101)</f>
        <v/>
      </c>
      <c r="I101" s="10" t="inlineStr">
        <is>
          <t>ร้านโรจน</t>
        </is>
      </c>
      <c r="J101" s="161" t="n">
        <v>24678</v>
      </c>
    </row>
    <row r="102" ht="21" customHeight="1">
      <c r="B102" s="6" t="inlineStr">
        <is>
          <t>ซิลิโคลน สีดำ  DOWSIL GP</t>
        </is>
      </c>
      <c r="C102" s="8" t="n">
        <v>2</v>
      </c>
      <c r="D102" s="9" t="n">
        <v>80</v>
      </c>
      <c r="H102" s="9">
        <f>SUM(D102*C102)</f>
        <v/>
      </c>
      <c r="I102" s="10" t="inlineStr">
        <is>
          <t>ร้านโรจน</t>
        </is>
      </c>
      <c r="J102" s="161" t="n">
        <v>24813</v>
      </c>
    </row>
    <row r="103" ht="21" customHeight="1">
      <c r="B103" s="6" t="inlineStr">
        <is>
          <t>ซิลิโคลน สีดำ  DOWSIL GP</t>
        </is>
      </c>
      <c r="C103" s="8" t="n">
        <v>1</v>
      </c>
      <c r="D103" s="9" t="n">
        <v>80</v>
      </c>
      <c r="H103" s="9">
        <f>SUM(D103*C103)</f>
        <v/>
      </c>
      <c r="I103" s="10" t="inlineStr">
        <is>
          <t>ร้านโรจน</t>
        </is>
      </c>
      <c r="J103" s="161" t="n">
        <v>24869</v>
      </c>
    </row>
    <row r="104" ht="21" customHeight="1">
      <c r="B104" s="6" t="inlineStr">
        <is>
          <t>ซิลิโคลน สีดำ  Giant Kingkong 280 มล.</t>
        </is>
      </c>
      <c r="C104" s="8" t="n">
        <v>3</v>
      </c>
      <c r="D104" s="9" t="n">
        <v>68</v>
      </c>
      <c r="H104" s="9">
        <f>SUM(D104*C104)</f>
        <v/>
      </c>
      <c r="I104" s="10" t="inlineStr">
        <is>
          <t>ไทวัสดุ</t>
        </is>
      </c>
      <c r="J104" s="161" t="n">
        <v>24896</v>
      </c>
    </row>
    <row r="105" ht="21" customHeight="1">
      <c r="B105" s="6" t="inlineStr">
        <is>
          <t>ซิลิโคลน สีดำ  Giant Kingkong 280 มล.</t>
        </is>
      </c>
      <c r="C105" s="8" t="n">
        <v>3</v>
      </c>
      <c r="D105" s="9" t="n">
        <v>68</v>
      </c>
      <c r="H105" s="9">
        <f>SUM(D105*C105)</f>
        <v/>
      </c>
      <c r="I105" s="10" t="inlineStr">
        <is>
          <t>ไทวัสดุ</t>
        </is>
      </c>
      <c r="J105" s="161" t="n">
        <v>24927</v>
      </c>
    </row>
    <row r="106" ht="21" customHeight="1">
      <c r="B106" s="6" t="inlineStr">
        <is>
          <t>ซิลิโคลน สีดำ  DOWSIL GP</t>
        </is>
      </c>
      <c r="C106" s="8" t="n">
        <v>2</v>
      </c>
      <c r="D106" s="9" t="n">
        <v>80</v>
      </c>
      <c r="H106" s="9">
        <f>SUM(D106*C106)</f>
        <v/>
      </c>
      <c r="I106" s="10" t="inlineStr">
        <is>
          <t>ร้านโรจน</t>
        </is>
      </c>
      <c r="J106" s="161" t="n">
        <v>25003</v>
      </c>
    </row>
    <row r="107" ht="21" customHeight="1">
      <c r="B107" s="6" t="inlineStr">
        <is>
          <t>ซิลิโคลน สีดำ  DOWSIL GP</t>
        </is>
      </c>
      <c r="C107" s="8" t="n">
        <v>6</v>
      </c>
      <c r="D107" s="9" t="n">
        <v>75</v>
      </c>
      <c r="H107" s="9">
        <f>SUM(D107*C107)</f>
        <v/>
      </c>
      <c r="I107" s="10" t="inlineStr">
        <is>
          <t>ร้านโรจน</t>
        </is>
      </c>
      <c r="J107" s="161" t="n">
        <v>25035</v>
      </c>
    </row>
    <row r="108" ht="21" customHeight="1">
      <c r="B108" s="6" t="inlineStr">
        <is>
          <t>ซิลิโคลน สีดำ  B-HOME</t>
        </is>
      </c>
      <c r="C108" s="8" t="n">
        <v>3</v>
      </c>
      <c r="D108" s="9" t="n">
        <v>80</v>
      </c>
      <c r="H108" s="9">
        <f>SUM(D108*C108)</f>
        <v/>
      </c>
      <c r="I108" s="10" t="inlineStr">
        <is>
          <t>ร้านโรจน</t>
        </is>
      </c>
      <c r="J108" s="161" t="n">
        <v>25132</v>
      </c>
    </row>
    <row r="110" ht="21" customHeight="1">
      <c r="A110" s="53" t="inlineStr">
        <is>
          <t>เก็บลูกค้าหลอดละ 200 บาท</t>
        </is>
      </c>
      <c r="B110" s="6" t="inlineStr">
        <is>
          <t>ซิลิโคลน สีขาว Sparko 280ml.</t>
        </is>
      </c>
      <c r="C110" s="8" t="inlineStr">
        <is>
          <t>6หลอด</t>
        </is>
      </c>
      <c r="D110" s="9" t="n">
        <v>95</v>
      </c>
      <c r="H110" s="9" t="n">
        <v>570</v>
      </c>
      <c r="I110" s="10" t="inlineStr">
        <is>
          <t>ศรีสยาม</t>
        </is>
      </c>
      <c r="J110" s="161" t="n">
        <v>23540</v>
      </c>
    </row>
    <row r="111" ht="21" customHeight="1">
      <c r="B111" s="6" t="inlineStr">
        <is>
          <t>ซิลิโคลน สีขาว Sparko 280ml.</t>
        </is>
      </c>
      <c r="C111" s="8" t="inlineStr">
        <is>
          <t>2หลอด</t>
        </is>
      </c>
      <c r="D111" s="9" t="n">
        <v>95</v>
      </c>
      <c r="H111" s="9" t="n">
        <v>190</v>
      </c>
      <c r="I111" s="10" t="inlineStr">
        <is>
          <t>ศรีสยาม</t>
        </is>
      </c>
      <c r="J111" s="161" t="n">
        <v>23690</v>
      </c>
    </row>
    <row r="112" ht="21" customHeight="1">
      <c r="B112" s="6" t="inlineStr">
        <is>
          <t>ซิลิโคลน สีขาว Sparko 280ml.</t>
        </is>
      </c>
      <c r="C112" s="8" t="inlineStr">
        <is>
          <t>2หลอด</t>
        </is>
      </c>
      <c r="D112" s="9" t="n">
        <v>105</v>
      </c>
      <c r="H112" s="9" t="n">
        <v>210</v>
      </c>
      <c r="I112" s="10" t="inlineStr">
        <is>
          <t>ศรีสยาม</t>
        </is>
      </c>
      <c r="J112" s="161" t="n">
        <v>23838</v>
      </c>
    </row>
    <row r="113" ht="21" customHeight="1">
      <c r="B113" s="6" t="inlineStr">
        <is>
          <t>ซิลิโคลน สีขาว Sparko 280ml.</t>
        </is>
      </c>
      <c r="C113" s="8" t="inlineStr">
        <is>
          <t>2หลอด</t>
        </is>
      </c>
      <c r="D113" s="9" t="n">
        <v>105</v>
      </c>
      <c r="H113" s="9" t="n">
        <v>210</v>
      </c>
      <c r="I113" s="10" t="inlineStr">
        <is>
          <t>ศรีสยาม</t>
        </is>
      </c>
      <c r="J113" s="161" t="n">
        <v>23868</v>
      </c>
    </row>
    <row r="114" ht="21" customHeight="1">
      <c r="B114" s="6" t="inlineStr">
        <is>
          <t>ซิลิโคลน สีขาว GTO 310ml.</t>
        </is>
      </c>
      <c r="C114" s="8" t="inlineStr">
        <is>
          <t>6หลอด</t>
        </is>
      </c>
      <c r="D114" s="9" t="n">
        <v>67</v>
      </c>
      <c r="H114" s="9" t="n">
        <v>402</v>
      </c>
      <c r="I114" s="10" t="inlineStr">
        <is>
          <t>ทาเลนท์</t>
        </is>
      </c>
      <c r="J114" s="161" t="n">
        <v>23911</v>
      </c>
      <c r="K114" s="161" t="inlineStr">
        <is>
          <t>IB3002779</t>
        </is>
      </c>
    </row>
    <row r="115" ht="21" customHeight="1">
      <c r="B115" s="6" t="inlineStr">
        <is>
          <t>ซิลิโคลน สีขาว Sparko 280ml.</t>
        </is>
      </c>
      <c r="C115" s="8" t="inlineStr">
        <is>
          <t>2หลอด</t>
        </is>
      </c>
      <c r="D115" s="9" t="n">
        <v>90</v>
      </c>
      <c r="H115" s="9" t="n">
        <v>180</v>
      </c>
      <c r="I115" s="10" t="inlineStr">
        <is>
          <t>ศรีสยาม</t>
        </is>
      </c>
      <c r="J115" s="161" t="n">
        <v>24279</v>
      </c>
    </row>
    <row r="116" ht="21" customHeight="1">
      <c r="B116" s="6" t="inlineStr">
        <is>
          <t>ซิลิโคลน สีขาว Sparko 280ml.</t>
        </is>
      </c>
      <c r="C116" s="8" t="inlineStr">
        <is>
          <t>1หลอด</t>
        </is>
      </c>
      <c r="D116" s="9" t="n">
        <v>90</v>
      </c>
      <c r="H116" s="9" t="n">
        <v>90</v>
      </c>
      <c r="I116" s="10" t="inlineStr">
        <is>
          <t>ศรีสยาม</t>
        </is>
      </c>
      <c r="J116" s="161" t="n">
        <v>24320</v>
      </c>
    </row>
    <row r="117" ht="21" customHeight="1">
      <c r="B117" s="6" t="inlineStr">
        <is>
          <t>ซิลิโคลน สีขาว Sparko 280ml.</t>
        </is>
      </c>
      <c r="C117" s="8" t="inlineStr">
        <is>
          <t>1หลอด</t>
        </is>
      </c>
      <c r="D117" s="9" t="n">
        <v>90</v>
      </c>
      <c r="H117" s="9" t="n">
        <v>90</v>
      </c>
      <c r="I117" s="10" t="inlineStr">
        <is>
          <t>ศรีสยาม</t>
        </is>
      </c>
      <c r="J117" s="161" t="n">
        <v>24598</v>
      </c>
    </row>
    <row r="118" ht="21" customHeight="1">
      <c r="B118" s="6" t="inlineStr">
        <is>
          <t>ซิลิโคลน สีขาว Sparko 280ml.</t>
        </is>
      </c>
      <c r="C118" s="8" t="inlineStr">
        <is>
          <t>1หลอด</t>
        </is>
      </c>
      <c r="D118" s="9" t="n">
        <v>90</v>
      </c>
      <c r="H118" s="9" t="n">
        <v>90</v>
      </c>
      <c r="I118" s="10" t="inlineStr">
        <is>
          <t>ศรีสยาม</t>
        </is>
      </c>
      <c r="J118" s="161" t="n">
        <v>24656</v>
      </c>
    </row>
    <row r="119" ht="21" customHeight="1">
      <c r="B119" s="6" t="inlineStr">
        <is>
          <t>ซิลิโคลน สีขาว  DOWSIL GP</t>
        </is>
      </c>
      <c r="C119" s="8" t="n">
        <v>1</v>
      </c>
      <c r="D119" s="9" t="n">
        <v>80</v>
      </c>
      <c r="H119" s="9">
        <f>SUM(D119*C119)</f>
        <v/>
      </c>
      <c r="I119" s="10" t="inlineStr">
        <is>
          <t>ร้านโรจน</t>
        </is>
      </c>
      <c r="J119" s="161" t="n">
        <v>24710</v>
      </c>
    </row>
    <row r="120" ht="21" customHeight="1">
      <c r="B120" s="6" t="inlineStr">
        <is>
          <t>ซิลิโคลน สีขาว  DOWSIL GP</t>
        </is>
      </c>
      <c r="C120" s="8" t="n">
        <v>1</v>
      </c>
      <c r="D120" s="9" t="n">
        <v>80</v>
      </c>
      <c r="H120" s="9">
        <f>SUM(D120*C120)</f>
        <v/>
      </c>
      <c r="I120" s="10" t="inlineStr">
        <is>
          <t>ร้านโรจน</t>
        </is>
      </c>
      <c r="J120" s="161" t="n">
        <v>24869</v>
      </c>
    </row>
    <row r="121" ht="21" customHeight="1">
      <c r="B121" s="6" t="inlineStr">
        <is>
          <t>ซิลิโคลน สีขาว  DOWSIL GP</t>
        </is>
      </c>
      <c r="C121" s="8" t="n">
        <v>2</v>
      </c>
      <c r="D121" s="9" t="n">
        <v>80</v>
      </c>
      <c r="H121" s="9">
        <f>SUM(D121*C121)</f>
        <v/>
      </c>
      <c r="I121" s="10" t="inlineStr">
        <is>
          <t>ร้านโรจน</t>
        </is>
      </c>
      <c r="J121" s="161" t="n">
        <v>24882</v>
      </c>
    </row>
    <row r="122" ht="21" customHeight="1">
      <c r="B122" s="6" t="inlineStr">
        <is>
          <t>ซิลิโคลน สีขาว  Giant Kingkong 280 มล.</t>
        </is>
      </c>
      <c r="C122" s="8" t="n">
        <v>2</v>
      </c>
      <c r="D122" s="9" t="n">
        <v>73</v>
      </c>
      <c r="H122" s="9">
        <f>SUM(D122*C122)</f>
        <v/>
      </c>
      <c r="I122" s="10" t="inlineStr">
        <is>
          <t>ไทวัสดุ</t>
        </is>
      </c>
      <c r="J122" s="161" t="n">
        <v>24896</v>
      </c>
    </row>
    <row r="123" ht="21" customHeight="1">
      <c r="B123" s="6" t="inlineStr">
        <is>
          <t>ซิลิโคลน สีขาว  Giant Kingkong 280 มล.</t>
        </is>
      </c>
      <c r="C123" s="8" t="n">
        <v>2</v>
      </c>
      <c r="D123" s="9" t="n">
        <v>88</v>
      </c>
      <c r="H123" s="9">
        <f>SUM(D123*C123)</f>
        <v/>
      </c>
      <c r="I123" s="10" t="inlineStr">
        <is>
          <t>ไทวัสดุ</t>
        </is>
      </c>
      <c r="J123" s="161" t="n">
        <v>24927</v>
      </c>
    </row>
    <row r="124" ht="21" customHeight="1">
      <c r="B124" s="6" t="inlineStr">
        <is>
          <t>ซิลิโคลน สีขาว  DOWSIL GP</t>
        </is>
      </c>
      <c r="C124" s="8" t="n">
        <v>2</v>
      </c>
      <c r="D124" s="9" t="n">
        <v>80</v>
      </c>
      <c r="H124" s="9">
        <f>SUM(D124*C124)</f>
        <v/>
      </c>
      <c r="I124" s="10" t="inlineStr">
        <is>
          <t>ร้านโรจน</t>
        </is>
      </c>
      <c r="J124" s="161" t="n">
        <v>25003</v>
      </c>
    </row>
    <row r="125" ht="21" customHeight="1">
      <c r="B125" s="6" t="inlineStr">
        <is>
          <t>ซิลิโคลน สีขาว  DOWSIL GP</t>
        </is>
      </c>
      <c r="C125" s="8" t="n">
        <v>6</v>
      </c>
      <c r="D125" s="9" t="n">
        <v>75</v>
      </c>
      <c r="H125" s="9">
        <f>SUM(D125*C125)</f>
        <v/>
      </c>
      <c r="I125" s="10" t="inlineStr">
        <is>
          <t>ร้านโรจน</t>
        </is>
      </c>
      <c r="J125" s="161" t="n">
        <v>25035</v>
      </c>
    </row>
    <row r="127" ht="21" customHeight="1">
      <c r="A127" s="53" t="inlineStr">
        <is>
          <t>เก็บลูกค้าหลอดละ 200 บาท</t>
        </is>
      </c>
      <c r="B127" s="6" t="inlineStr">
        <is>
          <t>ซิลิโคลน สีใส Sparko 280ml.</t>
        </is>
      </c>
      <c r="C127" s="8" t="inlineStr">
        <is>
          <t>3หลอด</t>
        </is>
      </c>
      <c r="D127" s="9" t="n">
        <v>95</v>
      </c>
      <c r="H127" s="9" t="n">
        <v>285</v>
      </c>
      <c r="I127" s="10" t="inlineStr">
        <is>
          <t>ศรีสยาม</t>
        </is>
      </c>
      <c r="J127" s="161" t="n">
        <v>23656</v>
      </c>
    </row>
    <row r="128" ht="21" customHeight="1">
      <c r="B128" s="6" t="inlineStr">
        <is>
          <t>ซิลิโคลน สีใส Sparko 280ml.</t>
        </is>
      </c>
      <c r="C128" s="8" t="inlineStr">
        <is>
          <t>1หลอด</t>
        </is>
      </c>
      <c r="D128" s="9" t="n">
        <v>95</v>
      </c>
      <c r="H128" s="9" t="n">
        <v>95</v>
      </c>
      <c r="I128" s="10" t="inlineStr">
        <is>
          <t>ศรีสยาม</t>
        </is>
      </c>
      <c r="J128" s="161" t="n">
        <v>23838</v>
      </c>
    </row>
    <row r="129" ht="21" customHeight="1">
      <c r="B129" s="6" t="inlineStr">
        <is>
          <t>ซิลิโคลน สีใส GTO 310ml.</t>
        </is>
      </c>
      <c r="C129" s="8" t="inlineStr">
        <is>
          <t>3หลอด</t>
        </is>
      </c>
      <c r="D129" s="9" t="n">
        <v>67</v>
      </c>
      <c r="H129" s="9" t="n">
        <v>201</v>
      </c>
      <c r="I129" s="10" t="inlineStr">
        <is>
          <t>ทาเลนท์</t>
        </is>
      </c>
      <c r="J129" s="161" t="n">
        <v>23911</v>
      </c>
      <c r="K129" s="161" t="inlineStr">
        <is>
          <t>IB3002779</t>
        </is>
      </c>
    </row>
    <row r="130" ht="21" customHeight="1">
      <c r="B130" s="6" t="inlineStr">
        <is>
          <t>ซิลิโคลน สีใส Sparko 280ml.</t>
        </is>
      </c>
      <c r="C130" s="8" t="inlineStr">
        <is>
          <t>2หลอด</t>
        </is>
      </c>
      <c r="D130" s="9" t="n">
        <v>90</v>
      </c>
      <c r="H130" s="9" t="n">
        <v>180</v>
      </c>
      <c r="I130" s="10" t="inlineStr">
        <is>
          <t>ศรีสยาม</t>
        </is>
      </c>
      <c r="J130" s="161" t="n">
        <v>24275</v>
      </c>
    </row>
    <row r="131" ht="21" customHeight="1">
      <c r="B131" s="6" t="inlineStr">
        <is>
          <t>ซิลิโคลน สีใส Sparko 280ml.</t>
        </is>
      </c>
      <c r="C131" s="8" t="inlineStr">
        <is>
          <t>1หลอด</t>
        </is>
      </c>
      <c r="D131" s="9" t="n">
        <v>90</v>
      </c>
      <c r="H131" s="9" t="n">
        <v>90</v>
      </c>
      <c r="I131" s="10" t="inlineStr">
        <is>
          <t>ศรีสยาม</t>
        </is>
      </c>
      <c r="J131" s="161" t="n">
        <v>24279</v>
      </c>
    </row>
    <row r="132" ht="21" customHeight="1">
      <c r="B132" s="6" t="inlineStr">
        <is>
          <t>ซิลิโคลน สีใส Sparko 280ml.</t>
        </is>
      </c>
      <c r="C132" s="8" t="inlineStr">
        <is>
          <t>1หลอด</t>
        </is>
      </c>
      <c r="D132" s="9" t="n">
        <v>90</v>
      </c>
      <c r="H132" s="9" t="n">
        <v>90</v>
      </c>
      <c r="I132" s="10" t="inlineStr">
        <is>
          <t>ศรีสยาม</t>
        </is>
      </c>
      <c r="J132" s="161" t="n">
        <v>24320</v>
      </c>
    </row>
    <row r="133" ht="21" customHeight="1">
      <c r="B133" s="6" t="inlineStr">
        <is>
          <t>ซิลิโคลน สีใส Sparko 280ml.</t>
        </is>
      </c>
      <c r="C133" s="8" t="inlineStr">
        <is>
          <t>1หลอด</t>
        </is>
      </c>
      <c r="D133" s="9" t="n">
        <v>90</v>
      </c>
      <c r="H133" s="9" t="n">
        <v>90</v>
      </c>
      <c r="I133" s="10" t="inlineStr">
        <is>
          <t>ศรีสยาม</t>
        </is>
      </c>
      <c r="J133" s="161" t="n">
        <v>24598</v>
      </c>
    </row>
    <row r="134" ht="21" customHeight="1">
      <c r="B134" s="6" t="inlineStr">
        <is>
          <t>ซิลิโคลน สีใส Sparko 280ml.</t>
        </is>
      </c>
      <c r="C134" s="8" t="n">
        <v>1</v>
      </c>
      <c r="D134" s="9" t="n">
        <v>90</v>
      </c>
      <c r="H134" s="9" t="n">
        <v>90</v>
      </c>
      <c r="I134" s="10" t="inlineStr">
        <is>
          <t>ศรีสยาม</t>
        </is>
      </c>
      <c r="J134" s="161" t="n">
        <v>24605</v>
      </c>
    </row>
    <row r="135" ht="21" customHeight="1">
      <c r="B135" s="6" t="inlineStr">
        <is>
          <t>ซิลิโคลน สีใส Sparko 280ml.</t>
        </is>
      </c>
      <c r="C135" s="8" t="n">
        <v>1</v>
      </c>
      <c r="D135" s="9" t="n">
        <v>90</v>
      </c>
      <c r="H135" s="9" t="n">
        <v>90</v>
      </c>
      <c r="I135" s="10" t="inlineStr">
        <is>
          <t>ศรีสยาม</t>
        </is>
      </c>
      <c r="J135" s="161" t="n">
        <v>24643</v>
      </c>
    </row>
    <row r="136" ht="21" customHeight="1">
      <c r="B136" s="6" t="inlineStr">
        <is>
          <t>ซิลิโคลน สีใส  DOWSIL GP</t>
        </is>
      </c>
      <c r="C136" s="8" t="n">
        <v>1</v>
      </c>
      <c r="D136" s="9" t="n">
        <v>80</v>
      </c>
      <c r="H136" s="9">
        <f>SUM(D136*C136)</f>
        <v/>
      </c>
      <c r="I136" s="10" t="inlineStr">
        <is>
          <t>ร้านโรจน</t>
        </is>
      </c>
      <c r="J136" s="161" t="n">
        <v>24739</v>
      </c>
    </row>
    <row r="137" ht="21" customHeight="1">
      <c r="B137" s="6" t="inlineStr">
        <is>
          <t>ซิลิโคลน สีใส  DOWSIL GP</t>
        </is>
      </c>
      <c r="C137" s="8" t="n">
        <v>1</v>
      </c>
      <c r="D137" s="9" t="n">
        <v>80</v>
      </c>
      <c r="H137" s="9">
        <f>SUM(D137*C137)</f>
        <v/>
      </c>
      <c r="I137" s="10" t="inlineStr">
        <is>
          <t>ร้านโรจน</t>
        </is>
      </c>
      <c r="J137" s="161" t="n">
        <v>24813</v>
      </c>
    </row>
    <row r="138" ht="21" customHeight="1">
      <c r="B138" s="6" t="inlineStr">
        <is>
          <t>ซิลิโคลน สีใส  DOWSIL GP</t>
        </is>
      </c>
      <c r="C138" s="8" t="n">
        <v>2</v>
      </c>
      <c r="D138" s="9" t="n">
        <v>80</v>
      </c>
      <c r="H138" s="9">
        <f>SUM(D138*C138)</f>
        <v/>
      </c>
      <c r="I138" s="10" t="inlineStr">
        <is>
          <t>ร้านโรจน</t>
        </is>
      </c>
      <c r="J138" s="161" t="n">
        <v>24882</v>
      </c>
    </row>
    <row r="139" ht="21" customHeight="1">
      <c r="B139" s="6" t="inlineStr">
        <is>
          <t>ซิลิโคลน สีใส  Giant Kingkong 280 มล.</t>
        </is>
      </c>
      <c r="C139" s="8" t="n">
        <v>2</v>
      </c>
      <c r="D139" s="9" t="n">
        <v>73</v>
      </c>
      <c r="H139" s="9">
        <f>SUM(D139*C139)</f>
        <v/>
      </c>
      <c r="I139" s="10" t="inlineStr">
        <is>
          <t>ไทวัสดุ</t>
        </is>
      </c>
      <c r="J139" s="161" t="n">
        <v>24896</v>
      </c>
    </row>
    <row r="140" ht="21" customHeight="1">
      <c r="B140" s="6" t="inlineStr">
        <is>
          <t>ซิลิโคลน สีใส  DOWSIL GP</t>
        </is>
      </c>
      <c r="C140" s="8" t="n">
        <v>1</v>
      </c>
      <c r="D140" s="9" t="n">
        <v>80</v>
      </c>
      <c r="H140" s="9">
        <f>SUM(D140*C140)</f>
        <v/>
      </c>
      <c r="I140" s="10" t="inlineStr">
        <is>
          <t>ร้านโรจน</t>
        </is>
      </c>
      <c r="J140" s="161" t="n">
        <v>25003</v>
      </c>
    </row>
    <row r="141" ht="21" customHeight="1">
      <c r="B141" s="6" t="inlineStr">
        <is>
          <t>ซิลิโคลน สีใส  DOWSIL GP</t>
        </is>
      </c>
      <c r="C141" s="8" t="n">
        <v>6</v>
      </c>
      <c r="D141" s="9" t="n">
        <v>75</v>
      </c>
      <c r="H141" s="9">
        <f>SUM(D141*C141)</f>
        <v/>
      </c>
      <c r="I141" s="10" t="inlineStr">
        <is>
          <t>ร้านโรจน</t>
        </is>
      </c>
      <c r="J141" s="161" t="n">
        <v>25035</v>
      </c>
    </row>
    <row r="143" ht="21" customHeight="1">
      <c r="A143" s="11" t="inlineStr">
        <is>
          <t>ปืนยิงซิลิโคลน</t>
        </is>
      </c>
      <c r="B143" s="6" t="inlineStr">
        <is>
          <t xml:space="preserve">ปืนยิงซิลิโคลน 9" SOMIC </t>
        </is>
      </c>
      <c r="C143" s="8" t="inlineStr">
        <is>
          <t>1อัน</t>
        </is>
      </c>
      <c r="D143" s="9" t="n">
        <v>340</v>
      </c>
      <c r="H143" s="9" t="n">
        <v>340</v>
      </c>
      <c r="I143" s="10" t="inlineStr">
        <is>
          <t>ศรีสยาม</t>
        </is>
      </c>
      <c r="J143" s="161" t="n">
        <v>24609</v>
      </c>
    </row>
    <row r="144" ht="21" customHeight="1">
      <c r="B144" s="6" t="inlineStr">
        <is>
          <t>ปืนยิงซิลิโคลน  (สำหรับซิลิโคลนกระบอกแข็ง)</t>
        </is>
      </c>
      <c r="C144" s="8" t="inlineStr">
        <is>
          <t>1อัน</t>
        </is>
      </c>
      <c r="D144" s="9" t="n">
        <v>60</v>
      </c>
      <c r="H144" s="9" t="n">
        <v>60</v>
      </c>
      <c r="I144" s="10" t="inlineStr">
        <is>
          <t>ร้านโรจน</t>
        </is>
      </c>
      <c r="J144" s="161" t="n">
        <v>25033</v>
      </c>
    </row>
    <row r="146" ht="21" customHeight="1">
      <c r="A146" s="11" t="inlineStr">
        <is>
          <t>ปืนยิงบล๊อคลม</t>
        </is>
      </c>
      <c r="B146" s="6" t="inlineStr">
        <is>
          <t>ปืนยิงบล๊อคลม 1/2นิ้ว คูเก้น 19แรงม้า</t>
        </is>
      </c>
      <c r="C146" s="8" t="n">
        <v>1</v>
      </c>
      <c r="D146" s="9" t="n">
        <v>3900</v>
      </c>
      <c r="H146" s="9">
        <f>SUM(D146*C146)</f>
        <v/>
      </c>
      <c r="I146" s="10" t="inlineStr">
        <is>
          <t>จิตต์อะไหล่</t>
        </is>
      </c>
      <c r="J146" s="161" t="n">
        <v>24949</v>
      </c>
    </row>
    <row r="148" ht="21" customHeight="1">
      <c r="A148" s="11" t="inlineStr">
        <is>
          <t>เครื่องมือ</t>
        </is>
      </c>
      <c r="B148" s="6" t="inlineStr">
        <is>
          <t>ลูกบ๊อกสั้น 3/4 kingtony 35(12P)</t>
        </is>
      </c>
      <c r="C148" s="8" t="inlineStr">
        <is>
          <t>1อัน</t>
        </is>
      </c>
      <c r="D148" s="9" t="n">
        <v>260</v>
      </c>
      <c r="H148" s="9" t="n">
        <v>260</v>
      </c>
      <c r="I148" s="10" t="inlineStr">
        <is>
          <t>ศรีสยาม</t>
        </is>
      </c>
      <c r="J148" s="161" t="n">
        <v>22469</v>
      </c>
    </row>
    <row r="149" ht="21" customHeight="1">
      <c r="B149" s="6" t="inlineStr">
        <is>
          <t>ลูกบ๊อกสั้น 1/2 kingtony 32(12P)</t>
        </is>
      </c>
      <c r="C149" s="8" t="inlineStr">
        <is>
          <t>1อัน</t>
        </is>
      </c>
      <c r="D149" s="9" t="n">
        <v>115</v>
      </c>
      <c r="H149" s="9" t="n">
        <v>115</v>
      </c>
      <c r="I149" s="10" t="inlineStr">
        <is>
          <t>ศรีสยาม</t>
        </is>
      </c>
      <c r="J149" s="161" t="n">
        <v>22469</v>
      </c>
    </row>
    <row r="150" ht="21" customHeight="1">
      <c r="B150" s="6" t="inlineStr">
        <is>
          <t xml:space="preserve">คีมล็อคปากตัว C  11" </t>
        </is>
      </c>
      <c r="C150" s="8" t="inlineStr">
        <is>
          <t>1อัน</t>
        </is>
      </c>
      <c r="D150" s="9" t="n">
        <v>860</v>
      </c>
      <c r="H150" s="9" t="n">
        <v>860</v>
      </c>
      <c r="I150" s="10" t="inlineStr">
        <is>
          <t>ศรีสยาม</t>
        </is>
      </c>
      <c r="J150" s="161" t="n">
        <v>22467</v>
      </c>
    </row>
    <row r="151" ht="21" customHeight="1">
      <c r="B151" s="6" t="inlineStr">
        <is>
          <t>กุญแจบ๊อค เบอร์ 10-12 kingtony</t>
        </is>
      </c>
      <c r="C151" s="8" t="inlineStr">
        <is>
          <t>1อัน</t>
        </is>
      </c>
      <c r="D151" s="9" t="n">
        <v>190</v>
      </c>
      <c r="H151" s="9" t="n">
        <v>190</v>
      </c>
      <c r="I151" s="10" t="inlineStr">
        <is>
          <t>ศรีสยาม</t>
        </is>
      </c>
      <c r="J151" s="161" t="n">
        <v>22454</v>
      </c>
    </row>
    <row r="152" ht="21" customHeight="1">
      <c r="B152" s="6" t="inlineStr">
        <is>
          <t xml:space="preserve">ไขควงแฉก 4" Champion </t>
        </is>
      </c>
      <c r="C152" s="8" t="inlineStr">
        <is>
          <t>1อัน</t>
        </is>
      </c>
      <c r="D152" s="9" t="n">
        <v>95</v>
      </c>
      <c r="H152" s="9" t="n">
        <v>95</v>
      </c>
      <c r="I152" s="10" t="inlineStr">
        <is>
          <t>ศรีสยาม</t>
        </is>
      </c>
      <c r="J152" s="161" t="n">
        <v>22454</v>
      </c>
    </row>
    <row r="153" ht="21" customHeight="1">
      <c r="B153" s="6" t="inlineStr">
        <is>
          <t>คีมล็อคปากตรง 10" VISE</t>
        </is>
      </c>
      <c r="C153" s="8" t="inlineStr">
        <is>
          <t>1อัน</t>
        </is>
      </c>
      <c r="D153" s="9" t="n">
        <v>325</v>
      </c>
      <c r="H153" s="9" t="n">
        <v>325</v>
      </c>
      <c r="I153" s="10" t="inlineStr">
        <is>
          <t>ศรีสยาม</t>
        </is>
      </c>
      <c r="J153" s="161" t="n">
        <v>22455</v>
      </c>
    </row>
    <row r="154" ht="21" customHeight="1">
      <c r="B154" s="6" t="inlineStr">
        <is>
          <t>กุญแจแหวนผ่า  เบอร์ 10-12 ASAHI</t>
        </is>
      </c>
      <c r="C154" s="8" t="inlineStr">
        <is>
          <t>3อัน</t>
        </is>
      </c>
      <c r="D154" s="9" t="n">
        <v>180</v>
      </c>
      <c r="H154" s="9" t="n">
        <v>540</v>
      </c>
      <c r="I154" s="10" t="inlineStr">
        <is>
          <t>ศรีสยาม</t>
        </is>
      </c>
      <c r="J154" s="161" t="n">
        <v>22444</v>
      </c>
    </row>
    <row r="155" ht="21" customHeight="1">
      <c r="B155" s="6" t="inlineStr">
        <is>
          <t>กุญแจแหวนข้าง  เบอร์ 15 kingtony</t>
        </is>
      </c>
      <c r="C155" s="8" t="inlineStr">
        <is>
          <t>1อัน</t>
        </is>
      </c>
      <c r="D155" s="9" t="n">
        <v>120</v>
      </c>
      <c r="H155" s="9" t="n">
        <v>120</v>
      </c>
      <c r="I155" s="10" t="inlineStr">
        <is>
          <t>ศรีสยาม</t>
        </is>
      </c>
      <c r="J155" s="161" t="n">
        <v>22444</v>
      </c>
    </row>
    <row r="156" ht="21" customHeight="1">
      <c r="B156" s="6" t="inlineStr">
        <is>
          <t xml:space="preserve">ไขควงแฉก 10" Champion </t>
        </is>
      </c>
      <c r="C156" s="8" t="inlineStr">
        <is>
          <t>3อัน</t>
        </is>
      </c>
      <c r="D156" s="9" t="n">
        <v>190</v>
      </c>
      <c r="H156" s="9" t="n">
        <v>570</v>
      </c>
      <c r="I156" s="10" t="inlineStr">
        <is>
          <t>ศรีสยาม</t>
        </is>
      </c>
      <c r="J156" s="161" t="n">
        <v>22444</v>
      </c>
    </row>
    <row r="157" ht="21" customHeight="1">
      <c r="B157" s="6" t="inlineStr">
        <is>
          <t xml:space="preserve">ไขควงแบน 10" Champion </t>
        </is>
      </c>
      <c r="C157" s="8" t="inlineStr">
        <is>
          <t>3อัน</t>
        </is>
      </c>
      <c r="D157" s="9" t="n">
        <v>190</v>
      </c>
      <c r="H157" s="9" t="n">
        <v>570</v>
      </c>
      <c r="I157" s="10" t="inlineStr">
        <is>
          <t>ศรีสยาม</t>
        </is>
      </c>
      <c r="J157" s="161" t="n">
        <v>22444</v>
      </c>
    </row>
    <row r="158" ht="21" customHeight="1">
      <c r="B158" s="6" t="inlineStr">
        <is>
          <t>กุญแจล็อค  38MM สามห่วง  คอสั้น</t>
        </is>
      </c>
      <c r="C158" s="8" t="inlineStr">
        <is>
          <t>2อัน</t>
        </is>
      </c>
      <c r="D158" s="9" t="n">
        <v>110</v>
      </c>
      <c r="H158" s="9" t="n">
        <v>220</v>
      </c>
      <c r="I158" s="10" t="inlineStr">
        <is>
          <t>ศรีสยาม</t>
        </is>
      </c>
      <c r="J158" s="161" t="n">
        <v>22445</v>
      </c>
    </row>
    <row r="159" ht="21" customHeight="1">
      <c r="B159" s="6" t="inlineStr">
        <is>
          <t>กุญแจบ๊อค เบอร์ 12-14 kingtony</t>
        </is>
      </c>
      <c r="C159" s="8" t="inlineStr">
        <is>
          <t>1อัน</t>
        </is>
      </c>
      <c r="D159" s="9" t="n">
        <v>220</v>
      </c>
      <c r="H159" s="9" t="n">
        <v>220</v>
      </c>
      <c r="I159" s="10" t="inlineStr">
        <is>
          <t>ศรีสยาม</t>
        </is>
      </c>
      <c r="J159" s="161" t="n">
        <v>22447</v>
      </c>
    </row>
    <row r="160" ht="21" customHeight="1">
      <c r="B160" s="6" t="inlineStr">
        <is>
          <t>กุญแจบ๊อค เบอร์ 8-10 kingtony</t>
        </is>
      </c>
      <c r="C160" s="8" t="inlineStr">
        <is>
          <t>1อัน</t>
        </is>
      </c>
      <c r="D160" s="9" t="n">
        <v>180</v>
      </c>
      <c r="H160" s="9" t="n">
        <v>180</v>
      </c>
      <c r="I160" s="10" t="inlineStr">
        <is>
          <t>ศรีสยาม</t>
        </is>
      </c>
      <c r="J160" s="161" t="n">
        <v>22447</v>
      </c>
    </row>
    <row r="161" ht="21" customHeight="1">
      <c r="B161" s="6" t="inlineStr">
        <is>
          <t xml:space="preserve">ไขควงแฉก 5" Champion </t>
        </is>
      </c>
      <c r="C161" s="8" t="inlineStr">
        <is>
          <t>1อัน</t>
        </is>
      </c>
      <c r="D161" s="9" t="n">
        <v>110</v>
      </c>
      <c r="H161" s="9" t="n">
        <v>110</v>
      </c>
      <c r="I161" s="10" t="inlineStr">
        <is>
          <t>ศรีสยาม</t>
        </is>
      </c>
      <c r="J161" s="161" t="n">
        <v>22436</v>
      </c>
    </row>
    <row r="162" ht="21" customHeight="1">
      <c r="B162" s="6" t="inlineStr">
        <is>
          <t>ลูกบ๊อกสั้น 3/4 koken 36(12P)</t>
        </is>
      </c>
      <c r="C162" s="8" t="inlineStr">
        <is>
          <t>1อัน</t>
        </is>
      </c>
      <c r="D162" s="9" t="n">
        <v>510</v>
      </c>
      <c r="H162" s="9" t="n">
        <v>510</v>
      </c>
      <c r="I162" s="10" t="inlineStr">
        <is>
          <t>ศรีสยาม</t>
        </is>
      </c>
      <c r="J162" s="161" t="n">
        <v>22438</v>
      </c>
    </row>
    <row r="163" ht="21" customHeight="1">
      <c r="B163" s="6" t="inlineStr">
        <is>
          <t>เครื่องเจียหินแกนลม MI805 MITO  แกน 6MM</t>
        </is>
      </c>
      <c r="C163" s="8" t="inlineStr">
        <is>
          <t>1อัน</t>
        </is>
      </c>
      <c r="D163" s="9" t="n">
        <v>1300</v>
      </c>
      <c r="H163" s="9" t="n">
        <v>1300</v>
      </c>
      <c r="I163" s="10" t="inlineStr">
        <is>
          <t>ศรีสยาม</t>
        </is>
      </c>
      <c r="J163" s="161" t="n">
        <v>22471</v>
      </c>
    </row>
    <row r="164" ht="21" customHeight="1">
      <c r="B164" s="6" t="inlineStr">
        <is>
          <t>บ๊อกขันน๊อตล้อแม็กซ์ 7เหลี่ยม</t>
        </is>
      </c>
      <c r="C164" s="8" t="inlineStr">
        <is>
          <t>1อัน</t>
        </is>
      </c>
      <c r="D164" s="9" t="n">
        <v>76</v>
      </c>
      <c r="H164" s="9" t="n">
        <v>76</v>
      </c>
      <c r="I164" s="10" t="inlineStr">
        <is>
          <t>ศรีสยาม</t>
        </is>
      </c>
      <c r="J164" s="161" t="n">
        <v>22483</v>
      </c>
    </row>
    <row r="165" ht="21" customHeight="1">
      <c r="B165" s="6" t="inlineStr">
        <is>
          <t>บ๊อกขันน๊อตล้อแม็กซ์ หัวจีบ</t>
        </is>
      </c>
      <c r="C165" s="8" t="inlineStr">
        <is>
          <t>1อัน</t>
        </is>
      </c>
      <c r="D165" s="9" t="n">
        <v>150</v>
      </c>
      <c r="H165" s="9" t="n">
        <v>150</v>
      </c>
      <c r="I165" s="10" t="inlineStr">
        <is>
          <t>ศรีสยาม</t>
        </is>
      </c>
      <c r="J165" s="161" t="n">
        <v>22483</v>
      </c>
    </row>
    <row r="167" ht="21" customHeight="1">
      <c r="A167" s="11" t="inlineStr">
        <is>
          <t>เครื่องขัดสนิมลม</t>
        </is>
      </c>
      <c r="B167" s="6" t="inlineStr">
        <is>
          <t>เครื่องขัดสนิมลม (1,390%)</t>
        </is>
      </c>
      <c r="C167" s="8" t="inlineStr">
        <is>
          <t>1เครื่อง</t>
        </is>
      </c>
      <c r="D167" s="9" t="n">
        <v>1487.3</v>
      </c>
      <c r="H167" s="9" t="n">
        <v>1487.3</v>
      </c>
      <c r="I167" s="10" t="inlineStr">
        <is>
          <t>ทาเลนท์</t>
        </is>
      </c>
      <c r="J167" s="161" t="n">
        <v>23606</v>
      </c>
    </row>
    <row r="169" ht="21" customHeight="1">
      <c r="A169" s="11" t="inlineStr">
        <is>
          <t>เครื่องเป่าลมร้อน</t>
        </is>
      </c>
      <c r="B169" s="6" t="inlineStr">
        <is>
          <t>เครื่องเป่าลมร้อน ยี่ห้อ POLO QG-001</t>
        </is>
      </c>
      <c r="C169" s="8" t="n">
        <v>1</v>
      </c>
      <c r="D169" s="9" t="n">
        <v>490</v>
      </c>
      <c r="H169" s="9">
        <f>SUM(D169*C169)</f>
        <v/>
      </c>
      <c r="I169" s="10" t="inlineStr">
        <is>
          <t>ทาเลนท์</t>
        </is>
      </c>
      <c r="J169" s="161" t="n">
        <v>24683</v>
      </c>
      <c r="K169" s="161" t="inlineStr">
        <is>
          <t>IV2237861</t>
        </is>
      </c>
    </row>
    <row r="171" ht="21" customHeight="1">
      <c r="A171" s="11" t="inlineStr">
        <is>
          <t>กาพ่นสีพื้น</t>
        </is>
      </c>
      <c r="B171" s="6" t="inlineStr">
        <is>
          <t>กาพ่นสี W-71G BEC แบบหงาย</t>
        </is>
      </c>
      <c r="C171" s="8" t="inlineStr">
        <is>
          <t>3อัน</t>
        </is>
      </c>
      <c r="D171" s="9" t="n">
        <v>830</v>
      </c>
      <c r="H171" s="9" t="n">
        <v>2490</v>
      </c>
      <c r="I171" s="10" t="inlineStr">
        <is>
          <t>ศรีสยาม</t>
        </is>
      </c>
      <c r="J171" s="161" t="n">
        <v>22495</v>
      </c>
    </row>
    <row r="173" ht="21" customHeight="1">
      <c r="B173" s="6" t="inlineStr">
        <is>
          <t>กาพ่นสี โอกูระ 1.5</t>
        </is>
      </c>
      <c r="C173" s="8" t="inlineStr">
        <is>
          <t>5อัน</t>
        </is>
      </c>
      <c r="D173" s="9" t="n">
        <v>400</v>
      </c>
      <c r="H173" s="9" t="n">
        <v>2000</v>
      </c>
      <c r="I173" s="10" t="inlineStr">
        <is>
          <t>ทาเลนท์</t>
        </is>
      </c>
      <c r="J173" s="161" t="n">
        <v>23062</v>
      </c>
      <c r="L173" s="18" t="inlineStr">
        <is>
          <t>ราคาไม่รวม VAT</t>
        </is>
      </c>
    </row>
    <row r="174" ht="21" customHeight="1">
      <c r="B174" s="6" t="inlineStr">
        <is>
          <t>กาพ่นสี โอกูระ 1.5</t>
        </is>
      </c>
      <c r="C174" s="8" t="inlineStr">
        <is>
          <t>5อัน</t>
        </is>
      </c>
      <c r="D174" s="9" t="n">
        <v>400</v>
      </c>
      <c r="H174" s="9" t="n">
        <v>2000</v>
      </c>
      <c r="I174" s="10" t="inlineStr">
        <is>
          <t>ทาเลนท์</t>
        </is>
      </c>
      <c r="J174" s="161" t="n">
        <v>23094</v>
      </c>
      <c r="L174" s="18" t="inlineStr">
        <is>
          <t>ราคาไม่รวม VAT</t>
        </is>
      </c>
    </row>
    <row r="175" ht="21" customHeight="1">
      <c r="B175" s="6" t="inlineStr">
        <is>
          <t>กาพ่นสี โอกูระ 1.5</t>
        </is>
      </c>
      <c r="C175" s="8" t="inlineStr">
        <is>
          <t>6อัน</t>
        </is>
      </c>
      <c r="D175" s="9" t="n">
        <v>400</v>
      </c>
      <c r="H175" s="9" t="n">
        <v>2400</v>
      </c>
      <c r="I175" s="10" t="inlineStr">
        <is>
          <t>ทาเลนท์</t>
        </is>
      </c>
      <c r="J175" s="161" t="n">
        <v>23174</v>
      </c>
      <c r="L175" s="18" t="inlineStr">
        <is>
          <t>ราคาไม่รวม VAT</t>
        </is>
      </c>
    </row>
    <row r="176" ht="21" customHeight="1">
      <c r="B176" s="6" t="inlineStr">
        <is>
          <t>กาพ่นสี โอกูระ 1.5 -- พร้อมถ้วยกาพ่นสี</t>
        </is>
      </c>
      <c r="C176" s="8" t="inlineStr">
        <is>
          <t>4อัน</t>
        </is>
      </c>
      <c r="D176" s="9" t="n">
        <v>400</v>
      </c>
      <c r="H176" s="9" t="n">
        <v>1600</v>
      </c>
      <c r="I176" s="10" t="inlineStr">
        <is>
          <t>ทาเลนท์</t>
        </is>
      </c>
      <c r="J176" s="161" t="n">
        <v>23635</v>
      </c>
      <c r="K176" s="161" t="inlineStr">
        <is>
          <t>IV6411764</t>
        </is>
      </c>
      <c r="L176" s="18" t="inlineStr">
        <is>
          <t>ราคาไม่รวม VAT</t>
        </is>
      </c>
    </row>
    <row r="177" ht="21" customHeight="1">
      <c r="B177" s="6" t="inlineStr">
        <is>
          <t>กาพ่นสี โอกูระ 1.5 -- พร้อมถ้วยกาพ่นสี</t>
        </is>
      </c>
      <c r="C177" s="8" t="inlineStr">
        <is>
          <t>3อัน</t>
        </is>
      </c>
      <c r="D177" s="9" t="n">
        <v>400</v>
      </c>
      <c r="H177" s="9" t="n">
        <v>1200</v>
      </c>
      <c r="I177" s="10" t="inlineStr">
        <is>
          <t>ทาเลนท์</t>
        </is>
      </c>
      <c r="J177" s="161" t="n">
        <v>23865</v>
      </c>
      <c r="K177" s="161" t="inlineStr">
        <is>
          <t>IB3000095</t>
        </is>
      </c>
      <c r="L177" s="18" t="inlineStr">
        <is>
          <t>ราคาไม่รวม VAT</t>
        </is>
      </c>
    </row>
    <row r="178" ht="21" customHeight="1">
      <c r="B178" s="6" t="inlineStr">
        <is>
          <t>กาพ่นสี โอกูระ 1.5 -- พร้อมถ้วยกาพ่นสี</t>
        </is>
      </c>
      <c r="C178" s="8" t="inlineStr">
        <is>
          <t>4อัน</t>
        </is>
      </c>
      <c r="D178" s="9" t="n">
        <v>400</v>
      </c>
      <c r="H178" s="9" t="n">
        <v>1600</v>
      </c>
      <c r="I178" s="10" t="inlineStr">
        <is>
          <t>ทาเลนท์</t>
        </is>
      </c>
      <c r="J178" s="161" t="n">
        <v>23995</v>
      </c>
      <c r="K178" s="161" t="inlineStr">
        <is>
          <t>IV2203682</t>
        </is>
      </c>
      <c r="L178" s="18" t="inlineStr">
        <is>
          <t>ราคาไม่รวม VAT</t>
        </is>
      </c>
    </row>
    <row r="179" ht="21" customHeight="1">
      <c r="B179" s="6" t="inlineStr">
        <is>
          <t>กาพ่นสี โอกูระ 1.5 -- พร้อมถ้วยกาพ่นสี</t>
        </is>
      </c>
      <c r="C179" s="8" t="inlineStr">
        <is>
          <t>4อัน</t>
        </is>
      </c>
      <c r="D179" s="9" t="n">
        <v>400</v>
      </c>
      <c r="H179" s="9" t="n">
        <v>1600</v>
      </c>
      <c r="I179" s="10" t="inlineStr">
        <is>
          <t>ทาเลนท์</t>
        </is>
      </c>
      <c r="J179" s="161" t="n">
        <v>24231</v>
      </c>
      <c r="K179" s="161" t="inlineStr">
        <is>
          <t>IV2211423</t>
        </is>
      </c>
      <c r="L179" s="18" t="inlineStr">
        <is>
          <t>ราคาไม่รวม VAT</t>
        </is>
      </c>
    </row>
    <row r="181" ht="21" customHeight="1">
      <c r="B181" s="6" t="inlineStr">
        <is>
          <t xml:space="preserve">กาพ่นสีพื้น Hi-Top หัวพ่น 1.8 กาบน 400CC. </t>
        </is>
      </c>
      <c r="C181" s="8" t="n">
        <v>4</v>
      </c>
      <c r="D181" s="9" t="n">
        <v>480</v>
      </c>
      <c r="H181" s="9">
        <f>SUM(C181*D181)</f>
        <v/>
      </c>
      <c r="I181" s="10" t="inlineStr">
        <is>
          <t>Shoopee</t>
        </is>
      </c>
      <c r="J181" s="161" t="n">
        <v>24247</v>
      </c>
      <c r="L181" s="18" t="inlineStr">
        <is>
          <t>ราคาไม่รวมค่าขนส่ง</t>
        </is>
      </c>
    </row>
    <row r="182" ht="21" customHeight="1">
      <c r="B182" s="6" t="inlineStr">
        <is>
          <t xml:space="preserve">กาพ่นสีพื้น Hi-Top หัวพ่น 1.8 กาบน 400CC. </t>
        </is>
      </c>
      <c r="C182" s="8" t="n">
        <v>3</v>
      </c>
      <c r="D182" s="9" t="n">
        <v>540</v>
      </c>
      <c r="H182" s="9">
        <f>SUM(C182*D182)</f>
        <v/>
      </c>
      <c r="I182" s="10" t="inlineStr">
        <is>
          <t>Shoopee</t>
        </is>
      </c>
      <c r="J182" s="161" t="n">
        <v>24338</v>
      </c>
      <c r="L182" s="18" t="inlineStr">
        <is>
          <t>ราคาไม่รวมค่าขนส่ง</t>
        </is>
      </c>
    </row>
    <row r="183" ht="21" customHeight="1">
      <c r="B183" s="6" t="inlineStr">
        <is>
          <t xml:space="preserve">กาพ่นสีพื้น Hi-Top หัวพ่น 1.8 กาบน 400CC. </t>
        </is>
      </c>
      <c r="C183" s="8" t="n">
        <v>4</v>
      </c>
      <c r="D183" s="9" t="n">
        <v>540</v>
      </c>
      <c r="H183" s="9">
        <f>SUM(C183*D183)</f>
        <v/>
      </c>
      <c r="I183" s="10" t="inlineStr">
        <is>
          <t>Shoopee</t>
        </is>
      </c>
      <c r="J183" s="161" t="n">
        <v>24606</v>
      </c>
      <c r="L183" s="18" t="inlineStr">
        <is>
          <t>ราคาไม่รวมค่าขนส่ง (ค่าขนส่ง 41บาท)</t>
        </is>
      </c>
    </row>
    <row r="184" ht="21" customHeight="1">
      <c r="B184" s="6" t="inlineStr">
        <is>
          <t xml:space="preserve">กาพ่นสีพื้น Hi-Top หัวพ่น 1.8 กาบน 400CC. </t>
        </is>
      </c>
      <c r="C184" s="8" t="n">
        <v>1</v>
      </c>
      <c r="D184" s="9" t="n">
        <v>488</v>
      </c>
      <c r="H184" s="9">
        <f>SUM(C184*D184)</f>
        <v/>
      </c>
      <c r="I184" s="10" t="inlineStr">
        <is>
          <t>Shoopee</t>
        </is>
      </c>
      <c r="J184" s="161" t="n">
        <v>25028</v>
      </c>
    </row>
    <row r="185" ht="21" customHeight="1">
      <c r="B185" s="6" t="inlineStr">
        <is>
          <t xml:space="preserve">กาพ่นสีพื้น Hi-Top หัวพ่น 1.8 กาบน 400CC. </t>
        </is>
      </c>
      <c r="C185" s="8" t="n">
        <v>2</v>
      </c>
      <c r="D185" s="9" t="n">
        <v>456</v>
      </c>
      <c r="H185" s="9">
        <f>SUM(C185*D185)</f>
        <v/>
      </c>
      <c r="I185" s="10" t="inlineStr">
        <is>
          <t>Shoopee</t>
        </is>
      </c>
      <c r="J185" s="161" t="n">
        <v>25092</v>
      </c>
    </row>
    <row r="186" ht="21" customHeight="1">
      <c r="B186" s="6" t="inlineStr">
        <is>
          <t xml:space="preserve">กาพ่นสีพื้น Hi-Top หัวพ่น 1.8 กาบน 400CC. </t>
        </is>
      </c>
      <c r="C186" s="8" t="n">
        <v>2</v>
      </c>
      <c r="D186" s="9" t="n">
        <v>432</v>
      </c>
      <c r="H186" s="9">
        <f>SUM(C186*D186)</f>
        <v/>
      </c>
      <c r="I186" s="10" t="inlineStr">
        <is>
          <t>Shoopee</t>
        </is>
      </c>
      <c r="J186" s="161" t="n">
        <v>25259</v>
      </c>
    </row>
    <row r="188" ht="21" customHeight="1">
      <c r="A188" s="11" t="inlineStr">
        <is>
          <t>กาพ่นสีจริง</t>
        </is>
      </c>
      <c r="B188" s="6" t="inlineStr">
        <is>
          <t>กาพ่นสีจริง ยี่ห้อ สตาร์ S4C-131G หัว 1.3 -- แถมถ้วยกาพ่นสี</t>
        </is>
      </c>
      <c r="C188" s="8" t="inlineStr">
        <is>
          <t>2อัน</t>
        </is>
      </c>
      <c r="D188" s="9" t="n">
        <v>3400</v>
      </c>
      <c r="H188" s="9" t="n">
        <v>6800</v>
      </c>
      <c r="I188" s="10" t="inlineStr">
        <is>
          <t>ทาเลนท์</t>
        </is>
      </c>
      <c r="J188" s="161" t="n">
        <v>24245</v>
      </c>
      <c r="K188" s="161" t="inlineStr">
        <is>
          <t>IV2212326</t>
        </is>
      </c>
    </row>
    <row r="190" ht="21" customHeight="1">
      <c r="B190" s="6" t="inlineStr">
        <is>
          <t>กาพ่นสีจริง ยี่ห้อ สตาร์ S4C-141G หัว 1.4 -- แถมถ้วยกาพ่นสี</t>
        </is>
      </c>
      <c r="C190" s="8" t="inlineStr">
        <is>
          <t>1อัน</t>
        </is>
      </c>
      <c r="D190" s="9" t="n">
        <v>3400</v>
      </c>
      <c r="H190" s="9" t="n">
        <v>3400</v>
      </c>
      <c r="I190" s="10" t="inlineStr">
        <is>
          <t>ทาเลนท์</t>
        </is>
      </c>
      <c r="J190" s="161" t="n">
        <v>24245</v>
      </c>
      <c r="K190" s="161" t="inlineStr">
        <is>
          <t>IV2214486</t>
        </is>
      </c>
    </row>
    <row r="191" ht="21" customHeight="1">
      <c r="B191" s="6" t="inlineStr">
        <is>
          <t>กาพ่นสีจริง ยี่ห้อ สตาร์ S4C-141G หัว 1.4 -- แถมถ้วยกาพ่นสีพลาสติก</t>
        </is>
      </c>
      <c r="C191" s="8" t="n">
        <v>2</v>
      </c>
      <c r="D191" s="9" t="n">
        <v>3400</v>
      </c>
      <c r="H191" s="9">
        <f>SUM(D191*C191)</f>
        <v/>
      </c>
      <c r="I191" s="10" t="inlineStr">
        <is>
          <t>ทาเลนท์</t>
        </is>
      </c>
      <c r="J191" s="161" t="n">
        <v>24657</v>
      </c>
      <c r="K191" s="161" t="inlineStr">
        <is>
          <t>IV2236562</t>
        </is>
      </c>
    </row>
    <row r="193" ht="21" customHeight="1">
      <c r="A193" s="11" t="inlineStr">
        <is>
          <t>พลาสติกม้วนใส</t>
        </is>
      </c>
      <c r="B193" s="6" t="inlineStr">
        <is>
          <t xml:space="preserve">ค่าพลาสติกม้วนใส 60หลา         (159*10ม้วน) + VAT 7%   </t>
        </is>
      </c>
      <c r="C193" s="8" t="inlineStr">
        <is>
          <t>10ม้วน</t>
        </is>
      </c>
      <c r="D193" s="9" t="n">
        <v>159</v>
      </c>
      <c r="F193" s="8" t="n">
        <v>0</v>
      </c>
      <c r="H193" s="9" t="n">
        <v>1701.3</v>
      </c>
      <c r="I193" s="10" t="inlineStr">
        <is>
          <t>หจก. พีอาร์โอ ซัพพลาย</t>
        </is>
      </c>
      <c r="J193" s="161" t="n">
        <v>23033</v>
      </c>
      <c r="L193" s="18" t="inlineStr">
        <is>
          <t xml:space="preserve"> คุณเอ๋ 098-2599091</t>
        </is>
      </c>
      <c r="M193" s="6" t="inlineStr">
        <is>
          <t>ห้างหุ้นส่วนจากัด พีอาร์โอ ซัพพลาย  /  ธนาคารกสิกรไทย บัญชีเลขที่ 032-8-11779-7  สาขาบิ๊กชี พระราม 2 (ท่าข้าม)</t>
        </is>
      </c>
    </row>
    <row r="194" ht="21" customHeight="1">
      <c r="B194" s="6" t="inlineStr">
        <is>
          <t xml:space="preserve">ค่าพลาสติกม้วนใส 60หลา         (159*10ม้วน) + VAT 7%   </t>
        </is>
      </c>
      <c r="C194" s="8" t="inlineStr">
        <is>
          <t>20ม้วน</t>
        </is>
      </c>
      <c r="D194" s="9" t="n">
        <v>159</v>
      </c>
      <c r="F194" s="8" t="n">
        <v>0</v>
      </c>
      <c r="H194" s="9" t="n">
        <v>3403</v>
      </c>
      <c r="I194" s="10" t="inlineStr">
        <is>
          <t>หจก. พีอาร์โอ ซัพพลาย</t>
        </is>
      </c>
      <c r="J194" s="161" t="n">
        <v>23109</v>
      </c>
      <c r="L194" s="18" t="inlineStr">
        <is>
          <t xml:space="preserve"> คุณเอ๋ 098-2599091</t>
        </is>
      </c>
      <c r="M194" s="6" t="inlineStr">
        <is>
          <t>ห้างหุ้นส่วนจากัด พีอาร์โอ ซัพพลาย  /  ธนาคารกสิกรไทย บัญชีเลขที่ 032-8-11779-7  สาขาบิ๊กชี พระราม 2 (ท่าข้าม)</t>
        </is>
      </c>
    </row>
    <row r="195" ht="21" customHeight="1">
      <c r="B195" s="6" t="inlineStr">
        <is>
          <t xml:space="preserve">ค่าพลาสติกม้วนใส 60หลา         (159*10ม้วน) + VAT 7%   </t>
        </is>
      </c>
      <c r="C195" s="8" t="inlineStr">
        <is>
          <t>20ม้วน</t>
        </is>
      </c>
      <c r="D195" s="9" t="n">
        <v>159</v>
      </c>
      <c r="F195" s="8" t="n">
        <v>0</v>
      </c>
      <c r="H195" s="9" t="n">
        <v>3403</v>
      </c>
      <c r="I195" s="10" t="inlineStr">
        <is>
          <t>หจก. พีอาร์โอ ซัพพลาย</t>
        </is>
      </c>
      <c r="J195" s="161" t="n">
        <v>23333</v>
      </c>
      <c r="L195" s="18" t="inlineStr">
        <is>
          <t xml:space="preserve"> คุณเอ๋ 098-2599091</t>
        </is>
      </c>
      <c r="M195" s="6" t="inlineStr">
        <is>
          <t>ห้างหุ้นส่วนจากัด พีอาร์โอ ซัพพลาย  /  ธนาคารกสิกรไทย บัญชีเลขที่ 032-8-11779-7  สาขาบิ๊กชี พระราม 2 (ท่าข้าม)</t>
        </is>
      </c>
    </row>
    <row r="196" ht="21" customHeight="1">
      <c r="B196" s="6" t="inlineStr">
        <is>
          <t xml:space="preserve">ค่าพลาสติกม้วนใส 60หลา         (159*10ม้วน) + VAT 7%   </t>
        </is>
      </c>
      <c r="C196" s="8" t="inlineStr">
        <is>
          <t>20ม้วน</t>
        </is>
      </c>
      <c r="D196" s="9" t="n">
        <v>175</v>
      </c>
      <c r="F196" s="8" t="n">
        <v>0</v>
      </c>
      <c r="H196" s="9" t="n">
        <v>3745</v>
      </c>
      <c r="I196" s="10" t="inlineStr">
        <is>
          <t>หจก. พีอาร์โอ ซัพพลาย</t>
        </is>
      </c>
      <c r="J196" s="161" t="n">
        <v>24006</v>
      </c>
      <c r="L196" s="18" t="inlineStr">
        <is>
          <t xml:space="preserve"> คุณเอ๋ 098-2599091</t>
        </is>
      </c>
      <c r="M196" s="6" t="inlineStr">
        <is>
          <t>ห้างหุ้นส่วนจากัด พีอาร์โอ ซัพพลาย  /  ธนาคารกสิกรไทย บัญชีเลขที่ 032-8-11779-7  สาขาบิ๊กชี พระราม 2 (ท่าข้าม)</t>
        </is>
      </c>
    </row>
    <row r="197" ht="21" customHeight="1">
      <c r="B197" s="6" t="inlineStr">
        <is>
          <t xml:space="preserve">ค่าพลาสติกม้วนใส 60หลา         (165*20ม้วน) + VAT 7%   </t>
        </is>
      </c>
      <c r="C197" s="8" t="inlineStr">
        <is>
          <t>20ม้วน</t>
        </is>
      </c>
      <c r="D197" s="9" t="n">
        <v>165</v>
      </c>
      <c r="F197" s="8" t="n">
        <v>0</v>
      </c>
      <c r="H197" s="9" t="n">
        <v>3531</v>
      </c>
      <c r="I197" s="10" t="inlineStr">
        <is>
          <t>หจก. พีอาร์โอ ซัพพลาย</t>
        </is>
      </c>
      <c r="J197" s="161" t="n">
        <v>24273</v>
      </c>
      <c r="L197" s="18" t="inlineStr">
        <is>
          <t xml:space="preserve"> คุณเอ๋ 098-2599091</t>
        </is>
      </c>
      <c r="M197" s="6" t="inlineStr">
        <is>
          <t>ห้างหุ้นส่วนจากัด พีอาร์โอ ซัพพลาย  /  ธนาคารกสิกรไทย บัญชีเลขที่ 032-8-11779-7  สาขาบิ๊กชี พระราม 2 (ท่าข้าม)</t>
        </is>
      </c>
    </row>
    <row r="198" ht="21" customHeight="1">
      <c r="B198" s="6" t="inlineStr">
        <is>
          <t xml:space="preserve">ค่าพลาสติกม้วนใส 60หลา         (165*20ม้วน) + VAT 7%   </t>
        </is>
      </c>
      <c r="C198" s="8" t="inlineStr">
        <is>
          <t>20ม้วน</t>
        </is>
      </c>
      <c r="D198" s="9" t="n">
        <v>165</v>
      </c>
      <c r="F198" s="8" t="n">
        <v>0</v>
      </c>
      <c r="H198" s="9" t="n">
        <v>3531</v>
      </c>
      <c r="I198" s="10" t="inlineStr">
        <is>
          <t>หจก. พีอาร์โอ ซัพพลาย</t>
        </is>
      </c>
      <c r="J198" s="161" t="n">
        <v>24691</v>
      </c>
      <c r="L198" s="18" t="inlineStr">
        <is>
          <t xml:space="preserve"> คุณเอ๋ 098-2599091</t>
        </is>
      </c>
      <c r="M198" s="6" t="inlineStr">
        <is>
          <t>ห้างหุ้นส่วนจากัด พีอาร์โอ ซัพพลาย  /  ธนาคารกสิกรไทย บัญชีเลขที่ 032-8-11779-7  สาขาบิ๊กชี พระราม 2 (ท่าข้าม)</t>
        </is>
      </c>
    </row>
    <row r="200" ht="21" customHeight="1">
      <c r="A200" s="11" t="inlineStr">
        <is>
          <t>เทปพันสายไฟ</t>
        </is>
      </c>
      <c r="B200" s="6" t="inlineStr">
        <is>
          <t>เทปพันสายไฟ 3M สีดำ</t>
        </is>
      </c>
      <c r="C200" s="8" t="inlineStr">
        <is>
          <t>1แถว</t>
        </is>
      </c>
      <c r="D200" s="9" t="n">
        <v>150</v>
      </c>
      <c r="H200" s="9" t="n">
        <v>150</v>
      </c>
      <c r="J200" s="161" t="n">
        <v>23059</v>
      </c>
      <c r="L200" s="18" t="inlineStr">
        <is>
          <t>ศรีสยาม</t>
        </is>
      </c>
    </row>
    <row r="201" ht="21" customHeight="1">
      <c r="B201" s="6" t="inlineStr">
        <is>
          <t>เทปพันสายไฟ 3M สีดำ</t>
        </is>
      </c>
      <c r="C201" s="8" t="inlineStr">
        <is>
          <t>2แถว</t>
        </is>
      </c>
      <c r="D201" s="9" t="n">
        <v>150</v>
      </c>
      <c r="H201" s="9" t="n">
        <v>300</v>
      </c>
      <c r="J201" s="161" t="n">
        <v>23135</v>
      </c>
      <c r="L201" s="18" t="inlineStr">
        <is>
          <t>ศรีสยาม</t>
        </is>
      </c>
    </row>
    <row r="202" ht="21" customHeight="1">
      <c r="B202" s="6" t="inlineStr">
        <is>
          <t>เทปพันสายไฟ 3M สีดำ</t>
        </is>
      </c>
      <c r="C202" s="8" t="inlineStr">
        <is>
          <t>1แถว</t>
        </is>
      </c>
      <c r="D202" s="9" t="n">
        <v>150</v>
      </c>
      <c r="H202" s="9" t="n">
        <v>150</v>
      </c>
      <c r="J202" s="161" t="n">
        <v>23224</v>
      </c>
      <c r="L202" s="18" t="inlineStr">
        <is>
          <t>ศรีสยาม</t>
        </is>
      </c>
    </row>
    <row r="203" ht="21" customHeight="1">
      <c r="B203" s="6" t="inlineStr">
        <is>
          <t>เทปพันสายไฟ 3M สีดำ</t>
        </is>
      </c>
      <c r="C203" s="8" t="inlineStr">
        <is>
          <t>1แถว</t>
        </is>
      </c>
      <c r="D203" s="9" t="n">
        <v>150</v>
      </c>
      <c r="H203" s="9" t="n">
        <v>150</v>
      </c>
      <c r="J203" s="161" t="n">
        <v>23289</v>
      </c>
      <c r="L203" s="18" t="inlineStr">
        <is>
          <t>ศรีสยาม</t>
        </is>
      </c>
    </row>
    <row r="204" ht="21" customHeight="1">
      <c r="B204" s="6" t="inlineStr">
        <is>
          <t>เทปพันสายไฟ 3M สีดำ</t>
        </is>
      </c>
      <c r="C204" s="8" t="inlineStr">
        <is>
          <t>1แถว</t>
        </is>
      </c>
      <c r="D204" s="9" t="n">
        <v>150</v>
      </c>
      <c r="H204" s="9" t="n">
        <v>150</v>
      </c>
      <c r="J204" s="161" t="n">
        <v>23521</v>
      </c>
      <c r="L204" s="18" t="inlineStr">
        <is>
          <t>ศรีสยาม</t>
        </is>
      </c>
    </row>
    <row r="205" ht="21" customHeight="1">
      <c r="B205" s="6" t="inlineStr">
        <is>
          <t>เทปพันสายไฟ 3M สีดำ</t>
        </is>
      </c>
      <c r="C205" s="8" t="inlineStr">
        <is>
          <t>1แถว</t>
        </is>
      </c>
      <c r="D205" s="9" t="n">
        <v>150</v>
      </c>
      <c r="H205" s="9" t="n">
        <v>150</v>
      </c>
      <c r="J205" s="161" t="n">
        <v>23591</v>
      </c>
      <c r="L205" s="18" t="inlineStr">
        <is>
          <t>ศรีสยาม</t>
        </is>
      </c>
    </row>
    <row r="206" ht="21" customHeight="1">
      <c r="B206" s="6" t="inlineStr">
        <is>
          <t>เทปพันสายไฟ 3M สีดำ</t>
        </is>
      </c>
      <c r="C206" s="8" t="inlineStr">
        <is>
          <t>1แถว</t>
        </is>
      </c>
      <c r="D206" s="9" t="n">
        <v>150</v>
      </c>
      <c r="H206" s="9" t="n">
        <v>150</v>
      </c>
      <c r="J206" s="161" t="n">
        <v>23775</v>
      </c>
      <c r="L206" s="18" t="inlineStr">
        <is>
          <t>ศรีสยาม</t>
        </is>
      </c>
    </row>
    <row r="207" ht="21" customHeight="1">
      <c r="B207" s="6" t="inlineStr">
        <is>
          <t>เทปพันสายไฟ 3M สีดำ</t>
        </is>
      </c>
      <c r="C207" s="8" t="inlineStr">
        <is>
          <t>1แถว</t>
        </is>
      </c>
      <c r="D207" s="9" t="n">
        <v>150</v>
      </c>
      <c r="H207" s="9" t="n">
        <v>150</v>
      </c>
      <c r="J207" s="161" t="n">
        <v>23895</v>
      </c>
      <c r="L207" s="18" t="inlineStr">
        <is>
          <t>ศรีสยาม</t>
        </is>
      </c>
    </row>
    <row r="208" ht="21" customHeight="1">
      <c r="B208" s="6" t="inlineStr">
        <is>
          <t>เทปพันสายไฟ 3M สีดำ</t>
        </is>
      </c>
      <c r="C208" s="8" t="inlineStr">
        <is>
          <t>1แถว</t>
        </is>
      </c>
      <c r="D208" s="9" t="n">
        <v>150</v>
      </c>
      <c r="H208" s="9" t="n">
        <v>150</v>
      </c>
      <c r="J208" s="161" t="n">
        <v>23979</v>
      </c>
      <c r="L208" s="18" t="inlineStr">
        <is>
          <t>ศรีสยาม</t>
        </is>
      </c>
    </row>
    <row r="209" ht="21" customHeight="1">
      <c r="B209" s="6" t="inlineStr">
        <is>
          <t>เทปพันสายไฟ 3M สีดำ</t>
        </is>
      </c>
      <c r="C209" s="8" t="inlineStr">
        <is>
          <t>1แถว</t>
        </is>
      </c>
      <c r="D209" s="9" t="n">
        <v>170</v>
      </c>
      <c r="H209" s="9" t="n">
        <v>170</v>
      </c>
      <c r="J209" s="161" t="n">
        <v>24057</v>
      </c>
      <c r="L209" s="18" t="inlineStr">
        <is>
          <t>ศรีสยาม</t>
        </is>
      </c>
    </row>
    <row r="210" ht="21" customHeight="1">
      <c r="B210" s="6" t="inlineStr">
        <is>
          <t>เทปพันสายไฟ 3M สีดำ</t>
        </is>
      </c>
      <c r="C210" s="8" t="inlineStr">
        <is>
          <t>1แถว</t>
        </is>
      </c>
      <c r="D210" s="9" t="n">
        <v>180</v>
      </c>
      <c r="H210" s="9" t="n">
        <v>180</v>
      </c>
      <c r="J210" s="161" t="n">
        <v>24163</v>
      </c>
      <c r="L210" s="18" t="inlineStr">
        <is>
          <t>ศรีสยาม</t>
        </is>
      </c>
    </row>
    <row r="211" ht="21" customHeight="1">
      <c r="B211" s="6" t="inlineStr">
        <is>
          <t>เทปพันสายไฟ 3M สีดำ</t>
        </is>
      </c>
      <c r="C211" s="8" t="inlineStr">
        <is>
          <t>1แถว</t>
        </is>
      </c>
      <c r="D211" s="9" t="n">
        <v>170</v>
      </c>
      <c r="H211" s="9" t="n">
        <v>170</v>
      </c>
      <c r="J211" s="161" t="n">
        <v>24270</v>
      </c>
      <c r="L211" s="18" t="inlineStr">
        <is>
          <t>ศรีสยาม</t>
        </is>
      </c>
    </row>
    <row r="212" ht="21" customHeight="1">
      <c r="B212" s="6" t="inlineStr">
        <is>
          <t>เทปพันสายไฟ 3M สีดำ</t>
        </is>
      </c>
      <c r="C212" s="8" t="inlineStr">
        <is>
          <t>1แถว</t>
        </is>
      </c>
      <c r="D212" s="9" t="n">
        <v>170</v>
      </c>
      <c r="H212" s="9" t="n">
        <v>170</v>
      </c>
      <c r="J212" s="161" t="n">
        <v>24344</v>
      </c>
      <c r="L212" s="18" t="inlineStr">
        <is>
          <t>ศรีสยาม</t>
        </is>
      </c>
    </row>
    <row r="213" ht="21" customHeight="1">
      <c r="B213" s="6" t="inlineStr">
        <is>
          <t>เทปพันสายไฟ 3M สีดำ</t>
        </is>
      </c>
      <c r="C213" s="8" t="inlineStr">
        <is>
          <t>1แถว</t>
        </is>
      </c>
      <c r="D213" s="9" t="n">
        <v>170</v>
      </c>
      <c r="H213" s="9" t="n">
        <v>170</v>
      </c>
      <c r="J213" s="161" t="n">
        <v>24420</v>
      </c>
      <c r="L213" s="18" t="inlineStr">
        <is>
          <t>ศรีสยาม</t>
        </is>
      </c>
    </row>
    <row r="214" ht="21" customHeight="1">
      <c r="B214" s="6" t="inlineStr">
        <is>
          <t>เทปพันสายไฟ 3M สีดำ (แพ็คละ10ม้วน)</t>
        </is>
      </c>
      <c r="C214" s="8" t="inlineStr">
        <is>
          <t>3แพ็ค</t>
        </is>
      </c>
      <c r="D214" s="9" t="n">
        <v>100.67</v>
      </c>
      <c r="H214" s="9" t="n">
        <v>302</v>
      </c>
      <c r="I214" s="10" t="inlineStr">
        <is>
          <t>สั่งซื้อจาก Shopee</t>
        </is>
      </c>
      <c r="J214" s="161" t="n">
        <v>24551</v>
      </c>
      <c r="L214" s="18" t="inlineStr">
        <is>
          <t>ราคารวมค่าส่งแล้ว</t>
        </is>
      </c>
    </row>
    <row r="215" ht="21" customHeight="1">
      <c r="B215" s="6" t="inlineStr">
        <is>
          <t>เทปพันสายไฟ 3M สีดำ (แพ็คละ10ม้วน)</t>
        </is>
      </c>
      <c r="C215" s="8" t="inlineStr">
        <is>
          <t>1แถว</t>
        </is>
      </c>
      <c r="D215" s="9" t="n">
        <v>180</v>
      </c>
      <c r="H215" s="9" t="n">
        <v>180</v>
      </c>
      <c r="J215" s="161" t="n">
        <v>24850</v>
      </c>
      <c r="L215" s="18" t="inlineStr">
        <is>
          <t>ศรีสยาม</t>
        </is>
      </c>
    </row>
    <row r="216" ht="21" customHeight="1">
      <c r="B216" s="6" t="inlineStr">
        <is>
          <t>เทปพันสายไฟ 3M สีดำ (แพ็คละ10ม้วน)</t>
        </is>
      </c>
      <c r="C216" s="8" t="inlineStr">
        <is>
          <t>1แถว</t>
        </is>
      </c>
      <c r="D216" s="9" t="n">
        <v>180</v>
      </c>
      <c r="H216" s="9" t="n">
        <v>180</v>
      </c>
      <c r="J216" s="161" t="n">
        <v>24930</v>
      </c>
      <c r="L216" s="18" t="inlineStr">
        <is>
          <t>ศรีสยาม</t>
        </is>
      </c>
    </row>
    <row r="217" ht="21" customHeight="1">
      <c r="B217" s="6" t="inlineStr">
        <is>
          <t>เทปพันสายไฟ 3M สีดำ (แพ็คละ10ม้วน)</t>
        </is>
      </c>
      <c r="C217" s="8" t="n">
        <v>3</v>
      </c>
      <c r="D217" s="9" t="n">
        <v>105</v>
      </c>
      <c r="H217" s="9">
        <f>SUM(D217*C217)</f>
        <v/>
      </c>
      <c r="I217" s="10" t="inlineStr">
        <is>
          <t>สั่งซื้อจาก Shopee</t>
        </is>
      </c>
      <c r="J217" s="161" t="n">
        <v>25014</v>
      </c>
      <c r="L217" s="18" t="inlineStr">
        <is>
          <t>ราคารวมค่าส่งแล้ว</t>
        </is>
      </c>
    </row>
    <row r="219" ht="21" customHeight="1">
      <c r="A219" s="11" t="inlineStr">
        <is>
          <t>เทปพันเกลียว</t>
        </is>
      </c>
      <c r="B219" s="6" t="inlineStr">
        <is>
          <t>เทปพันเกลียว Eagle 12M  (20ม้วน)</t>
        </is>
      </c>
      <c r="C219" s="8" t="inlineStr">
        <is>
          <t>1แถว</t>
        </is>
      </c>
      <c r="D219" s="9" t="n">
        <v>250</v>
      </c>
      <c r="H219" s="9" t="n">
        <v>250</v>
      </c>
      <c r="J219" s="161" t="n">
        <v>23289</v>
      </c>
      <c r="L219" s="18" t="inlineStr">
        <is>
          <t>ศรีสยาม</t>
        </is>
      </c>
    </row>
    <row r="220" ht="21" customHeight="1">
      <c r="B220" s="6" t="inlineStr">
        <is>
          <t xml:space="preserve">เทปพันเกลียว Eagle 12M  </t>
        </is>
      </c>
      <c r="C220" s="8" t="inlineStr">
        <is>
          <t>10ม้วน</t>
        </is>
      </c>
      <c r="D220" s="9" t="n">
        <v>15</v>
      </c>
      <c r="H220" s="9" t="n">
        <v>150</v>
      </c>
      <c r="J220" s="161" t="n">
        <v>23895</v>
      </c>
      <c r="L220" s="18" t="inlineStr">
        <is>
          <t>ศรีสยาม</t>
        </is>
      </c>
    </row>
    <row r="222" ht="21" customHeight="1">
      <c r="A222" s="11" t="inlineStr">
        <is>
          <t>สก๊อตเทปใส</t>
        </is>
      </c>
      <c r="B222" s="6" t="inlineStr">
        <is>
          <t>สก๊อตเทปใส UNITAPE 3/4"*36Y (แพ็คละ4ม้วน)</t>
        </is>
      </c>
      <c r="C222" s="8" t="n">
        <v>1</v>
      </c>
      <c r="D222" s="9" t="n">
        <v>109</v>
      </c>
      <c r="H222" s="9">
        <f>SUM(D222*C222)</f>
        <v/>
      </c>
      <c r="I222" s="10" t="inlineStr">
        <is>
          <t>Makro</t>
        </is>
      </c>
      <c r="J222" s="161" t="n">
        <v>24602</v>
      </c>
    </row>
    <row r="223" ht="21" customHeight="1">
      <c r="B223" s="6" t="inlineStr">
        <is>
          <t>สก๊อตเทปใส Louis Tpae 3/4"*36Y (แพ็คละ8ม้วน)</t>
        </is>
      </c>
      <c r="C223" s="8" t="n">
        <v>2</v>
      </c>
      <c r="D223" s="9" t="n">
        <v>137.5</v>
      </c>
      <c r="H223" s="9">
        <f>SUM(D223*C223)</f>
        <v/>
      </c>
      <c r="I223" s="10" t="inlineStr">
        <is>
          <t>Shoppee</t>
        </is>
      </c>
      <c r="J223" s="161" t="n">
        <v>25249</v>
      </c>
    </row>
    <row r="225" ht="21" customHeight="1">
      <c r="A225" s="11" t="inlineStr">
        <is>
          <t>สก๊อตไบร์ท</t>
        </is>
      </c>
      <c r="B225" s="6" t="inlineStr">
        <is>
          <t>สก๊อตไบร์ท 4*6นิ้วแผงละ20แผ่น</t>
        </is>
      </c>
      <c r="C225" s="8" t="n">
        <v>2</v>
      </c>
      <c r="D225" s="9" t="n">
        <v>229</v>
      </c>
      <c r="H225" s="9">
        <f>SUM(D225*C225)</f>
        <v/>
      </c>
      <c r="I225" s="10" t="inlineStr">
        <is>
          <t>Makro</t>
        </is>
      </c>
      <c r="J225" s="161" t="n">
        <v>24704</v>
      </c>
    </row>
    <row r="227" ht="21" customHeight="1">
      <c r="A227" s="11" t="inlineStr">
        <is>
          <t>เทปใสม้วนใหญ่</t>
        </is>
      </c>
      <c r="B227" s="6" t="inlineStr">
        <is>
          <t>เทปใสม้วนใหญ่ 2นิ้ว*45หลา (แพ็คละ 12ม้วน)</t>
        </is>
      </c>
      <c r="C227" s="8" t="n">
        <v>2</v>
      </c>
      <c r="D227" s="9" t="n">
        <v>183</v>
      </c>
      <c r="H227" s="9">
        <f>SUM(D227*C227)</f>
        <v/>
      </c>
      <c r="I227" s="10" t="inlineStr">
        <is>
          <t>ไทวัสดุ</t>
        </is>
      </c>
      <c r="J227" s="161" t="n">
        <v>24657</v>
      </c>
    </row>
    <row r="228" ht="21" customHeight="1">
      <c r="B228" s="6" t="inlineStr">
        <is>
          <t>เทปใสม้วนใหญ่ 2นิ้ว*45หลา (แพ็คละ 12ม้วน)</t>
        </is>
      </c>
      <c r="C228" s="8" t="n">
        <v>1</v>
      </c>
      <c r="D228" s="9" t="n">
        <v>139</v>
      </c>
      <c r="H228" s="9">
        <f>SUM(D228*C228)</f>
        <v/>
      </c>
      <c r="I228" s="10" t="inlineStr">
        <is>
          <t>Makro</t>
        </is>
      </c>
      <c r="J228" s="161" t="n">
        <v>24767</v>
      </c>
    </row>
    <row r="229" ht="21" customHeight="1">
      <c r="B229" s="6" t="inlineStr">
        <is>
          <t xml:space="preserve">เทปใสม้วนใหญ่ 45มม.*100หลา </t>
        </is>
      </c>
      <c r="C229" s="8" t="n">
        <v>12</v>
      </c>
      <c r="D229" s="9" t="n">
        <v>16.17</v>
      </c>
      <c r="H229" s="9">
        <f>SUM(D229*C229)</f>
        <v/>
      </c>
      <c r="I229" s="10" t="inlineStr">
        <is>
          <t>Shoppee</t>
        </is>
      </c>
      <c r="J229" s="161" t="n">
        <v>25028</v>
      </c>
    </row>
    <row r="231" ht="21" customHeight="1">
      <c r="A231" s="11" t="inlineStr">
        <is>
          <t>เทปผ้าสี</t>
        </is>
      </c>
      <c r="B231" s="6" t="inlineStr">
        <is>
          <t>เทปผ้าสี 36มม.*10หลา (แพ็คละ3ม้วน) ยี่ห้อ ARO</t>
        </is>
      </c>
      <c r="C231" s="8" t="n">
        <v>3</v>
      </c>
      <c r="D231" s="9" t="n">
        <v>122</v>
      </c>
      <c r="H231" s="9">
        <f>SUM(D231*C231)</f>
        <v/>
      </c>
      <c r="I231" s="10" t="inlineStr">
        <is>
          <t>Makro</t>
        </is>
      </c>
      <c r="J231" s="161" t="n">
        <v>24602</v>
      </c>
    </row>
    <row r="232" ht="21" customHeight="1">
      <c r="B232" s="6" t="inlineStr">
        <is>
          <t>เทปผ้าสี 36มม.*10หลา (แพ็คละ3ม้วน) ยี่ห้อ คิวบิซ</t>
        </is>
      </c>
      <c r="C232" s="8" t="n">
        <v>2</v>
      </c>
      <c r="D232" s="9" t="n">
        <v>122</v>
      </c>
      <c r="H232" s="9">
        <f>SUM(D232*C232)</f>
        <v/>
      </c>
      <c r="I232" s="10" t="inlineStr">
        <is>
          <t>Makro</t>
        </is>
      </c>
      <c r="J232" s="161" t="n">
        <v>24704</v>
      </c>
    </row>
    <row r="233" ht="21" customHeight="1">
      <c r="B233" s="6" t="inlineStr">
        <is>
          <t xml:space="preserve">เทปผ้าสี 48มม.*8หลา </t>
        </is>
      </c>
      <c r="C233" s="8" t="n">
        <v>12</v>
      </c>
      <c r="D233" s="9" t="n">
        <v>24</v>
      </c>
      <c r="H233" s="9">
        <f>SUM(D233*C233)</f>
        <v/>
      </c>
      <c r="I233" s="10" t="inlineStr">
        <is>
          <t>Shoppee</t>
        </is>
      </c>
      <c r="J233" s="161" t="n">
        <v>25028</v>
      </c>
    </row>
    <row r="235" ht="21" customHeight="1">
      <c r="A235" s="11" t="inlineStr">
        <is>
          <t>ดอกสว่าน</t>
        </is>
      </c>
      <c r="B235" s="6" t="inlineStr">
        <is>
          <t>ดอกสว่านเจาะเหล็ก 3/8 นิ้ว FUSUN สีขาว</t>
        </is>
      </c>
      <c r="C235" s="8" t="inlineStr">
        <is>
          <t>6ตัว</t>
        </is>
      </c>
      <c r="D235" s="9" t="n">
        <v>74</v>
      </c>
      <c r="H235" s="9" t="n">
        <v>444</v>
      </c>
      <c r="I235" s="10" t="inlineStr">
        <is>
          <t>ศรีสยาม</t>
        </is>
      </c>
      <c r="J235" s="161" t="n">
        <v>23062</v>
      </c>
    </row>
    <row r="236" ht="21" customHeight="1">
      <c r="B236" s="6" t="inlineStr">
        <is>
          <t>ดอกสว่านเจาะเหล็ก 3/8 นิ้ว FUSUN สีขาว</t>
        </is>
      </c>
      <c r="C236" s="8" t="inlineStr">
        <is>
          <t>6ตัว</t>
        </is>
      </c>
      <c r="D236" s="9" t="n">
        <v>74</v>
      </c>
      <c r="H236" s="9" t="n">
        <v>444</v>
      </c>
      <c r="I236" s="10" t="inlineStr">
        <is>
          <t>ศรีสยาม</t>
        </is>
      </c>
      <c r="J236" s="161" t="n">
        <v>23914</v>
      </c>
    </row>
    <row r="237" ht="21" customHeight="1">
      <c r="B237" s="6" t="inlineStr">
        <is>
          <t>ดอกสว่านเจาะเหล็ก 3/8 นิ้ว FUSUN สีขาว</t>
        </is>
      </c>
      <c r="C237" s="8" t="inlineStr">
        <is>
          <t>6ตัว</t>
        </is>
      </c>
      <c r="D237" s="9" t="n">
        <v>74</v>
      </c>
      <c r="H237" s="9" t="n">
        <v>444</v>
      </c>
      <c r="I237" s="10" t="inlineStr">
        <is>
          <t>ศรีสยาม</t>
        </is>
      </c>
      <c r="J237" s="161" t="n">
        <v>24093</v>
      </c>
    </row>
    <row r="238" ht="21" customHeight="1">
      <c r="B238" s="6" t="inlineStr">
        <is>
          <t>ดอกสว่านเจาะเหล็ก 3/8 นิ้ว FUSUN สีขาว</t>
        </is>
      </c>
      <c r="C238" s="8" t="n">
        <v>6</v>
      </c>
      <c r="D238" s="9" t="n">
        <v>75</v>
      </c>
      <c r="H238" s="9">
        <f>SUM(C238*D238)</f>
        <v/>
      </c>
      <c r="I238" s="10" t="inlineStr">
        <is>
          <t>ศรีสยาม</t>
        </is>
      </c>
      <c r="J238" s="161" t="n">
        <v>24586</v>
      </c>
    </row>
    <row r="240" ht="21" customHeight="1">
      <c r="B240" s="6" t="inlineStr">
        <is>
          <t>ดอกสว่านเจาะเหล็ก 1/4 นิ้ว FUSUN สีขาว</t>
        </is>
      </c>
      <c r="C240" s="8" t="inlineStr">
        <is>
          <t>12ตัว</t>
        </is>
      </c>
      <c r="D240" s="9" t="n">
        <v>33</v>
      </c>
      <c r="H240" s="9" t="n">
        <v>396</v>
      </c>
      <c r="I240" s="10" t="inlineStr">
        <is>
          <t>ศรีสยาม</t>
        </is>
      </c>
      <c r="J240" s="161" t="n">
        <v>23202</v>
      </c>
    </row>
    <row r="241" ht="21" customHeight="1">
      <c r="B241" s="6" t="inlineStr">
        <is>
          <t>ดอกสว่านเจาะเหล็ก 1/4 นิ้ว FUSUN สีขาว</t>
        </is>
      </c>
      <c r="C241" s="8" t="inlineStr">
        <is>
          <t>12ตัว</t>
        </is>
      </c>
      <c r="D241" s="9" t="n">
        <v>33</v>
      </c>
      <c r="H241" s="9" t="n">
        <v>396</v>
      </c>
      <c r="I241" s="10" t="inlineStr">
        <is>
          <t>ศรีสยาม</t>
        </is>
      </c>
      <c r="J241" s="161" t="n">
        <v>23455</v>
      </c>
    </row>
    <row r="242" ht="21" customHeight="1">
      <c r="B242" s="6" t="inlineStr">
        <is>
          <t>ดอกสว่านเจาะเหล็ก 1/4 นิ้ว FUSUN สีขาว</t>
        </is>
      </c>
      <c r="C242" s="8" t="inlineStr">
        <is>
          <t>12ตัว</t>
        </is>
      </c>
      <c r="D242" s="9" t="n">
        <v>37</v>
      </c>
      <c r="H242" s="9" t="n">
        <v>444</v>
      </c>
      <c r="I242" s="10" t="inlineStr">
        <is>
          <t>ศรีสยาม</t>
        </is>
      </c>
      <c r="J242" s="161" t="n">
        <v>24096</v>
      </c>
    </row>
    <row r="243" ht="21" customHeight="1">
      <c r="B243" s="6" t="inlineStr">
        <is>
          <t>ดอกสว่านเจาะเหล็ก 1/4 นิ้ว FUSUN สีขาว</t>
        </is>
      </c>
      <c r="C243" s="8" t="n">
        <v>12</v>
      </c>
      <c r="D243" s="9" t="n">
        <v>36</v>
      </c>
      <c r="H243" s="9">
        <f>SUM(D243*C243)</f>
        <v/>
      </c>
      <c r="I243" s="10" t="inlineStr">
        <is>
          <t>ศรีสยาม</t>
        </is>
      </c>
      <c r="J243" s="161" t="n">
        <v>24586</v>
      </c>
    </row>
    <row r="244" ht="21" customHeight="1">
      <c r="B244" s="6" t="inlineStr">
        <is>
          <t>ดอกสว่านเจาะเหล็ก 1/4 นิ้ว FUSUN สีขาว</t>
        </is>
      </c>
      <c r="C244" s="8" t="n">
        <v>12</v>
      </c>
      <c r="D244" s="9" t="n">
        <v>36</v>
      </c>
      <c r="H244" s="9">
        <f>SUM(D244*C244)</f>
        <v/>
      </c>
      <c r="I244" s="10" t="inlineStr">
        <is>
          <t>ศรีสยาม</t>
        </is>
      </c>
      <c r="J244" s="161" t="n">
        <v>24968</v>
      </c>
    </row>
    <row r="246" ht="21" customHeight="1">
      <c r="B246" s="6" t="inlineStr">
        <is>
          <t>ดอกสว่านเจาะเหล็ก 1/8 นิ้ว FUSUN สีขาว</t>
        </is>
      </c>
      <c r="C246" s="8" t="inlineStr">
        <is>
          <t>24ตัว</t>
        </is>
      </c>
      <c r="D246" s="9" t="n">
        <v>12</v>
      </c>
      <c r="H246" s="9" t="n">
        <v>288</v>
      </c>
      <c r="I246" s="10" t="inlineStr">
        <is>
          <t>ศรีสยาม</t>
        </is>
      </c>
      <c r="J246" s="161" t="n">
        <v>23111</v>
      </c>
    </row>
    <row r="247" ht="21" customHeight="1">
      <c r="B247" s="6" t="inlineStr">
        <is>
          <t>ดอกสว่านเจาะเหล็ก 1/8 นิ้ว FUSUN สีขาว</t>
        </is>
      </c>
      <c r="C247" s="8" t="inlineStr">
        <is>
          <t>12ตัว</t>
        </is>
      </c>
      <c r="D247" s="9" t="n">
        <v>12</v>
      </c>
      <c r="H247" s="9" t="n">
        <v>144</v>
      </c>
      <c r="I247" s="10" t="inlineStr">
        <is>
          <t>ศรีสยาม</t>
        </is>
      </c>
      <c r="J247" s="161" t="n">
        <v>23202</v>
      </c>
    </row>
    <row r="248" ht="21" customHeight="1">
      <c r="B248" s="6" t="inlineStr">
        <is>
          <t>ดอกสว่านเจาะเหล็ก 1/8 นิ้ว FUSUN สีขาว</t>
        </is>
      </c>
      <c r="C248" s="8" t="inlineStr">
        <is>
          <t>12ตัว</t>
        </is>
      </c>
      <c r="D248" s="9" t="n">
        <v>12</v>
      </c>
      <c r="H248" s="9" t="n">
        <v>144</v>
      </c>
      <c r="I248" s="10" t="inlineStr">
        <is>
          <t>ศรีสยาม</t>
        </is>
      </c>
      <c r="J248" s="161" t="n">
        <v>23231</v>
      </c>
    </row>
    <row r="249" ht="21" customHeight="1">
      <c r="B249" s="6" t="inlineStr">
        <is>
          <t>ดอกสว่านเจาะเหล็ก 1/8 นิ้ว FUSUN สีขาว</t>
        </is>
      </c>
      <c r="C249" s="8" t="inlineStr">
        <is>
          <t>12ตัว</t>
        </is>
      </c>
      <c r="D249" s="9" t="n">
        <v>12</v>
      </c>
      <c r="H249" s="9" t="n">
        <v>144</v>
      </c>
      <c r="I249" s="10" t="inlineStr">
        <is>
          <t>ศรีสยาม</t>
        </is>
      </c>
      <c r="J249" s="161" t="n">
        <v>23455</v>
      </c>
    </row>
    <row r="250" ht="21" customHeight="1">
      <c r="B250" s="6" t="inlineStr">
        <is>
          <t>ดอกสว่านเจาะเหล็ก 1/8 นิ้ว FUSUN สีขาว</t>
        </is>
      </c>
      <c r="C250" s="8" t="inlineStr">
        <is>
          <t>12ตัว</t>
        </is>
      </c>
      <c r="D250" s="9" t="n">
        <v>12</v>
      </c>
      <c r="H250" s="9" t="n">
        <v>144</v>
      </c>
      <c r="I250" s="10" t="inlineStr">
        <is>
          <t>ศรีสยาม</t>
        </is>
      </c>
      <c r="J250" s="161" t="n">
        <v>23584</v>
      </c>
    </row>
    <row r="251" ht="21" customHeight="1">
      <c r="B251" s="6" t="inlineStr">
        <is>
          <t>ดอกสว่านเจาะเหล็ก 1/8 นิ้ว FUSUN สีขาว</t>
        </is>
      </c>
      <c r="C251" s="8" t="inlineStr">
        <is>
          <t>12ตัว</t>
        </is>
      </c>
      <c r="D251" s="9" t="n">
        <v>12</v>
      </c>
      <c r="H251" s="9" t="n">
        <v>144</v>
      </c>
      <c r="I251" s="10" t="inlineStr">
        <is>
          <t>ศรีสยาม</t>
        </is>
      </c>
      <c r="J251" s="161" t="n">
        <v>23806</v>
      </c>
    </row>
    <row r="252" ht="21" customHeight="1">
      <c r="B252" s="6" t="inlineStr">
        <is>
          <t>ดอกสว่านเจาะเหล็ก 1/8 นิ้ว FUSUN สีขาว</t>
        </is>
      </c>
      <c r="C252" s="8" t="inlineStr">
        <is>
          <t>12ตัว</t>
        </is>
      </c>
      <c r="D252" s="9" t="n">
        <v>12</v>
      </c>
      <c r="H252" s="9" t="n">
        <v>144</v>
      </c>
      <c r="I252" s="10" t="inlineStr">
        <is>
          <t>ศรีสยาม</t>
        </is>
      </c>
      <c r="J252" s="161" t="n">
        <v>24018</v>
      </c>
    </row>
    <row r="253" ht="21" customHeight="1">
      <c r="B253" s="6" t="inlineStr">
        <is>
          <t>ดอกสว่านเจาะเหล็ก 1/8 นิ้ว FUSUN สีขาว</t>
        </is>
      </c>
      <c r="C253" s="8" t="inlineStr">
        <is>
          <t>12ตัว</t>
        </is>
      </c>
      <c r="D253" s="9" t="n">
        <v>14</v>
      </c>
      <c r="H253" s="9" t="n">
        <v>168</v>
      </c>
      <c r="I253" s="10" t="inlineStr">
        <is>
          <t>ศรีสยาม</t>
        </is>
      </c>
      <c r="J253" s="161" t="n">
        <v>24096</v>
      </c>
    </row>
    <row r="254" ht="21" customHeight="1">
      <c r="B254" s="6" t="inlineStr">
        <is>
          <t>ดอกสว่านเจาะเหล็ก 1/8 นิ้ว FUSUN สีขาว</t>
        </is>
      </c>
      <c r="C254" s="8" t="inlineStr">
        <is>
          <t>24ตัว</t>
        </is>
      </c>
      <c r="D254" s="9" t="n">
        <v>14</v>
      </c>
      <c r="H254" s="9" t="n">
        <v>336</v>
      </c>
      <c r="I254" s="10" t="inlineStr">
        <is>
          <t>ศรีสยาม</t>
        </is>
      </c>
      <c r="J254" s="161" t="n">
        <v>24265</v>
      </c>
    </row>
    <row r="255" ht="21" customHeight="1">
      <c r="B255" s="6" t="inlineStr">
        <is>
          <t>ดอกสว่านเจาะเหล็ก 1/8 นิ้ว FUSUN สีขาว</t>
        </is>
      </c>
      <c r="C255" s="8" t="n">
        <v>24</v>
      </c>
      <c r="D255" s="9" t="n">
        <v>12.84</v>
      </c>
      <c r="H255" s="9">
        <f>SUM(D255*C255)</f>
        <v/>
      </c>
      <c r="I255" s="10" t="inlineStr">
        <is>
          <t>ศรีสยาม</t>
        </is>
      </c>
      <c r="J255" s="161" t="n">
        <v>24526</v>
      </c>
    </row>
    <row r="256" ht="21" customHeight="1">
      <c r="B256" s="6" t="inlineStr">
        <is>
          <t>ดอกสว่านเจาะเหล็ก 1/8 นิ้ว FUSUN สีขาว</t>
        </is>
      </c>
      <c r="C256" s="8" t="n">
        <v>12</v>
      </c>
      <c r="D256" s="9" t="n">
        <v>15</v>
      </c>
      <c r="H256" s="9">
        <f>SUM(D256*C256)</f>
        <v/>
      </c>
      <c r="I256" s="10" t="inlineStr">
        <is>
          <t>ศรีสยาม</t>
        </is>
      </c>
      <c r="J256" s="161" t="n">
        <v>24867</v>
      </c>
    </row>
    <row r="257" ht="21" customHeight="1">
      <c r="B257" s="6" t="inlineStr">
        <is>
          <t>ดอกสว่านเจาะเหล็ก 1/8 นิ้ว FUSUN สีขาว</t>
        </is>
      </c>
      <c r="C257" s="8" t="n">
        <v>12</v>
      </c>
      <c r="D257" s="9" t="n">
        <v>15</v>
      </c>
      <c r="H257" s="9">
        <f>SUM(D257*C257)</f>
        <v/>
      </c>
      <c r="I257" s="10" t="inlineStr">
        <is>
          <t>ศรีสยาม</t>
        </is>
      </c>
      <c r="J257" s="161" t="n">
        <v>25029</v>
      </c>
    </row>
    <row r="259" ht="21" customHeight="1">
      <c r="B259" s="6" t="inlineStr">
        <is>
          <t>ดอกสว่านเจาะเหล็ก 3/16 นิ้ว Keiba สีขาว</t>
        </is>
      </c>
      <c r="C259" s="8" t="inlineStr">
        <is>
          <t>12ตัว</t>
        </is>
      </c>
      <c r="D259" s="9" t="n">
        <v>27</v>
      </c>
      <c r="H259" s="9" t="n">
        <v>324</v>
      </c>
      <c r="I259" s="10" t="inlineStr">
        <is>
          <t>ศรีสยาม</t>
        </is>
      </c>
      <c r="J259" s="161" t="n">
        <v>23202</v>
      </c>
    </row>
    <row r="260" ht="21" customHeight="1">
      <c r="B260" s="6" t="inlineStr">
        <is>
          <t>ดอกสว่านเจาะเหล็ก 3/16 นิ้ว Keiba สีขาว</t>
        </is>
      </c>
      <c r="C260" s="8" t="inlineStr">
        <is>
          <t>12ตัว</t>
        </is>
      </c>
      <c r="D260" s="9" t="n">
        <v>23</v>
      </c>
      <c r="H260" s="9" t="n">
        <v>276</v>
      </c>
      <c r="I260" s="10" t="inlineStr">
        <is>
          <t>ศรีสยาม</t>
        </is>
      </c>
      <c r="J260" s="161" t="n">
        <v>23455</v>
      </c>
    </row>
    <row r="261" ht="21" customHeight="1">
      <c r="B261" s="6" t="inlineStr">
        <is>
          <t>ดอกสว่านเจาะเหล็ก 3/16 นิ้ว FUSUNสีขาว</t>
        </is>
      </c>
      <c r="C261" s="8" t="inlineStr">
        <is>
          <t>12ตัว</t>
        </is>
      </c>
      <c r="D261" s="9" t="n">
        <v>25</v>
      </c>
      <c r="H261" s="9" t="n">
        <v>300</v>
      </c>
      <c r="I261" s="10" t="inlineStr">
        <is>
          <t>ศรีสยาม</t>
        </is>
      </c>
      <c r="J261" s="161" t="n">
        <v>23903</v>
      </c>
    </row>
    <row r="262" ht="21" customHeight="1">
      <c r="B262" s="6" t="inlineStr">
        <is>
          <t>ดอกสว่านเจาะเหล็ก 3/16 นิ้ว FUSUNสีขาว</t>
        </is>
      </c>
      <c r="C262" s="8" t="inlineStr">
        <is>
          <t>10ตัว</t>
        </is>
      </c>
      <c r="D262" s="9" t="n">
        <v>25</v>
      </c>
      <c r="H262" s="9" t="n">
        <v>250</v>
      </c>
      <c r="I262" s="10" t="inlineStr">
        <is>
          <t>ศรีสยาม</t>
        </is>
      </c>
      <c r="J262" s="161" t="n">
        <v>24163</v>
      </c>
    </row>
    <row r="263" ht="21" customHeight="1">
      <c r="B263" s="6" t="inlineStr">
        <is>
          <t>ดอกสว่านเจาะเหล็ก 3/16 นิ้ว FUSUNสีขาว</t>
        </is>
      </c>
      <c r="C263" s="8" t="inlineStr">
        <is>
          <t>12ตัว</t>
        </is>
      </c>
      <c r="D263" s="9" t="n">
        <v>25</v>
      </c>
      <c r="H263" s="9" t="n">
        <v>300</v>
      </c>
      <c r="I263" s="10" t="inlineStr">
        <is>
          <t>ศรีสยาม</t>
        </is>
      </c>
      <c r="J263" s="161" t="n">
        <v>24375</v>
      </c>
    </row>
    <row r="264" ht="21" customHeight="1">
      <c r="B264" s="6" t="inlineStr">
        <is>
          <t>ดอกสว่านเจาะเหล็ก 3/16 นิ้ว FUSUNสีขาว</t>
        </is>
      </c>
      <c r="C264" s="8" t="n">
        <v>12</v>
      </c>
      <c r="D264" s="9" t="n">
        <v>23</v>
      </c>
      <c r="H264" s="9">
        <f>SUM(D264*C264)</f>
        <v/>
      </c>
      <c r="I264" s="10" t="inlineStr">
        <is>
          <t>ศรีสยาม</t>
        </is>
      </c>
      <c r="J264" s="161" t="n">
        <v>24882</v>
      </c>
    </row>
    <row r="265" ht="21" customHeight="1">
      <c r="B265" s="6" t="inlineStr">
        <is>
          <t>ดอกสว่านเจาะเหล็ก 3/16 นิ้ว FUSUNสีขาว</t>
        </is>
      </c>
      <c r="C265" s="8" t="n">
        <v>12</v>
      </c>
      <c r="D265" s="9" t="n">
        <v>23</v>
      </c>
      <c r="H265" s="9">
        <f>SUM(D265*C265)</f>
        <v/>
      </c>
      <c r="I265" s="10" t="inlineStr">
        <is>
          <t>ศรีสยาม</t>
        </is>
      </c>
      <c r="J265" s="161" t="n">
        <v>25058</v>
      </c>
    </row>
    <row r="267" ht="21" customHeight="1">
      <c r="B267" s="6" t="inlineStr">
        <is>
          <t>ดอกสว่านเจาะเหล็ก 5/16 นิ้ว FUSUN สีขาว</t>
        </is>
      </c>
      <c r="C267" s="8" t="inlineStr">
        <is>
          <t>6ตัว</t>
        </is>
      </c>
      <c r="D267" s="9" t="n">
        <v>58</v>
      </c>
      <c r="H267" s="9" t="n">
        <v>348</v>
      </c>
      <c r="I267" s="10" t="inlineStr">
        <is>
          <t>ศรีสยาม</t>
        </is>
      </c>
      <c r="J267" s="161" t="n">
        <v>23202</v>
      </c>
    </row>
    <row r="268" ht="21" customHeight="1">
      <c r="B268" s="6" t="inlineStr">
        <is>
          <t>ดอกสว่านเจาะเหล็ก 5/16 นิ้ว FUSUN สีขาว</t>
        </is>
      </c>
      <c r="C268" s="8" t="inlineStr">
        <is>
          <t>6ตัว</t>
        </is>
      </c>
      <c r="D268" s="9" t="n">
        <v>58</v>
      </c>
      <c r="H268" s="9" t="n">
        <v>348</v>
      </c>
      <c r="I268" s="10" t="inlineStr">
        <is>
          <t>ศรีสยาม</t>
        </is>
      </c>
      <c r="J268" s="161" t="n">
        <v>23356</v>
      </c>
    </row>
    <row r="269" ht="21" customHeight="1">
      <c r="B269" s="6" t="inlineStr">
        <is>
          <t>ดอกสว่านเจาะเหล็ก 5/16 นิ้ว FUSUN สีขาว</t>
        </is>
      </c>
      <c r="C269" s="8" t="inlineStr">
        <is>
          <t>6ตัว</t>
        </is>
      </c>
      <c r="D269" s="9" t="n">
        <v>58</v>
      </c>
      <c r="H269" s="9" t="n">
        <v>348</v>
      </c>
      <c r="I269" s="10" t="inlineStr">
        <is>
          <t>ศรีสยาม</t>
        </is>
      </c>
      <c r="J269" s="161" t="n">
        <v>23455</v>
      </c>
    </row>
    <row r="270" ht="21" customHeight="1">
      <c r="B270" s="6" t="inlineStr">
        <is>
          <t>ดอกสว่านเจาะเหล็ก 5/16 นิ้ว FUSUN สีขาว</t>
        </is>
      </c>
      <c r="C270" s="8" t="inlineStr">
        <is>
          <t>6ตัว</t>
        </is>
      </c>
      <c r="D270" s="9" t="n">
        <v>58</v>
      </c>
      <c r="H270" s="9" t="n">
        <v>348</v>
      </c>
      <c r="I270" s="10" t="inlineStr">
        <is>
          <t>ศรีสยาม</t>
        </is>
      </c>
      <c r="J270" s="161" t="n">
        <v>23521</v>
      </c>
    </row>
    <row r="271" ht="21" customHeight="1">
      <c r="B271" s="6" t="inlineStr">
        <is>
          <t>ดอกสว่านเจาะเหล็ก 5/16 นิ้ว FUSUN สีขาว</t>
        </is>
      </c>
      <c r="C271" s="8" t="inlineStr">
        <is>
          <t>6ตัว</t>
        </is>
      </c>
      <c r="D271" s="9" t="n">
        <v>58</v>
      </c>
      <c r="H271" s="9" t="n">
        <v>348</v>
      </c>
      <c r="I271" s="10" t="inlineStr">
        <is>
          <t>ศรีสยาม</t>
        </is>
      </c>
      <c r="J271" s="161" t="n">
        <v>23659</v>
      </c>
    </row>
    <row r="272" ht="21" customHeight="1">
      <c r="B272" s="6" t="inlineStr">
        <is>
          <t>ดอกสว่านเจาะเหล็ก 5/16 นิ้ว FUSUN สีขาว</t>
        </is>
      </c>
      <c r="C272" s="8" t="inlineStr">
        <is>
          <t>6ตัว</t>
        </is>
      </c>
      <c r="D272" s="9" t="n">
        <v>60</v>
      </c>
      <c r="H272" s="9" t="n">
        <v>360</v>
      </c>
      <c r="I272" s="10" t="inlineStr">
        <is>
          <t>ศรีสยาม</t>
        </is>
      </c>
      <c r="J272" s="161" t="n">
        <v>23782</v>
      </c>
    </row>
    <row r="273" ht="21" customHeight="1">
      <c r="B273" s="6" t="inlineStr">
        <is>
          <t>ดอกสว่านเจาะเหล็ก 5/16 นิ้ว FUSUN สีขาว</t>
        </is>
      </c>
      <c r="C273" s="8" t="inlineStr">
        <is>
          <t>6ตัว</t>
        </is>
      </c>
      <c r="D273" s="9" t="n">
        <v>60</v>
      </c>
      <c r="H273" s="9" t="n">
        <v>360</v>
      </c>
      <c r="I273" s="10" t="inlineStr">
        <is>
          <t>ศรีสยาม</t>
        </is>
      </c>
      <c r="J273" s="161" t="n">
        <v>23850</v>
      </c>
    </row>
    <row r="274" ht="21" customHeight="1">
      <c r="B274" s="6" t="inlineStr">
        <is>
          <t>ดอกสว่านเจาะเหล็ก 5/16 นิ้ว FUSUN สีขาว</t>
        </is>
      </c>
      <c r="C274" s="8" t="inlineStr">
        <is>
          <t>6ตัว</t>
        </is>
      </c>
      <c r="D274" s="9" t="n">
        <v>60</v>
      </c>
      <c r="H274" s="9" t="n">
        <v>360</v>
      </c>
      <c r="I274" s="10" t="inlineStr">
        <is>
          <t>ศรีสยาม</t>
        </is>
      </c>
      <c r="J274" s="161" t="n">
        <v>23889</v>
      </c>
    </row>
    <row r="275" ht="21" customHeight="1">
      <c r="B275" s="6" t="inlineStr">
        <is>
          <t>ดอกสว่านเจาะเหล็ก 5/16 นิ้ว FUSUN สีขาว</t>
        </is>
      </c>
      <c r="C275" s="8" t="inlineStr">
        <is>
          <t>6ตัว</t>
        </is>
      </c>
      <c r="D275" s="9" t="n">
        <v>60</v>
      </c>
      <c r="H275" s="9" t="n">
        <v>360</v>
      </c>
      <c r="I275" s="10" t="inlineStr">
        <is>
          <t>ศรีสยาม</t>
        </is>
      </c>
      <c r="J275" s="161" t="n">
        <v>23914</v>
      </c>
    </row>
    <row r="276" ht="21" customHeight="1">
      <c r="B276" s="6" t="inlineStr">
        <is>
          <t>ดอกสว่านเจาะเหล็ก 5/16 นิ้ว FUSUN สีขาว</t>
        </is>
      </c>
      <c r="C276" s="8" t="inlineStr">
        <is>
          <t>6ตัว</t>
        </is>
      </c>
      <c r="D276" s="9" t="n">
        <v>65</v>
      </c>
      <c r="H276" s="9" t="n">
        <v>390</v>
      </c>
      <c r="I276" s="10" t="inlineStr">
        <is>
          <t>ศรีสยาม</t>
        </is>
      </c>
      <c r="J276" s="161" t="n">
        <v>23962</v>
      </c>
    </row>
    <row r="277" ht="21" customHeight="1">
      <c r="B277" s="6" t="inlineStr">
        <is>
          <t>ดอกสว่านเจาะเหล็ก 5/16 นิ้ว FUSUN สีขาว</t>
        </is>
      </c>
      <c r="C277" s="8" t="inlineStr">
        <is>
          <t>6ตัว</t>
        </is>
      </c>
      <c r="D277" s="9" t="n">
        <v>65</v>
      </c>
      <c r="H277" s="9" t="n">
        <v>390</v>
      </c>
      <c r="I277" s="10" t="inlineStr">
        <is>
          <t>ศรีสยาม</t>
        </is>
      </c>
      <c r="J277" s="161" t="n">
        <v>24018</v>
      </c>
    </row>
    <row r="278" ht="21" customHeight="1">
      <c r="B278" s="6" t="inlineStr">
        <is>
          <t>ดอกสว่านเจาะเหล็ก 5/16 นิ้ว FUSUN สีขาว</t>
        </is>
      </c>
      <c r="C278" s="8" t="inlineStr">
        <is>
          <t>6ตัว</t>
        </is>
      </c>
      <c r="D278" s="9" t="n">
        <v>65</v>
      </c>
      <c r="H278" s="9" t="n">
        <v>390</v>
      </c>
      <c r="I278" s="10" t="inlineStr">
        <is>
          <t>ศรีสยาม</t>
        </is>
      </c>
      <c r="J278" s="161" t="n">
        <v>24041</v>
      </c>
    </row>
    <row r="279" ht="21" customHeight="1">
      <c r="B279" s="6" t="inlineStr">
        <is>
          <t>ดอกสว่านเจาะเหล็ก 5/16 นิ้ว FUSUN สีขาว</t>
        </is>
      </c>
      <c r="C279" s="8" t="inlineStr">
        <is>
          <t>6ตัว</t>
        </is>
      </c>
      <c r="D279" s="9" t="n">
        <v>65</v>
      </c>
      <c r="H279" s="9" t="n">
        <v>390</v>
      </c>
      <c r="I279" s="10" t="inlineStr">
        <is>
          <t>ศรีสยาม</t>
        </is>
      </c>
      <c r="J279" s="161" t="n">
        <v>24093</v>
      </c>
    </row>
    <row r="280" ht="21" customHeight="1">
      <c r="B280" s="6" t="inlineStr">
        <is>
          <t>ดอกสว่านเจาะเหล็ก 5/16 นิ้ว FUSUN สีขาว</t>
        </is>
      </c>
      <c r="C280" s="8" t="inlineStr">
        <is>
          <t>12ตัว</t>
        </is>
      </c>
      <c r="D280" s="9" t="n">
        <v>65</v>
      </c>
      <c r="H280" s="9" t="n">
        <v>780</v>
      </c>
      <c r="I280" s="10" t="inlineStr">
        <is>
          <t>ศรีสยาม</t>
        </is>
      </c>
      <c r="J280" s="161" t="n">
        <v>24163</v>
      </c>
    </row>
    <row r="281" ht="21" customHeight="1">
      <c r="B281" s="6" t="inlineStr">
        <is>
          <t>ดอกสว่านเจาะเหล็ก 5/16 นิ้ว FUSUN สีขาว</t>
        </is>
      </c>
      <c r="C281" s="8" t="inlineStr">
        <is>
          <t>12ตัว</t>
        </is>
      </c>
      <c r="D281" s="9" t="n">
        <v>65</v>
      </c>
      <c r="H281" s="9" t="n">
        <v>780</v>
      </c>
      <c r="I281" s="10" t="inlineStr">
        <is>
          <t>ศรีสยาม</t>
        </is>
      </c>
      <c r="J281" s="161" t="n">
        <v>24223</v>
      </c>
    </row>
    <row r="282" ht="21" customHeight="1">
      <c r="B282" s="6" t="inlineStr">
        <is>
          <t>ดอกสว่านเจาะเหล็ก 5/16 นิ้ว FUSUN สีขาว</t>
        </is>
      </c>
      <c r="C282" s="8" t="inlineStr">
        <is>
          <t>12ตัว</t>
        </is>
      </c>
      <c r="D282" s="9" t="n">
        <v>65</v>
      </c>
      <c r="H282" s="9" t="n">
        <v>780</v>
      </c>
      <c r="I282" s="10" t="inlineStr">
        <is>
          <t>ศรีสยาม</t>
        </is>
      </c>
      <c r="J282" s="161" t="n">
        <v>24478</v>
      </c>
    </row>
    <row r="283" ht="21" customHeight="1">
      <c r="B283" s="6" t="inlineStr">
        <is>
          <t>ดอกสว่านเจาะเหล็ก 5/16 นิ้ว FUSUN สีขาว</t>
        </is>
      </c>
      <c r="C283" s="8" t="n">
        <v>6</v>
      </c>
      <c r="D283" s="9" t="n">
        <v>70</v>
      </c>
      <c r="H283" s="9">
        <f>SUM(D283*C283)</f>
        <v/>
      </c>
      <c r="I283" s="10" t="inlineStr">
        <is>
          <t>ศรีสยาม</t>
        </is>
      </c>
      <c r="J283" s="161" t="n">
        <v>24586</v>
      </c>
    </row>
    <row r="284" ht="21" customHeight="1">
      <c r="B284" s="6" t="inlineStr">
        <is>
          <t>ดอกสว่านเจาะเหล็ก 5/16 นิ้ว FUSUN สีขาว</t>
        </is>
      </c>
      <c r="C284" s="8" t="n">
        <v>6</v>
      </c>
      <c r="D284" s="9" t="n">
        <v>70</v>
      </c>
      <c r="H284" s="9">
        <f>SUM(D284*C284)</f>
        <v/>
      </c>
      <c r="I284" s="10" t="inlineStr">
        <is>
          <t>ศรีสยาม</t>
        </is>
      </c>
      <c r="J284" s="161" t="n">
        <v>24643</v>
      </c>
    </row>
    <row r="285" ht="21" customHeight="1">
      <c r="B285" s="6" t="inlineStr">
        <is>
          <t>ดอกสว่านเจาะเหล็ก 5/16 นิ้ว FUSUN สีขาว</t>
        </is>
      </c>
      <c r="C285" s="8" t="n">
        <v>6</v>
      </c>
      <c r="D285" s="9" t="n">
        <v>70</v>
      </c>
      <c r="H285" s="9">
        <f>SUM(D285*C285)</f>
        <v/>
      </c>
      <c r="I285" s="10" t="inlineStr">
        <is>
          <t>ศรีสยาม</t>
        </is>
      </c>
      <c r="J285" s="161" t="n">
        <v>24704</v>
      </c>
    </row>
    <row r="286" ht="21" customHeight="1">
      <c r="B286" s="6" t="inlineStr">
        <is>
          <t>ดอกสว่านเจาะเหล็ก 5/16 นิ้ว FUSUN สีขาว</t>
        </is>
      </c>
      <c r="C286" s="8" t="n">
        <v>6</v>
      </c>
      <c r="D286" s="9" t="n">
        <v>70</v>
      </c>
      <c r="H286" s="9">
        <f>SUM(D286*C286)</f>
        <v/>
      </c>
      <c r="I286" s="10" t="inlineStr">
        <is>
          <t>ศรีสยาม</t>
        </is>
      </c>
      <c r="J286" s="161" t="n">
        <v>24763</v>
      </c>
    </row>
    <row r="287" ht="21" customHeight="1">
      <c r="B287" s="6" t="inlineStr">
        <is>
          <t>ดอกสว่านเจาะเหล็ก 5/16 นิ้ว FUSUN สีขาว</t>
        </is>
      </c>
      <c r="C287" s="8" t="n">
        <v>12</v>
      </c>
      <c r="D287" s="9" t="n">
        <v>63</v>
      </c>
      <c r="H287" s="9">
        <f>SUM(D287*C287)</f>
        <v/>
      </c>
      <c r="I287" s="10" t="inlineStr">
        <is>
          <t>ศรีสยาม</t>
        </is>
      </c>
      <c r="J287" s="161" t="n">
        <v>24882</v>
      </c>
      <c r="L287" s="18" t="inlineStr">
        <is>
          <t>ราคารวม VAT แล้ว</t>
        </is>
      </c>
    </row>
    <row r="288" ht="21" customHeight="1">
      <c r="B288" s="6" t="inlineStr">
        <is>
          <t>ดอกสว่านเจาะเหล็ก 5/16 นิ้ว FUSUN สีขาว</t>
        </is>
      </c>
      <c r="C288" s="8" t="n">
        <v>6</v>
      </c>
      <c r="D288" s="9" t="n">
        <v>63</v>
      </c>
      <c r="H288" s="9">
        <f>SUM(D288*C288)</f>
        <v/>
      </c>
      <c r="I288" s="10" t="inlineStr">
        <is>
          <t>ศรีสยาม</t>
        </is>
      </c>
      <c r="J288" s="161" t="n">
        <v>25058</v>
      </c>
    </row>
    <row r="289" ht="21" customHeight="1">
      <c r="B289" s="6" t="inlineStr">
        <is>
          <t>ดอกสว่านเจาะเหล็ก 5/16 นิ้ว FUSUN สีขาว</t>
        </is>
      </c>
      <c r="C289" s="8" t="n">
        <v>12</v>
      </c>
      <c r="D289" s="9" t="n">
        <v>65.42</v>
      </c>
      <c r="E289" s="9">
        <f>SUM(C289*D289)</f>
        <v/>
      </c>
      <c r="H289" s="9">
        <f>SUM(E289*107/100)</f>
        <v/>
      </c>
      <c r="I289" s="10" t="inlineStr">
        <is>
          <t>ศรีสยาม</t>
        </is>
      </c>
      <c r="J289" s="161" t="n">
        <v>25111</v>
      </c>
    </row>
    <row r="291" ht="21" customHeight="1">
      <c r="B291" s="6" t="inlineStr">
        <is>
          <t>ดอกสว่านเจาะเหล็ก 5/32 นิ้ว Keiba สีขาว</t>
        </is>
      </c>
      <c r="C291" s="8" t="inlineStr">
        <is>
          <t>12ตัว</t>
        </is>
      </c>
      <c r="D291" s="9" t="n">
        <v>20</v>
      </c>
      <c r="H291" s="9" t="n">
        <v>240</v>
      </c>
      <c r="I291" s="10" t="inlineStr">
        <is>
          <t>ศรีสยาม</t>
        </is>
      </c>
      <c r="J291" s="161" t="n">
        <v>23202</v>
      </c>
    </row>
    <row r="292" ht="21" customHeight="1">
      <c r="B292" s="6" t="inlineStr">
        <is>
          <t>ดอกสว่านเจาะเหล็ก 5/32 นิ้ว Keiba สีขาว</t>
        </is>
      </c>
      <c r="C292" s="8" t="inlineStr">
        <is>
          <t>12ตัว</t>
        </is>
      </c>
      <c r="D292" s="9" t="n">
        <v>23</v>
      </c>
      <c r="H292" s="9" t="n">
        <v>276</v>
      </c>
      <c r="I292" s="10" t="inlineStr">
        <is>
          <t>ศรีสยาม</t>
        </is>
      </c>
      <c r="J292" s="161" t="n">
        <v>23962</v>
      </c>
    </row>
    <row r="294" ht="21" customHeight="1">
      <c r="A294" s="11" t="inlineStr">
        <is>
          <t>ลวดเชื่อม</t>
        </is>
      </c>
      <c r="B294" s="6" t="inlineStr">
        <is>
          <t>ลวดเชื่อมทองแดง 2.0</t>
        </is>
      </c>
      <c r="C294" s="8" t="inlineStr">
        <is>
          <t>5กิโล</t>
        </is>
      </c>
      <c r="D294" s="9" t="n">
        <v>60</v>
      </c>
      <c r="H294" s="9" t="n">
        <v>300</v>
      </c>
      <c r="I294" s="10" t="inlineStr">
        <is>
          <t>ศรีสยาม</t>
        </is>
      </c>
      <c r="J294" s="161" t="n">
        <v>23066</v>
      </c>
    </row>
    <row r="295" ht="21" customHeight="1">
      <c r="B295" s="6" t="inlineStr">
        <is>
          <t>ลวดเชื่อมทองแดง 2.0</t>
        </is>
      </c>
      <c r="C295" s="8" t="inlineStr">
        <is>
          <t>1ห่อ</t>
        </is>
      </c>
      <c r="D295" s="9" t="n">
        <v>550</v>
      </c>
      <c r="H295" s="9" t="n">
        <v>550</v>
      </c>
      <c r="I295" s="10" t="inlineStr">
        <is>
          <t>ศรีสยาม</t>
        </is>
      </c>
      <c r="J295" s="161" t="n">
        <v>23230</v>
      </c>
    </row>
    <row r="296" ht="21" customHeight="1">
      <c r="B296" s="6" t="inlineStr">
        <is>
          <t>ลวดเชื่อมทองแดง 2.0</t>
        </is>
      </c>
      <c r="C296" s="8" t="inlineStr">
        <is>
          <t>1ห่อ</t>
        </is>
      </c>
      <c r="D296" s="9" t="n">
        <v>550</v>
      </c>
      <c r="H296" s="9" t="n">
        <v>550</v>
      </c>
      <c r="I296" s="10" t="inlineStr">
        <is>
          <t>ศรีสยาม</t>
        </is>
      </c>
      <c r="J296" s="161" t="n">
        <v>23529</v>
      </c>
    </row>
    <row r="297" ht="21" customHeight="1">
      <c r="B297" s="6" t="inlineStr">
        <is>
          <t>ลวดเชื่อมทองแดง 2.0</t>
        </is>
      </c>
      <c r="C297" s="8" t="inlineStr">
        <is>
          <t>1ห่อ</t>
        </is>
      </c>
      <c r="D297" s="9" t="n">
        <v>550</v>
      </c>
      <c r="H297" s="9" t="n">
        <v>550</v>
      </c>
      <c r="I297" s="10" t="inlineStr">
        <is>
          <t>ศรีสยาม</t>
        </is>
      </c>
      <c r="J297" s="161" t="n">
        <v>23871</v>
      </c>
    </row>
    <row r="298" ht="21" customHeight="1">
      <c r="B298" s="6" t="inlineStr">
        <is>
          <t>ลวดเชื่อมทองแดง 2.0</t>
        </is>
      </c>
      <c r="C298" s="8" t="inlineStr">
        <is>
          <t>1ห่อ</t>
        </is>
      </c>
      <c r="D298" s="9" t="n">
        <v>620</v>
      </c>
      <c r="H298" s="9" t="n">
        <v>620</v>
      </c>
      <c r="I298" s="10" t="inlineStr">
        <is>
          <t>ศรีสยาม</t>
        </is>
      </c>
      <c r="J298" s="161" t="n">
        <v>24189</v>
      </c>
    </row>
    <row r="300" ht="21" customHeight="1">
      <c r="B300" s="6" t="inlineStr">
        <is>
          <t>ลวดเชื่อมทองเหลือง 2.4 mm. Kovet น้ำยาในตัว</t>
        </is>
      </c>
      <c r="C300" s="8" t="inlineStr">
        <is>
          <t>2เส้น</t>
        </is>
      </c>
      <c r="D300" s="9" t="n">
        <v>35</v>
      </c>
      <c r="H300" s="9" t="n">
        <v>70</v>
      </c>
      <c r="I300" s="10" t="inlineStr">
        <is>
          <t>ศรีสยาม</t>
        </is>
      </c>
      <c r="J300" s="161" t="n">
        <v>23599</v>
      </c>
    </row>
    <row r="301" ht="21" customHeight="1">
      <c r="B301" s="6" t="inlineStr">
        <is>
          <t>ลวดเชื่อมทองเหลือง 2.4 mm. Kovet น้ำยาในตัว</t>
        </is>
      </c>
      <c r="C301" s="8" t="inlineStr">
        <is>
          <t>2เส้น</t>
        </is>
      </c>
      <c r="D301" s="9" t="n">
        <v>35</v>
      </c>
      <c r="H301" s="9" t="n">
        <v>70</v>
      </c>
      <c r="I301" s="10" t="inlineStr">
        <is>
          <t>ศรีสยาม</t>
        </is>
      </c>
      <c r="J301" s="161" t="n">
        <v>25230</v>
      </c>
      <c r="L301" s="18" t="inlineStr">
        <is>
          <t>ศรีสยาม</t>
        </is>
      </c>
    </row>
    <row r="303" ht="21" customHeight="1">
      <c r="B303" s="6" t="inlineStr">
        <is>
          <t>ลวดเชื่อม KOBE-30 2.6M</t>
        </is>
      </c>
      <c r="C303" s="8" t="inlineStr">
        <is>
          <t>1ลัง</t>
        </is>
      </c>
      <c r="D303" s="9" t="n">
        <v>1130</v>
      </c>
      <c r="H303" s="9" t="n">
        <v>1130</v>
      </c>
      <c r="I303" s="10" t="inlineStr">
        <is>
          <t>ศรีสยาม</t>
        </is>
      </c>
      <c r="J303" s="161" t="n">
        <v>23370</v>
      </c>
    </row>
    <row r="304" ht="21" customHeight="1">
      <c r="B304" s="6" t="inlineStr">
        <is>
          <t>ลวดเชื่อม KOBE-30 2.6M  (กล่องละ 112บาท*10อัน)</t>
        </is>
      </c>
      <c r="C304" s="8" t="inlineStr">
        <is>
          <t>1ลัง</t>
        </is>
      </c>
      <c r="D304" s="9" t="n">
        <v>1120</v>
      </c>
      <c r="H304" s="9" t="n">
        <v>1120</v>
      </c>
      <c r="I304" s="10" t="inlineStr">
        <is>
          <t>ไทวัสดุ</t>
        </is>
      </c>
      <c r="J304" s="161" t="n">
        <v>23419</v>
      </c>
    </row>
    <row r="305" ht="21" customHeight="1">
      <c r="B305" s="6" t="inlineStr">
        <is>
          <t>ลวดเชื่อม KOBE-30 2.6M  (กล่องละ 112บาท*10อัน)</t>
        </is>
      </c>
      <c r="C305" s="8" t="inlineStr">
        <is>
          <t>1ลัง</t>
        </is>
      </c>
      <c r="D305" s="9" t="n">
        <v>1120</v>
      </c>
      <c r="H305" s="9" t="n">
        <v>1120</v>
      </c>
      <c r="I305" s="10" t="inlineStr">
        <is>
          <t>ไทวัสดุ</t>
        </is>
      </c>
      <c r="J305" s="161" t="n">
        <v>23419</v>
      </c>
    </row>
    <row r="307" ht="21" customHeight="1">
      <c r="B307" s="6" t="inlineStr">
        <is>
          <t>ลวดเชื่อม KOBE-30 3.2M</t>
        </is>
      </c>
      <c r="C307" s="8" t="inlineStr">
        <is>
          <t>1ลัง</t>
        </is>
      </c>
      <c r="D307" s="9" t="n">
        <v>1080</v>
      </c>
      <c r="H307" s="9" t="n">
        <v>1080</v>
      </c>
      <c r="I307" s="10" t="inlineStr">
        <is>
          <t>ศรีสยาม</t>
        </is>
      </c>
      <c r="J307" s="161" t="n">
        <v>23370</v>
      </c>
    </row>
    <row r="309" ht="21" customHeight="1">
      <c r="B309" s="6" t="inlineStr">
        <is>
          <t>ลวดเชื่อม CO2 0.8mm  KOVET</t>
        </is>
      </c>
      <c r="C309" s="8" t="inlineStr">
        <is>
          <t>1ม้วน</t>
        </is>
      </c>
      <c r="D309" s="9" t="n">
        <v>850</v>
      </c>
      <c r="H309" s="9" t="n">
        <v>850</v>
      </c>
      <c r="I309" s="10" t="inlineStr">
        <is>
          <t>ศรีสยาม</t>
        </is>
      </c>
      <c r="J309" s="161" t="n">
        <v>23340</v>
      </c>
    </row>
    <row r="310" ht="21" customHeight="1">
      <c r="B310" s="6" t="inlineStr">
        <is>
          <t>ลวดเชื่อม CO2 0.8mm  KOVET</t>
        </is>
      </c>
      <c r="C310" s="8" t="inlineStr">
        <is>
          <t>1ม้วน</t>
        </is>
      </c>
      <c r="D310" s="9" t="n">
        <v>950</v>
      </c>
      <c r="H310" s="9" t="n">
        <v>950</v>
      </c>
      <c r="I310" s="10" t="inlineStr">
        <is>
          <t>ศรีสยาม</t>
        </is>
      </c>
      <c r="J310" s="161" t="n">
        <v>23647</v>
      </c>
    </row>
    <row r="311" ht="21" customHeight="1">
      <c r="B311" s="6" t="inlineStr">
        <is>
          <t>ลวดเชื่อม CO2 0.8mm  KOVET</t>
        </is>
      </c>
      <c r="C311" s="8" t="inlineStr">
        <is>
          <t>1ม้วน</t>
        </is>
      </c>
      <c r="D311" s="9" t="n">
        <v>950</v>
      </c>
      <c r="H311" s="9" t="n">
        <v>950</v>
      </c>
      <c r="I311" s="10" t="inlineStr">
        <is>
          <t>ศรีสยาม</t>
        </is>
      </c>
      <c r="J311" s="161" t="n">
        <v>23713</v>
      </c>
    </row>
    <row r="312" ht="21" customHeight="1">
      <c r="B312" s="6" t="inlineStr">
        <is>
          <t>ลวดเชื่อม CO2 0.8mm  KOVET</t>
        </is>
      </c>
      <c r="C312" s="8" t="inlineStr">
        <is>
          <t>1ม้วน</t>
        </is>
      </c>
      <c r="D312" s="9" t="n">
        <v>1030</v>
      </c>
      <c r="H312" s="9" t="n">
        <v>1030</v>
      </c>
      <c r="I312" s="10" t="inlineStr">
        <is>
          <t>ศรีสยาม</t>
        </is>
      </c>
      <c r="J312" s="161" t="n">
        <v>23983</v>
      </c>
    </row>
    <row r="313" ht="21" customHeight="1">
      <c r="B313" s="6" t="inlineStr">
        <is>
          <t>ลวดเชื่อม CO2 0.8mm  KOVET</t>
        </is>
      </c>
      <c r="C313" s="8" t="inlineStr">
        <is>
          <t>1ม้วน</t>
        </is>
      </c>
      <c r="D313" s="9" t="n">
        <v>1030</v>
      </c>
      <c r="H313" s="9" t="n">
        <v>1030</v>
      </c>
      <c r="I313" s="10" t="inlineStr">
        <is>
          <t>ศรีสยาม</t>
        </is>
      </c>
      <c r="J313" s="161" t="n">
        <v>24134</v>
      </c>
    </row>
    <row r="314" ht="21" customHeight="1">
      <c r="B314" s="6" t="inlineStr">
        <is>
          <t>ลวดเชื่อม CO2 0.8mm  KOVET</t>
        </is>
      </c>
      <c r="C314" s="8" t="inlineStr">
        <is>
          <t>2ม้วน</t>
        </is>
      </c>
      <c r="D314" s="9" t="n">
        <v>1030</v>
      </c>
      <c r="H314" s="9" t="n">
        <v>2060</v>
      </c>
      <c r="I314" s="10" t="inlineStr">
        <is>
          <t>ศรีสยาม</t>
        </is>
      </c>
      <c r="J314" s="161" t="n">
        <v>24174</v>
      </c>
    </row>
    <row r="315" ht="21" customHeight="1">
      <c r="B315" s="6" t="inlineStr">
        <is>
          <t>ลวดเชื่อม CO2 0.8mm  KOVET</t>
        </is>
      </c>
      <c r="C315" s="8" t="inlineStr">
        <is>
          <t>1ม้วน</t>
        </is>
      </c>
      <c r="D315" s="9" t="n">
        <v>1030</v>
      </c>
      <c r="H315" s="9" t="n">
        <v>1030</v>
      </c>
      <c r="I315" s="10" t="inlineStr">
        <is>
          <t>ศรีสยาม</t>
        </is>
      </c>
      <c r="J315" s="161" t="n">
        <v>24455</v>
      </c>
    </row>
    <row r="316" ht="21" customHeight="1">
      <c r="B316" s="6" t="inlineStr">
        <is>
          <t>ลวดเชื่อม CO2 0.8mm  KOVET</t>
        </is>
      </c>
      <c r="C316" s="8" t="inlineStr">
        <is>
          <t>1ม้วน</t>
        </is>
      </c>
      <c r="D316" s="9" t="n">
        <v>1030</v>
      </c>
      <c r="H316" s="9" t="n">
        <v>1030</v>
      </c>
      <c r="I316" s="10" t="inlineStr">
        <is>
          <t>ศรีสยาม</t>
        </is>
      </c>
      <c r="J316" s="161" t="n">
        <v>24518</v>
      </c>
    </row>
    <row r="317" ht="21" customHeight="1">
      <c r="B317" s="6" t="inlineStr">
        <is>
          <t>ลวดเชื่อม CO2 0.8mm  KOVET</t>
        </is>
      </c>
      <c r="C317" s="8" t="inlineStr">
        <is>
          <t>1ม้วน</t>
        </is>
      </c>
      <c r="D317" s="9" t="n">
        <v>1030</v>
      </c>
      <c r="H317" s="9" t="n">
        <v>1030</v>
      </c>
      <c r="I317" s="10" t="inlineStr">
        <is>
          <t>ศรีสยาม</t>
        </is>
      </c>
      <c r="J317" s="161" t="n">
        <v>24648</v>
      </c>
    </row>
    <row r="318" ht="21" customHeight="1">
      <c r="B318" s="6" t="inlineStr">
        <is>
          <t>ลวดเชื่อม CO2 0.8mm  KOVET</t>
        </is>
      </c>
      <c r="C318" s="8" t="inlineStr">
        <is>
          <t>1ม้วน</t>
        </is>
      </c>
      <c r="D318" s="9" t="n">
        <v>1030</v>
      </c>
      <c r="H318" s="9" t="n">
        <v>1030</v>
      </c>
      <c r="I318" s="10" t="inlineStr">
        <is>
          <t>ศรีสยาม</t>
        </is>
      </c>
      <c r="J318" s="161" t="n">
        <v>24885</v>
      </c>
      <c r="L318" s="18" t="inlineStr">
        <is>
          <t>ราคารวม VAT แล้ว</t>
        </is>
      </c>
    </row>
    <row r="319" ht="21" customHeight="1">
      <c r="B319" s="6" t="inlineStr">
        <is>
          <t>ลวดเชื่อม CO2 0.8mm  KOVET</t>
        </is>
      </c>
      <c r="C319" s="8" t="inlineStr">
        <is>
          <t>1ม้วน</t>
        </is>
      </c>
      <c r="D319" s="9" t="n">
        <v>1030</v>
      </c>
      <c r="H319" s="9" t="n">
        <v>1030</v>
      </c>
      <c r="I319" s="10" t="inlineStr">
        <is>
          <t>ศรีสยาม</t>
        </is>
      </c>
      <c r="J319" s="161" t="n">
        <v>24963</v>
      </c>
      <c r="L319" s="18" t="inlineStr">
        <is>
          <t>ราคารวม VAT แล้ว</t>
        </is>
      </c>
    </row>
    <row r="320" ht="21" customHeight="1">
      <c r="B320" s="6" t="inlineStr">
        <is>
          <t>ลวดเชื่อม CO2 0.8mm  KOVET</t>
        </is>
      </c>
      <c r="C320" s="8" t="n">
        <v>1</v>
      </c>
      <c r="D320" s="9" t="n">
        <v>690</v>
      </c>
      <c r="H320" s="9">
        <f>SUM(D320*C320)</f>
        <v/>
      </c>
      <c r="I320" s="10" t="inlineStr">
        <is>
          <t>Shopee</t>
        </is>
      </c>
      <c r="J320" s="161" t="n">
        <v>24996</v>
      </c>
      <c r="L320" s="18" t="inlineStr">
        <is>
          <t>ราคารวมค่าส่งแล้ว</t>
        </is>
      </c>
    </row>
    <row r="322" ht="21" customHeight="1">
      <c r="A322" s="11" t="inlineStr">
        <is>
          <t>ลวดเชื่อม</t>
        </is>
      </c>
      <c r="B322" s="6" t="inlineStr">
        <is>
          <t>ลวดขาว เบอร์16 (ใช้แขวนอะไหล่แผนกสี) -- ม้วนละ1กิโล</t>
        </is>
      </c>
      <c r="C322" s="8" t="inlineStr">
        <is>
          <t>2กิโล</t>
        </is>
      </c>
      <c r="D322" s="9" t="n">
        <v>46</v>
      </c>
      <c r="H322" s="9" t="n">
        <v>92</v>
      </c>
      <c r="I322" s="10" t="inlineStr">
        <is>
          <t>ศรีสยาม</t>
        </is>
      </c>
      <c r="J322" s="161" t="n">
        <v>24616</v>
      </c>
    </row>
    <row r="323" ht="21" customHeight="1">
      <c r="B323" s="6" t="inlineStr">
        <is>
          <t>ลวดขาว เบอร์16 (ใช้แขวนอะไหล่แผนกสี) -- ม้วนละ1กิโล</t>
        </is>
      </c>
      <c r="C323" s="8" t="inlineStr">
        <is>
          <t>2ม้วน</t>
        </is>
      </c>
      <c r="D323" s="9" t="n">
        <v>55</v>
      </c>
      <c r="H323" s="9" t="n">
        <v>110</v>
      </c>
      <c r="I323" s="10" t="inlineStr">
        <is>
          <t>ร้านวัสดุก่อสร้าง</t>
        </is>
      </c>
      <c r="J323" s="161" t="n">
        <v>24704</v>
      </c>
    </row>
    <row r="325" ht="21" customHeight="1">
      <c r="B325" s="6" t="inlineStr">
        <is>
          <t>ลวดเชื่อมเหล็กหล่อ G55 Yawata 2.6MM</t>
        </is>
      </c>
      <c r="C325" s="8" t="inlineStr">
        <is>
          <t>3เส้น</t>
        </is>
      </c>
      <c r="D325" s="9" t="n">
        <v>50</v>
      </c>
      <c r="H325" s="9" t="n">
        <v>150</v>
      </c>
      <c r="I325" s="10" t="inlineStr">
        <is>
          <t>ศรีสยาม</t>
        </is>
      </c>
      <c r="J325" s="161" t="n">
        <v>24069</v>
      </c>
    </row>
    <row r="327" ht="21" customHeight="1">
      <c r="B327" s="6" t="inlineStr">
        <is>
          <t>ลวดเชื่อมแสตนเลส (ขายเป็นกล่อง)</t>
        </is>
      </c>
      <c r="C327" s="8" t="inlineStr">
        <is>
          <t>2กล่อง</t>
        </is>
      </c>
      <c r="D327" s="9" t="n">
        <v>350</v>
      </c>
      <c r="H327" s="9" t="n">
        <v>700</v>
      </c>
      <c r="I327" s="10" t="inlineStr">
        <is>
          <t>ร้านวัสดุก่อสร้าง</t>
        </is>
      </c>
      <c r="J327" s="161" t="n">
        <v>24371</v>
      </c>
      <c r="L327" s="18" t="inlineStr">
        <is>
          <t>พี่ราญไปซื้อ</t>
        </is>
      </c>
    </row>
    <row r="329" ht="21" customHeight="1">
      <c r="A329" s="11" t="inlineStr">
        <is>
          <t>ปืนเชื่อมแก๊ส AC</t>
        </is>
      </c>
      <c r="B329" s="6" t="inlineStr">
        <is>
          <t>ปืนเชื่อมแก๊ส AC KOVET (WT02-SAC)</t>
        </is>
      </c>
      <c r="C329" s="8" t="n">
        <v>1</v>
      </c>
      <c r="D329" s="9" t="n">
        <v>579.4400000000001</v>
      </c>
      <c r="E329" s="9">
        <f>SUM(C329*D329)</f>
        <v/>
      </c>
      <c r="F329" s="8" t="inlineStr">
        <is>
          <t>รวม VAT=</t>
        </is>
      </c>
      <c r="G329" s="8" t="n">
        <v>1.07</v>
      </c>
      <c r="H329" s="9">
        <f>SUM(E329*G329)</f>
        <v/>
      </c>
      <c r="I329" s="10" t="inlineStr">
        <is>
          <t>ศรีสยาม</t>
        </is>
      </c>
      <c r="J329" s="161" t="n">
        <v>25212</v>
      </c>
    </row>
    <row r="330" ht="21" customHeight="1">
      <c r="B330" s="6" t="inlineStr">
        <is>
          <t>ปืนเชื่อมแก๊ส AC KOVET (WT02-SAC)</t>
        </is>
      </c>
      <c r="C330" s="8" t="n">
        <v>1</v>
      </c>
      <c r="D330" s="9" t="n">
        <v>579.4400000000001</v>
      </c>
      <c r="E330" s="9">
        <f>SUM(C330*D330)</f>
        <v/>
      </c>
      <c r="F330" s="8" t="inlineStr">
        <is>
          <t>รวม VAT=</t>
        </is>
      </c>
      <c r="G330" s="8" t="n">
        <v>1.07</v>
      </c>
      <c r="H330" s="9">
        <f>SUM(E330*G330)</f>
        <v/>
      </c>
      <c r="I330" s="10" t="inlineStr">
        <is>
          <t>ศรีสยาม</t>
        </is>
      </c>
      <c r="J330" s="161" t="n">
        <v>25210</v>
      </c>
    </row>
    <row r="332" ht="21" customHeight="1">
      <c r="A332" s="11" t="inlineStr">
        <is>
          <t>หัวเครื่องเชื่อม</t>
        </is>
      </c>
      <c r="B332" s="6" t="inlineStr">
        <is>
          <t>หัวเครื่องเชื่อม CO2 15AK Shield cup (หัวใหญ่) -- ทองแดง</t>
        </is>
      </c>
      <c r="C332" s="8" t="inlineStr">
        <is>
          <t>4อัน</t>
        </is>
      </c>
      <c r="D332" s="9" t="n">
        <v>220</v>
      </c>
      <c r="H332" s="9" t="n">
        <v>880</v>
      </c>
      <c r="I332" s="10" t="inlineStr">
        <is>
          <t>ทาเลนท์</t>
        </is>
      </c>
      <c r="J332" s="161" t="n">
        <v>23605</v>
      </c>
      <c r="L332" s="18" t="inlineStr">
        <is>
          <t>ราคายังไม่รวม VAT 7%</t>
        </is>
      </c>
    </row>
    <row r="333" ht="21" customHeight="1">
      <c r="B333" s="6" t="inlineStr">
        <is>
          <t>หัวเครื่องเชื่อม CO2 15AK Shield cup (หัวใหญ่) -- ทองแดง</t>
        </is>
      </c>
      <c r="C333" s="8" t="inlineStr">
        <is>
          <t>5อัน</t>
        </is>
      </c>
      <c r="D333" s="9" t="n">
        <v>220</v>
      </c>
      <c r="H333" s="9" t="n">
        <v>1100</v>
      </c>
      <c r="I333" s="10" t="inlineStr">
        <is>
          <t>ทาเลนท์</t>
        </is>
      </c>
      <c r="J333" s="161" t="n">
        <v>23930</v>
      </c>
      <c r="K333" s="161" t="inlineStr">
        <is>
          <t>IB3003750</t>
        </is>
      </c>
    </row>
    <row r="334" ht="21" customHeight="1">
      <c r="B334" s="6" t="inlineStr">
        <is>
          <t>หัวเครื่องเชื่อม CO2 15AK Shield cup (หัวใหญ่) -- ทองแดง</t>
        </is>
      </c>
      <c r="C334" s="8" t="n">
        <v>5</v>
      </c>
      <c r="D334" s="9" t="n">
        <v>220</v>
      </c>
      <c r="H334" s="9">
        <f>SUM(D334*C334)</f>
        <v/>
      </c>
      <c r="I334" s="10" t="inlineStr">
        <is>
          <t>ทาเลนท์</t>
        </is>
      </c>
      <c r="J334" s="161" t="n">
        <v>24549</v>
      </c>
      <c r="K334" s="161" t="inlineStr">
        <is>
          <t>IV2230655</t>
        </is>
      </c>
      <c r="L334" s="18" t="inlineStr">
        <is>
          <t>ราคายังไม่รวม VAT 7%</t>
        </is>
      </c>
    </row>
    <row r="335" ht="21" customHeight="1">
      <c r="B335" s="6" t="inlineStr">
        <is>
          <t>หัวเครื่องเชื่อม CO2 15AK Shield cup (หัวใหญ่) -- ทองแดง</t>
        </is>
      </c>
      <c r="C335" s="8" t="n">
        <v>5</v>
      </c>
      <c r="D335" s="9" t="n">
        <v>220</v>
      </c>
      <c r="H335" s="9">
        <f>SUM(D335*C335)</f>
        <v/>
      </c>
      <c r="I335" s="10" t="inlineStr">
        <is>
          <t>ทาเลนท์</t>
        </is>
      </c>
      <c r="J335" s="161" t="n">
        <v>24769</v>
      </c>
      <c r="K335" s="161" t="inlineStr">
        <is>
          <t>IV2242852</t>
        </is>
      </c>
      <c r="L335" s="18" t="inlineStr">
        <is>
          <t>ราคายังไม่รวม VAT 7%</t>
        </is>
      </c>
    </row>
    <row r="337" ht="21" customHeight="1">
      <c r="B337" s="6" t="inlineStr">
        <is>
          <t>หัวเครื่องเชื่อม CO2 Front adaptor</t>
        </is>
      </c>
      <c r="C337" s="8" t="inlineStr">
        <is>
          <t>5อัน</t>
        </is>
      </c>
      <c r="D337" s="9" t="n">
        <v>275</v>
      </c>
      <c r="H337" s="9" t="n">
        <v>1375</v>
      </c>
      <c r="I337" s="10" t="inlineStr">
        <is>
          <t>ทาเลนท์</t>
        </is>
      </c>
      <c r="J337" s="161" t="n">
        <v>23930</v>
      </c>
      <c r="K337" s="161" t="inlineStr">
        <is>
          <t>IB3003750</t>
        </is>
      </c>
    </row>
    <row r="338" ht="21" customHeight="1">
      <c r="B338" s="6" t="inlineStr">
        <is>
          <t>หัวเครื่องเชื่อม CO2 Front adaptor</t>
        </is>
      </c>
      <c r="C338" s="8" t="n">
        <v>5</v>
      </c>
      <c r="D338" s="9" t="n">
        <v>275</v>
      </c>
      <c r="H338" s="9">
        <f>SUM(D338*C338)</f>
        <v/>
      </c>
      <c r="I338" s="10" t="inlineStr">
        <is>
          <t>ทาเลนท์</t>
        </is>
      </c>
      <c r="J338" s="161" t="n">
        <v>24549</v>
      </c>
      <c r="K338" s="161" t="inlineStr">
        <is>
          <t>IV2230655</t>
        </is>
      </c>
      <c r="L338" s="18" t="inlineStr">
        <is>
          <t>ราคายังไม่รวม VAT 7%</t>
        </is>
      </c>
    </row>
    <row r="340" ht="21" customHeight="1">
      <c r="B340" s="6" t="inlineStr">
        <is>
          <t>หัวเครื่องเชื่อม CO2 หัว Tip 0.8</t>
        </is>
      </c>
      <c r="C340" s="8" t="inlineStr">
        <is>
          <t>5อัน</t>
        </is>
      </c>
      <c r="D340" s="9" t="n">
        <v>65</v>
      </c>
      <c r="H340" s="9" t="n">
        <v>325</v>
      </c>
      <c r="I340" s="10" t="inlineStr">
        <is>
          <t>ทาเลนท์</t>
        </is>
      </c>
      <c r="J340" s="161" t="n">
        <v>23930</v>
      </c>
      <c r="K340" s="161" t="inlineStr">
        <is>
          <t>IB3003750</t>
        </is>
      </c>
    </row>
    <row r="341" ht="21" customHeight="1">
      <c r="B341" s="6" t="inlineStr">
        <is>
          <t>หัวเครื่องเชื่อม CO2 หัว Tip 0.8</t>
        </is>
      </c>
      <c r="C341" s="8" t="n">
        <v>5</v>
      </c>
      <c r="D341" s="9" t="n">
        <v>65</v>
      </c>
      <c r="H341" s="9">
        <f>SUM(D341*C341)</f>
        <v/>
      </c>
      <c r="I341" s="10" t="inlineStr">
        <is>
          <t>ทาเลนท์</t>
        </is>
      </c>
      <c r="J341" s="161" t="n">
        <v>24397</v>
      </c>
      <c r="K341" s="161" t="inlineStr">
        <is>
          <t>IV2222057</t>
        </is>
      </c>
    </row>
    <row r="342" ht="21" customHeight="1">
      <c r="B342" s="6" t="inlineStr">
        <is>
          <t>หัวเครื่องเชื่อม CO2 หัว Tip 0.8</t>
        </is>
      </c>
      <c r="C342" s="8" t="n">
        <v>1</v>
      </c>
      <c r="D342" s="9" t="n">
        <v>65</v>
      </c>
      <c r="H342" s="9">
        <f>SUM(D342*C342)</f>
        <v/>
      </c>
      <c r="I342" s="10" t="inlineStr">
        <is>
          <t>ทาเลนท์</t>
        </is>
      </c>
      <c r="J342" s="161" t="n">
        <v>24549</v>
      </c>
      <c r="K342" s="161" t="inlineStr">
        <is>
          <t>IV2230655</t>
        </is>
      </c>
      <c r="L342" s="18" t="inlineStr">
        <is>
          <t>ราคายังไม่รวม VAT 7%</t>
        </is>
      </c>
    </row>
    <row r="343" ht="21" customHeight="1">
      <c r="B343" s="6" t="inlineStr">
        <is>
          <t>หัวเครื่องเชื่อม CO2 หัว Tip 0.8</t>
        </is>
      </c>
      <c r="C343" s="8" t="n">
        <v>4</v>
      </c>
      <c r="D343" s="9" t="n">
        <v>65</v>
      </c>
      <c r="H343" s="9">
        <f>SUM(D343*C343)</f>
        <v/>
      </c>
      <c r="I343" s="10" t="inlineStr">
        <is>
          <t>ทาเลนท์</t>
        </is>
      </c>
      <c r="J343" s="161" t="n">
        <v>24551</v>
      </c>
      <c r="K343" s="161" t="inlineStr">
        <is>
          <t>IV2230759</t>
        </is>
      </c>
      <c r="L343" s="18" t="inlineStr">
        <is>
          <t>ราคายังไม่รวม VAT 7%</t>
        </is>
      </c>
    </row>
    <row r="344" ht="21" customHeight="1">
      <c r="B344" s="6" t="inlineStr">
        <is>
          <t>หัวเครื่องเชื่อม CO2 หัว Tip 0.8</t>
        </is>
      </c>
      <c r="C344" s="8" t="n">
        <v>5</v>
      </c>
      <c r="D344" s="9" t="n">
        <v>65</v>
      </c>
      <c r="E344" s="9">
        <f>SUM(D344*C344)</f>
        <v/>
      </c>
      <c r="F344" s="8" t="n">
        <v>0.07000000000000001</v>
      </c>
      <c r="G344" s="8" t="inlineStr">
        <is>
          <t>รวมVAT =</t>
        </is>
      </c>
      <c r="H344" s="9">
        <f>SUM(E344+N344)</f>
        <v/>
      </c>
      <c r="I344" s="10" t="inlineStr">
        <is>
          <t>ทาเลนท์</t>
        </is>
      </c>
      <c r="J344" s="161" t="n">
        <v>24996</v>
      </c>
      <c r="K344" s="161" t="inlineStr">
        <is>
          <t>IV6809132</t>
        </is>
      </c>
      <c r="N344" s="6">
        <f>SUM(E344*F344)</f>
        <v/>
      </c>
    </row>
    <row r="346" ht="21" customHeight="1">
      <c r="B346" s="6" t="inlineStr">
        <is>
          <t>แท่งคาร์บอน ไล่บวม เครื่องเชื่อม CO2 Carbon rod</t>
        </is>
      </c>
      <c r="C346" s="8" t="n">
        <v>2</v>
      </c>
      <c r="D346" s="9" t="n">
        <v>36</v>
      </c>
      <c r="H346" s="9">
        <f>SUM(D346*C346)</f>
        <v/>
      </c>
      <c r="I346" s="10" t="inlineStr">
        <is>
          <t>ทาเลนท์</t>
        </is>
      </c>
      <c r="J346" s="161" t="n">
        <v>24069</v>
      </c>
      <c r="K346" s="161" t="inlineStr">
        <is>
          <t>IV2207094</t>
        </is>
      </c>
      <c r="L346" s="18" t="inlineStr">
        <is>
          <t>ราคายังไม่รวม VAT 7%</t>
        </is>
      </c>
    </row>
    <row r="347" ht="21" customHeight="1">
      <c r="B347" s="6" t="inlineStr">
        <is>
          <t>แท่งคาร์บอน ไล่บวม เครื่องเชื่อม CO2 Carbon rod</t>
        </is>
      </c>
      <c r="C347" s="8" t="n">
        <v>2</v>
      </c>
      <c r="D347" s="9" t="n">
        <v>39</v>
      </c>
      <c r="H347" s="9">
        <f>SUM(D347*C347)</f>
        <v/>
      </c>
      <c r="I347" s="10" t="inlineStr">
        <is>
          <t>ทาเลนท์</t>
        </is>
      </c>
      <c r="J347" s="161" t="n">
        <v>24872</v>
      </c>
      <c r="K347" s="161" t="inlineStr">
        <is>
          <t>IV6801996</t>
        </is>
      </c>
      <c r="L347" s="18" t="inlineStr">
        <is>
          <t>ราคายังไม่รวม VAT 7%</t>
        </is>
      </c>
    </row>
    <row r="349" ht="21" customHeight="1">
      <c r="B349" s="6" t="inlineStr">
        <is>
          <t>หัวกระตุกเครื่องเชื่อม CO2</t>
        </is>
      </c>
      <c r="C349" s="8" t="n">
        <v>3</v>
      </c>
      <c r="D349" s="9" t="n">
        <v>481.5</v>
      </c>
      <c r="H349" s="9">
        <f>SUM(D349*C349)</f>
        <v/>
      </c>
      <c r="I349" s="62" t="inlineStr">
        <is>
          <t>บจก. 8อินไฟนน์ คอร์ปอเรชั่น</t>
        </is>
      </c>
      <c r="J349" s="161" t="n">
        <v>24960</v>
      </c>
      <c r="L349" s="18" t="inlineStr">
        <is>
          <t>ราคารวม VAT แล้ว/คุณไพศาล</t>
        </is>
      </c>
    </row>
    <row r="350" ht="21" customHeight="1">
      <c r="I350" s="62" t="n"/>
    </row>
    <row r="351" ht="21" customHeight="1">
      <c r="B351" s="6" t="inlineStr">
        <is>
          <t>หัวเชื่อมแก๊ส NO.25 Magna AC</t>
        </is>
      </c>
      <c r="C351" s="8" t="n">
        <v>1</v>
      </c>
      <c r="D351" s="9" t="n">
        <v>46.73</v>
      </c>
      <c r="E351" s="9">
        <f>SUM(D351*C351)</f>
        <v/>
      </c>
      <c r="F351" s="8" t="n">
        <v>0.07000000000000001</v>
      </c>
      <c r="G351" s="8" t="inlineStr">
        <is>
          <t>รวมVAT =</t>
        </is>
      </c>
      <c r="H351" s="9">
        <f>SUM(E351+N351)</f>
        <v/>
      </c>
      <c r="I351" s="10" t="inlineStr">
        <is>
          <t>ศรีสยาม</t>
        </is>
      </c>
      <c r="J351" s="161" t="n">
        <v>25212</v>
      </c>
      <c r="N351" s="6">
        <f>SUM(E351*F351)</f>
        <v/>
      </c>
    </row>
    <row r="352" ht="21" customHeight="1">
      <c r="I352" s="62" t="n"/>
    </row>
    <row r="353" ht="21" customHeight="1">
      <c r="B353" s="6" t="inlineStr">
        <is>
          <t>หัวเชื่อมแก๊ส NO.75 Magna AC</t>
        </is>
      </c>
      <c r="C353" s="8" t="n">
        <v>1</v>
      </c>
      <c r="D353" s="9" t="n">
        <v>46.73</v>
      </c>
      <c r="E353" s="9">
        <f>SUM(D353*C353)</f>
        <v/>
      </c>
      <c r="F353" s="8" t="n">
        <v>0.07000000000000001</v>
      </c>
      <c r="G353" s="8" t="inlineStr">
        <is>
          <t>รวมVAT =</t>
        </is>
      </c>
      <c r="H353" s="9">
        <f>SUM(E353+N353)</f>
        <v/>
      </c>
      <c r="I353" s="10" t="inlineStr">
        <is>
          <t>ศรีสยาม</t>
        </is>
      </c>
      <c r="J353" s="161" t="n">
        <v>25212</v>
      </c>
      <c r="N353" s="6">
        <f>SUM(E353*F353)</f>
        <v/>
      </c>
    </row>
    <row r="354" ht="21" customHeight="1">
      <c r="I354" s="62" t="n"/>
    </row>
    <row r="355" ht="21" customHeight="1">
      <c r="B355" s="6" t="inlineStr">
        <is>
          <t>หัวเชื่อมแก๊ส NO.100 Magna AC</t>
        </is>
      </c>
      <c r="C355" s="8" t="n">
        <v>1</v>
      </c>
      <c r="D355" s="9" t="n">
        <v>46.73</v>
      </c>
      <c r="E355" s="9">
        <f>SUM(D355*C355)</f>
        <v/>
      </c>
      <c r="F355" s="8" t="n">
        <v>0.07000000000000001</v>
      </c>
      <c r="G355" s="8" t="inlineStr">
        <is>
          <t>รวมVAT =</t>
        </is>
      </c>
      <c r="H355" s="9">
        <f>SUM(E355+N355)</f>
        <v/>
      </c>
      <c r="I355" s="10" t="inlineStr">
        <is>
          <t>ศรีสยาม</t>
        </is>
      </c>
      <c r="J355" s="161" t="n">
        <v>25212</v>
      </c>
      <c r="N355" s="6">
        <f>SUM(E355*F355)</f>
        <v/>
      </c>
    </row>
    <row r="356" ht="21" customHeight="1">
      <c r="I356" s="62" t="n"/>
    </row>
    <row r="357" ht="21" customHeight="1">
      <c r="A357" s="11" t="inlineStr">
        <is>
          <t>สายไฟเครื่องเชื่อม CO2</t>
        </is>
      </c>
      <c r="B357" s="6" t="inlineStr">
        <is>
          <t>สายไฟเครื่องเชื่อม CO2 ขนาด 70QM/2000 สีส้ม (ราคาต่อเมตร)</t>
        </is>
      </c>
      <c r="C357" s="8" t="n">
        <v>13</v>
      </c>
      <c r="D357" s="9" t="n">
        <v>158.88</v>
      </c>
      <c r="E357" s="6">
        <f>SUM(D357*C357)</f>
        <v/>
      </c>
      <c r="F357" s="8" t="n">
        <v>1.07</v>
      </c>
      <c r="G357" s="9" t="inlineStr">
        <is>
          <t>รวมVAT=</t>
        </is>
      </c>
      <c r="H357" s="9">
        <f>SUM(F357*E357)</f>
        <v/>
      </c>
      <c r="I357" s="62" t="inlineStr">
        <is>
          <t>ศรีสยาม</t>
        </is>
      </c>
      <c r="J357" s="161" t="n">
        <v>25251</v>
      </c>
    </row>
    <row r="358" ht="21" customHeight="1">
      <c r="B358" s="6" t="inlineStr">
        <is>
          <t>สายไฟเครื่องเชื่อม CO2 ขนาด 70QM/2000 สีส้ม (ราคาต่อเมตร)</t>
        </is>
      </c>
      <c r="C358" s="8" t="n">
        <v>2</v>
      </c>
      <c r="D358" s="9" t="n">
        <v>158.88</v>
      </c>
      <c r="E358" s="6">
        <f>SUM(D358*C358)</f>
        <v/>
      </c>
      <c r="F358" s="8" t="n">
        <v>1.07</v>
      </c>
      <c r="G358" s="9" t="inlineStr">
        <is>
          <t>รวมVAT=</t>
        </is>
      </c>
      <c r="H358" s="9">
        <f>SUM(F358*E358)</f>
        <v/>
      </c>
      <c r="I358" s="62" t="inlineStr">
        <is>
          <t>ศรีสยาม</t>
        </is>
      </c>
      <c r="J358" s="161" t="n">
        <v>25251</v>
      </c>
    </row>
    <row r="359" ht="21" customHeight="1">
      <c r="I359" s="62" t="n"/>
    </row>
    <row r="360" ht="21" customHeight="1">
      <c r="B360" s="6" t="inlineStr">
        <is>
          <t>หางปลาทองแดง ประกอบสายไฟเครื่องเชื่อม 5/16</t>
        </is>
      </c>
      <c r="C360" s="8" t="n">
        <v>8</v>
      </c>
      <c r="D360" s="9" t="n">
        <v>13.08</v>
      </c>
      <c r="E360" s="6">
        <f>SUM(D360*C360)</f>
        <v/>
      </c>
      <c r="F360" s="8" t="n">
        <v>1.07</v>
      </c>
      <c r="G360" s="9" t="inlineStr">
        <is>
          <t>รวมVAT=</t>
        </is>
      </c>
      <c r="H360" s="9">
        <f>SUM(F360*E360)</f>
        <v/>
      </c>
      <c r="I360" s="62" t="inlineStr">
        <is>
          <t>ศรีสยาม</t>
        </is>
      </c>
      <c r="J360" s="161" t="n">
        <v>25251</v>
      </c>
    </row>
    <row r="361" ht="21" customHeight="1">
      <c r="B361" s="6" t="inlineStr">
        <is>
          <t>หางปลาทองแดง ประกอบสายไฟเครื่องเชื่อม 5/16</t>
        </is>
      </c>
      <c r="C361" s="8" t="n">
        <v>1</v>
      </c>
      <c r="D361" s="9" t="n">
        <v>13.08</v>
      </c>
      <c r="E361" s="6">
        <f>SUM(D361*C361)</f>
        <v/>
      </c>
      <c r="F361" s="8" t="n">
        <v>1.07</v>
      </c>
      <c r="G361" s="9" t="inlineStr">
        <is>
          <t>รวมVAT=</t>
        </is>
      </c>
      <c r="H361" s="9">
        <f>SUM(F361*E361)</f>
        <v/>
      </c>
      <c r="I361" s="62" t="inlineStr">
        <is>
          <t>ศรีสยาม</t>
        </is>
      </c>
      <c r="J361" s="161" t="n">
        <v>25251</v>
      </c>
    </row>
    <row r="362" ht="21" customHeight="1">
      <c r="I362" s="62" t="n"/>
    </row>
    <row r="363" ht="21" customHeight="1">
      <c r="A363" s="11" t="inlineStr">
        <is>
          <t>น้ำยาเชื่อมCO2</t>
        </is>
      </c>
      <c r="B363" s="6" t="inlineStr">
        <is>
          <t>น้ำยาเชื่อมCO2</t>
        </is>
      </c>
      <c r="C363" s="8" t="n">
        <v>1</v>
      </c>
      <c r="D363" s="9" t="n">
        <v>165</v>
      </c>
      <c r="H363" s="9" t="n">
        <v>165</v>
      </c>
      <c r="I363" s="62" t="inlineStr">
        <is>
          <t>Shoppee</t>
        </is>
      </c>
      <c r="J363" s="161" t="n">
        <v>24996</v>
      </c>
      <c r="L363" s="18" t="inlineStr">
        <is>
          <t>พี่เอกสั่งซื้อ</t>
        </is>
      </c>
    </row>
    <row r="365" ht="21" customHeight="1">
      <c r="A365" s="11" t="inlineStr">
        <is>
          <t>ถุงมือยาง</t>
        </is>
      </c>
      <c r="B365" s="6" t="inlineStr">
        <is>
          <t>ถุงมือยาง หนา 14 ยาว 12 นิ้ว</t>
        </is>
      </c>
      <c r="C365" s="8" t="inlineStr">
        <is>
          <t>12คู่</t>
        </is>
      </c>
      <c r="D365" s="9" t="n">
        <v>22.92</v>
      </c>
      <c r="H365" s="9" t="n">
        <v>275</v>
      </c>
      <c r="I365" s="10" t="inlineStr">
        <is>
          <t>ไทวัสดุ</t>
        </is>
      </c>
      <c r="J365" s="161" t="n">
        <v>22915</v>
      </c>
    </row>
    <row r="366" ht="21" customHeight="1">
      <c r="A366" s="6" t="n"/>
      <c r="B366" s="6" t="inlineStr">
        <is>
          <t>ถุงมือยาง หนา 14 ยาว 12 นิ้ว</t>
        </is>
      </c>
      <c r="C366" s="8" t="inlineStr">
        <is>
          <t>24คู่</t>
        </is>
      </c>
      <c r="D366" s="9" t="n">
        <v>22.92</v>
      </c>
      <c r="H366" s="9" t="n">
        <v>550</v>
      </c>
      <c r="I366" s="10" t="inlineStr">
        <is>
          <t>ไทวัสดุ</t>
        </is>
      </c>
      <c r="J366" s="161" t="n">
        <v>23080</v>
      </c>
    </row>
    <row r="367" ht="21" customHeight="1">
      <c r="A367" s="6" t="n"/>
      <c r="B367" s="6" t="inlineStr">
        <is>
          <t>ถุงมือยาง หนา 14 ยาว 12 นิ้ว</t>
        </is>
      </c>
      <c r="C367" s="8" t="inlineStr">
        <is>
          <t>12คู่</t>
        </is>
      </c>
      <c r="D367" s="9" t="n">
        <v>22.92</v>
      </c>
      <c r="H367" s="9" t="n">
        <v>275</v>
      </c>
      <c r="I367" s="10" t="inlineStr">
        <is>
          <t>ไทวัสดุ</t>
        </is>
      </c>
      <c r="J367" s="161" t="n">
        <v>23129</v>
      </c>
    </row>
    <row r="368" ht="21" customHeight="1">
      <c r="A368" s="6" t="n"/>
      <c r="B368" s="6" t="inlineStr">
        <is>
          <t>ถุงมือยาง หนา 14 ยาว 12 นิ้ว</t>
        </is>
      </c>
      <c r="C368" s="8" t="inlineStr">
        <is>
          <t>6คู่</t>
        </is>
      </c>
      <c r="D368" s="9" t="n">
        <v>27</v>
      </c>
      <c r="H368" s="9" t="n">
        <v>162</v>
      </c>
      <c r="I368" s="10" t="inlineStr">
        <is>
          <t>ไทวัสดุ</t>
        </is>
      </c>
      <c r="J368" s="161" t="n">
        <v>23419</v>
      </c>
    </row>
    <row r="369" ht="21" customHeight="1">
      <c r="A369" s="6" t="n"/>
      <c r="B369" s="6" t="inlineStr">
        <is>
          <t>ถุงมือยาง หนา 14 ยาว 12 นิ้ว</t>
        </is>
      </c>
      <c r="C369" s="8" t="inlineStr">
        <is>
          <t>24คู่</t>
        </is>
      </c>
      <c r="D369" s="9" t="n">
        <v>27</v>
      </c>
      <c r="H369" s="9" t="n">
        <v>648</v>
      </c>
      <c r="I369" s="10" t="inlineStr">
        <is>
          <t>ไทวัสดุ</t>
        </is>
      </c>
      <c r="J369" s="161" t="n">
        <v>23459</v>
      </c>
    </row>
    <row r="370" ht="21" customHeight="1">
      <c r="A370" s="6" t="n"/>
      <c r="B370" s="6" t="inlineStr">
        <is>
          <t>ถุงมือยาง หนา 14 ยาว 12 นิ้ว</t>
        </is>
      </c>
      <c r="C370" s="8" t="inlineStr">
        <is>
          <t>12คู่</t>
        </is>
      </c>
      <c r="D370" s="9" t="n">
        <v>22.75</v>
      </c>
      <c r="H370" s="9" t="n">
        <v>273</v>
      </c>
      <c r="I370" s="10" t="inlineStr">
        <is>
          <t>ไทวัสดุ</t>
        </is>
      </c>
      <c r="J370" s="161" t="n">
        <v>24059</v>
      </c>
    </row>
    <row r="371" ht="21" customHeight="1">
      <c r="A371" s="6" t="n"/>
      <c r="B371" s="6" t="inlineStr">
        <is>
          <t>ถุงมือยางลาเท็กซ์ ไซด์ M สีส้ม</t>
        </is>
      </c>
      <c r="C371" s="8" t="n">
        <v>12</v>
      </c>
      <c r="D371" s="9" t="n">
        <v>23</v>
      </c>
      <c r="H371" s="9">
        <f>SUM(D371*C371)</f>
        <v/>
      </c>
      <c r="I371" s="10" t="inlineStr">
        <is>
          <t>ไทวัสดุ</t>
        </is>
      </c>
      <c r="J371" s="161" t="n">
        <v>24927</v>
      </c>
    </row>
    <row r="372" ht="21" customHeight="1">
      <c r="A372" s="6" t="n"/>
      <c r="B372" s="6" t="inlineStr">
        <is>
          <t>ถุงมือยางลาเท็กซ์ ไซด์ L สีส้ม</t>
        </is>
      </c>
      <c r="C372" s="8" t="n">
        <v>12</v>
      </c>
      <c r="D372" s="9" t="n">
        <v>23</v>
      </c>
      <c r="H372" s="9">
        <f>SUM(D372*C372)</f>
        <v/>
      </c>
      <c r="I372" s="10" t="inlineStr">
        <is>
          <t>ไทวัสดุ</t>
        </is>
      </c>
      <c r="J372" s="161" t="n">
        <v>24927</v>
      </c>
    </row>
    <row r="373" ht="21" customHeight="1">
      <c r="A373" s="6" t="n"/>
      <c r="B373" s="6" t="inlineStr">
        <is>
          <t>ถุงมือยาง ไซด์ M สีส้ม</t>
        </is>
      </c>
      <c r="C373" s="8" t="n">
        <v>24</v>
      </c>
      <c r="D373" s="9" t="n">
        <v>11.46</v>
      </c>
      <c r="H373" s="9">
        <f>SUM(D373*C373)</f>
        <v/>
      </c>
      <c r="I373" s="10" t="inlineStr">
        <is>
          <t>Shopee</t>
        </is>
      </c>
      <c r="J373" s="161" t="n">
        <v>25244</v>
      </c>
    </row>
    <row r="375" ht="21" customHeight="1">
      <c r="A375" s="11" t="inlineStr">
        <is>
          <t>ถุงมือผ้า</t>
        </is>
      </c>
      <c r="B375" s="6" t="inlineStr">
        <is>
          <t>ถุงมือผ้า แบบ 400 กรัม</t>
        </is>
      </c>
      <c r="C375" s="8" t="inlineStr">
        <is>
          <t>10โหล</t>
        </is>
      </c>
      <c r="D375" s="9" t="n">
        <v>36</v>
      </c>
      <c r="H375" s="9" t="n">
        <v>360</v>
      </c>
      <c r="I375" s="10" t="inlineStr">
        <is>
          <t>โรงงานจำเนียร</t>
        </is>
      </c>
      <c r="J375" s="161" t="n">
        <v>23415</v>
      </c>
    </row>
    <row r="376" ht="21" customHeight="1">
      <c r="B376" s="6" t="inlineStr">
        <is>
          <t>ถุงมือผ้า แบบ 400 กรัม (แบบมีตำหนิ)</t>
        </is>
      </c>
      <c r="C376" s="8" t="inlineStr">
        <is>
          <t>10โหล</t>
        </is>
      </c>
      <c r="D376" s="9" t="n">
        <v>20</v>
      </c>
      <c r="H376" s="9" t="n">
        <v>200</v>
      </c>
      <c r="I376" s="10" t="inlineStr">
        <is>
          <t>โรงงานจำเนียร</t>
        </is>
      </c>
      <c r="J376" s="161" t="n">
        <v>23501</v>
      </c>
    </row>
    <row r="377" ht="21" customHeight="1">
      <c r="B377" s="6" t="inlineStr">
        <is>
          <t xml:space="preserve">ถุงมือผ้า แบบ 400 กรัม </t>
        </is>
      </c>
      <c r="C377" s="8" t="inlineStr">
        <is>
          <t>10โหล</t>
        </is>
      </c>
      <c r="D377" s="9" t="n">
        <v>40</v>
      </c>
      <c r="H377" s="9" t="n">
        <v>400</v>
      </c>
      <c r="I377" s="10" t="inlineStr">
        <is>
          <t>โรงงานจำเนียร</t>
        </is>
      </c>
      <c r="J377" s="161" t="n">
        <v>23971</v>
      </c>
    </row>
    <row r="378" ht="21" customHeight="1">
      <c r="B378" s="6" t="inlineStr">
        <is>
          <t>ถุงมือผ้า แบบ 400 กรัม (แบบมีตำหนิ)</t>
        </is>
      </c>
      <c r="C378" s="8" t="inlineStr">
        <is>
          <t>10โหล</t>
        </is>
      </c>
      <c r="D378" s="9" t="n">
        <v>20</v>
      </c>
      <c r="H378" s="9" t="n">
        <v>200</v>
      </c>
      <c r="I378" s="10" t="inlineStr">
        <is>
          <t>โรงงานจำเนียร</t>
        </is>
      </c>
      <c r="J378" s="161" t="n">
        <v>24672</v>
      </c>
    </row>
    <row r="380" ht="21" customHeight="1">
      <c r="A380" s="11" t="inlineStr">
        <is>
          <t>ผ้าปิดจมูก</t>
        </is>
      </c>
      <c r="B380" s="6" t="inlineStr">
        <is>
          <t>ผ้าปิดจมูก สีขาว</t>
        </is>
      </c>
      <c r="C380" s="8" t="inlineStr">
        <is>
          <t>10โหล</t>
        </is>
      </c>
      <c r="D380" s="9" t="n">
        <v>35</v>
      </c>
      <c r="H380" s="9" t="n">
        <v>350</v>
      </c>
      <c r="I380" s="10" t="inlineStr">
        <is>
          <t>โรงงานจำเนียร</t>
        </is>
      </c>
      <c r="J380" s="161" t="n">
        <v>23415</v>
      </c>
    </row>
    <row r="382" ht="21" customHeight="1">
      <c r="A382" s="11" t="inlineStr">
        <is>
          <t>ใบเลื่อย</t>
        </is>
      </c>
      <c r="B382" s="6" t="inlineStr">
        <is>
          <t>ใบเลื่อย แบบ 24 ฟัน  Handi</t>
        </is>
      </c>
      <c r="C382" s="8" t="inlineStr">
        <is>
          <t>72อัน</t>
        </is>
      </c>
      <c r="D382" s="9" t="n">
        <v>5.75</v>
      </c>
      <c r="H382" s="9" t="n">
        <v>414</v>
      </c>
      <c r="I382" s="10" t="inlineStr">
        <is>
          <t>ไทวัสดุ</t>
        </is>
      </c>
      <c r="J382" s="161" t="n">
        <v>23080</v>
      </c>
      <c r="L382" s="18" t="inlineStr">
        <is>
          <t>ราคายังไม่หักส่วนลด/ยังไม่รวม VAT</t>
        </is>
      </c>
    </row>
    <row r="383" ht="21" customHeight="1">
      <c r="B383" s="6" t="inlineStr">
        <is>
          <t>ใบเลื่อย แบบ 24 ฟัน  Handi</t>
        </is>
      </c>
      <c r="C383" s="8" t="inlineStr">
        <is>
          <t>60อัน</t>
        </is>
      </c>
      <c r="D383" s="9" t="n">
        <v>5.75</v>
      </c>
      <c r="H383" s="9" t="n">
        <v>345</v>
      </c>
      <c r="I383" s="10" t="inlineStr">
        <is>
          <t>ไทวัสดุ</t>
        </is>
      </c>
      <c r="J383" s="161" t="n">
        <v>23094</v>
      </c>
      <c r="L383" s="18" t="inlineStr">
        <is>
          <t>ราคายังไม่หักส่วนลด/ยังไม่รวม VAT</t>
        </is>
      </c>
    </row>
    <row r="384" ht="21" customHeight="1">
      <c r="B384" s="6" t="inlineStr">
        <is>
          <t>ใบเลื่อยตัดเหล็ก แบบ 18 ฟัน  Lobster 12นิ้ว (แพ็คละ3อัน) @11 บาท</t>
        </is>
      </c>
      <c r="C384" s="8" t="inlineStr">
        <is>
          <t>4แพ็ค</t>
        </is>
      </c>
      <c r="D384" s="9" t="n">
        <v>33</v>
      </c>
      <c r="H384" s="9" t="n">
        <v>132</v>
      </c>
      <c r="I384" s="10" t="inlineStr">
        <is>
          <t>ไทวัสดุ</t>
        </is>
      </c>
      <c r="J384" s="161" t="n">
        <v>24168</v>
      </c>
      <c r="L384" s="18" t="inlineStr">
        <is>
          <t>ราคายังไม่หักส่วนลด/ยังไม่รวม VAT</t>
        </is>
      </c>
    </row>
    <row r="385" ht="21" customHeight="1">
      <c r="B385" s="6" t="inlineStr">
        <is>
          <t>ใบเลื่อย แบบ 24 ฟัน ตัดเหล็กคาร์บอน Workpro (แพ็คละ10อัน) 2แพ็ค</t>
        </is>
      </c>
      <c r="C385" s="8" t="n">
        <v>20</v>
      </c>
      <c r="D385" s="9">
        <f>SUM(H385/C385)</f>
        <v/>
      </c>
      <c r="H385" s="9" t="n">
        <v>186</v>
      </c>
      <c r="I385" s="10" t="inlineStr">
        <is>
          <t>ไทวัสดุ</t>
        </is>
      </c>
      <c r="J385" s="161" t="n">
        <v>24571</v>
      </c>
      <c r="L385" s="18" t="inlineStr">
        <is>
          <t>ราคายังไม่หักส่วนลด/ยังไม่รวม VAT</t>
        </is>
      </c>
    </row>
    <row r="387" ht="21" customHeight="1">
      <c r="B387" s="6" t="inlineStr">
        <is>
          <t>ใบเลื่อยตัดเหล็ก 4" (4*1.2)</t>
        </is>
      </c>
      <c r="C387" s="8" t="inlineStr">
        <is>
          <t>4อัน</t>
        </is>
      </c>
      <c r="D387" s="9" t="n">
        <v>20</v>
      </c>
      <c r="H387" s="9" t="n">
        <v>80</v>
      </c>
      <c r="I387" s="10" t="inlineStr">
        <is>
          <t>ไทวัสดุ</t>
        </is>
      </c>
      <c r="J387" s="161" t="n">
        <v>22898</v>
      </c>
    </row>
    <row r="389" ht="21" customHeight="1">
      <c r="B389" s="6" t="inlineStr">
        <is>
          <t>ใบเลื่อยตัดเหล็ก 18 ฟัน</t>
        </is>
      </c>
      <c r="C389" s="8" t="inlineStr">
        <is>
          <t>3อัน</t>
        </is>
      </c>
      <c r="D389" s="9" t="n">
        <v>32</v>
      </c>
      <c r="H389" s="9" t="n">
        <v>96</v>
      </c>
      <c r="I389" s="10" t="inlineStr">
        <is>
          <t>ไทวัสดุ</t>
        </is>
      </c>
      <c r="J389" s="161" t="n">
        <v>22898</v>
      </c>
    </row>
    <row r="391" ht="21" customHeight="1">
      <c r="B391" s="6" t="inlineStr">
        <is>
          <t>ใบเลื่อยไฟฟ้า Bosch  S1122BF/2ชิ้น -- ต่อ 1 ซอง</t>
        </is>
      </c>
      <c r="C391" s="8" t="inlineStr">
        <is>
          <t>3ซอง</t>
        </is>
      </c>
      <c r="D391" s="9" t="n">
        <v>420</v>
      </c>
      <c r="H391" s="9" t="n">
        <v>1260</v>
      </c>
      <c r="I391" s="10" t="inlineStr">
        <is>
          <t>ไทวัสดุ</t>
        </is>
      </c>
      <c r="J391" s="161" t="n">
        <v>23159</v>
      </c>
    </row>
    <row r="392" ht="21" customHeight="1">
      <c r="B392" s="6" t="inlineStr">
        <is>
          <t>ใบเลื่อยไฟฟ้า Bosch  S1122BF/2ชิ้น -- ต่อ 1 ซอง</t>
        </is>
      </c>
      <c r="C392" s="8" t="inlineStr">
        <is>
          <t>1ซอง</t>
        </is>
      </c>
      <c r="D392" s="9" t="n">
        <v>420</v>
      </c>
      <c r="H392" s="9" t="n">
        <v>420</v>
      </c>
      <c r="I392" s="10" t="inlineStr">
        <is>
          <t>ไทวัสดุ</t>
        </is>
      </c>
      <c r="J392" s="161" t="n">
        <v>23159</v>
      </c>
    </row>
    <row r="393" ht="21" customHeight="1">
      <c r="B393" s="6" t="inlineStr">
        <is>
          <t>ใบเลื่อยไฟฟ้า Bosch  S1122BF/2ชิ้น -- ต่อ 1 ซอง</t>
        </is>
      </c>
      <c r="C393" s="8" t="inlineStr">
        <is>
          <t>2ซอง</t>
        </is>
      </c>
      <c r="D393" s="9" t="n">
        <v>350</v>
      </c>
      <c r="H393" s="9" t="n">
        <v>700</v>
      </c>
      <c r="I393" s="10" t="inlineStr">
        <is>
          <t>ไทวัสดุ</t>
        </is>
      </c>
      <c r="J393" s="161" t="n">
        <v>23419</v>
      </c>
    </row>
    <row r="394" ht="21" customHeight="1">
      <c r="B394" s="6" t="inlineStr">
        <is>
          <t>ใบเลื่อยไฟฟ้า Bosch  S1122BF/2ชิ้น -- ต่อ 1 ซอง</t>
        </is>
      </c>
      <c r="C394" s="8" t="inlineStr">
        <is>
          <t>1ซอง</t>
        </is>
      </c>
      <c r="D394" s="9" t="n">
        <v>350</v>
      </c>
      <c r="H394" s="9" t="n">
        <v>350</v>
      </c>
      <c r="I394" s="10" t="inlineStr">
        <is>
          <t>ไทวัสดุ</t>
        </is>
      </c>
      <c r="J394" s="161" t="n">
        <v>23539</v>
      </c>
    </row>
    <row r="395" ht="21" customHeight="1">
      <c r="B395" s="6" t="inlineStr">
        <is>
          <t>ใบเลื่อยไฟฟ้า Bosch  S1122BF/2ชิ้น -- ต่อ 1 ซอง</t>
        </is>
      </c>
      <c r="C395" s="8" t="inlineStr">
        <is>
          <t>2ซอง</t>
        </is>
      </c>
      <c r="D395" s="9" t="n">
        <v>350</v>
      </c>
      <c r="H395" s="9" t="n">
        <v>700</v>
      </c>
      <c r="I395" s="10" t="inlineStr">
        <is>
          <t>ไทวัสดุ</t>
        </is>
      </c>
      <c r="J395" s="161" t="n">
        <v>23875</v>
      </c>
    </row>
    <row r="396" ht="21" customHeight="1">
      <c r="B396" s="6" t="inlineStr">
        <is>
          <t>ใบเลื่อยไฟฟ้า Bosch  S1122BF/2ชิ้น -- ต่อ 1 ซอง</t>
        </is>
      </c>
      <c r="C396" s="8" t="inlineStr">
        <is>
          <t>1ซอง</t>
        </is>
      </c>
      <c r="D396" s="9" t="n">
        <v>380</v>
      </c>
      <c r="H396" s="9" t="n">
        <v>380</v>
      </c>
      <c r="I396" s="10" t="inlineStr">
        <is>
          <t>ไทวัสดุ</t>
        </is>
      </c>
      <c r="J396" s="161" t="n">
        <v>23991</v>
      </c>
    </row>
    <row r="397" ht="21" customHeight="1">
      <c r="B397" s="6" t="inlineStr">
        <is>
          <t>ใบเลื่อยไฟฟ้า Bosch  S1122BF/2ชิ้น -- ต่อ 1 ซอง</t>
        </is>
      </c>
      <c r="C397" s="8" t="inlineStr">
        <is>
          <t>3ซอง</t>
        </is>
      </c>
      <c r="D397" s="9" t="n">
        <v>410</v>
      </c>
      <c r="H397" s="9" t="n">
        <v>1230</v>
      </c>
      <c r="I397" s="10" t="inlineStr">
        <is>
          <t>ไทวัสดุ</t>
        </is>
      </c>
      <c r="J397" s="161" t="n">
        <v>24508</v>
      </c>
    </row>
    <row r="398" ht="21" customHeight="1">
      <c r="B398" s="6" t="inlineStr">
        <is>
          <t>ใบเลื่อยไฟฟ้า Bosch  S1122BF/2ชิ้น -- ต่อ 1 ซอง</t>
        </is>
      </c>
      <c r="C398" s="8" t="inlineStr">
        <is>
          <t>3ซอง</t>
        </is>
      </c>
      <c r="D398" s="9" t="n">
        <v>410</v>
      </c>
      <c r="H398" s="9" t="n">
        <v>1230</v>
      </c>
      <c r="I398" s="10" t="inlineStr">
        <is>
          <t>ไทวัสดุ</t>
        </is>
      </c>
      <c r="J398" s="161" t="n">
        <v>24545</v>
      </c>
    </row>
    <row r="399" ht="21" customHeight="1">
      <c r="B399" s="6" t="inlineStr">
        <is>
          <t>ใบเลื่อยไฟฟ้า Bosch  S1122BF/2ชิ้น -- ต่อ 1 ซอง</t>
        </is>
      </c>
      <c r="C399" s="8" t="inlineStr">
        <is>
          <t>3ซอง</t>
        </is>
      </c>
      <c r="D399" s="9" t="n">
        <v>410</v>
      </c>
      <c r="H399" s="9" t="n">
        <v>1230</v>
      </c>
      <c r="I399" s="10" t="inlineStr">
        <is>
          <t>ไทวัสดุ</t>
        </is>
      </c>
      <c r="J399" s="161" t="n">
        <v>24571</v>
      </c>
    </row>
    <row r="400" ht="21" customHeight="1">
      <c r="B400" s="6" t="inlineStr">
        <is>
          <t>ใบเลื่อยไฟฟ้า Bosch S1122BF9นิ้ว (แพ็คละ5อัน)+ค่าขนส่ง 29 บาท</t>
        </is>
      </c>
      <c r="C400" s="8" t="n">
        <v>5</v>
      </c>
      <c r="D400" s="9" t="n">
        <v>125.8</v>
      </c>
      <c r="H400" s="9">
        <f>SUM(D400*C400)</f>
        <v/>
      </c>
      <c r="I400" s="10" t="inlineStr">
        <is>
          <t>Shopee</t>
        </is>
      </c>
      <c r="J400" s="161" t="n">
        <v>24703</v>
      </c>
    </row>
    <row r="401" ht="21" customHeight="1">
      <c r="B401" s="6" t="inlineStr">
        <is>
          <t>ใบเลื่อยไฟฟ้า Bosch S1122BF9นิ้ว (แพ็คละ5อัน)+ค่าขนส่ง 29 บาท</t>
        </is>
      </c>
      <c r="C401" s="8" t="n">
        <v>5</v>
      </c>
      <c r="D401" s="9" t="n">
        <v>125.8</v>
      </c>
      <c r="H401" s="9">
        <f>SUM(D401*C401)</f>
        <v/>
      </c>
      <c r="I401" s="10" t="inlineStr">
        <is>
          <t>Shopee</t>
        </is>
      </c>
      <c r="J401" s="161" t="n">
        <v>24742</v>
      </c>
    </row>
    <row r="402" ht="21" customHeight="1">
      <c r="B402" s="6" t="inlineStr">
        <is>
          <t xml:space="preserve">ใบเลื่อยไฟฟ้า BOSCH S1122BF9นิ้ว </t>
        </is>
      </c>
      <c r="C402" s="8" t="n">
        <v>5</v>
      </c>
      <c r="D402" s="9" t="n">
        <v>120</v>
      </c>
      <c r="H402" s="9">
        <f>SUM(D402*C402)</f>
        <v/>
      </c>
      <c r="I402" s="10" t="inlineStr">
        <is>
          <t>Sopee</t>
        </is>
      </c>
      <c r="J402" s="161" t="n">
        <v>25267</v>
      </c>
      <c r="L402" s="18" t="inlineStr">
        <is>
          <t>แพ็คละ 5อัน</t>
        </is>
      </c>
    </row>
    <row r="404" ht="21" customHeight="1">
      <c r="A404" s="11" t="inlineStr">
        <is>
          <t>แผ่นเจียสแตนเลสบาง</t>
        </is>
      </c>
      <c r="B404" s="6" t="inlineStr">
        <is>
          <t>แผ่นเจียเหล็ก Pumpkin No.80 ขนาด 4 นิ้ว</t>
        </is>
      </c>
      <c r="C404" s="8" t="inlineStr">
        <is>
          <t>30แผ่น</t>
        </is>
      </c>
      <c r="D404" s="9" t="n">
        <v>15</v>
      </c>
      <c r="H404" s="9" t="n">
        <v>450</v>
      </c>
      <c r="I404" s="10" t="inlineStr">
        <is>
          <t>ไทวัสดุ</t>
        </is>
      </c>
      <c r="J404" s="161" t="n">
        <v>22898</v>
      </c>
      <c r="L404" s="18" t="inlineStr">
        <is>
          <t>ราคายังไม่หักส่วนลด/ยังไม่รวม VAT</t>
        </is>
      </c>
    </row>
    <row r="405" ht="21" customHeight="1">
      <c r="A405" s="6" t="n"/>
      <c r="B405" s="6" t="inlineStr">
        <is>
          <t>แผ่นเจียเหล็ก Pumpkin No.80 ขนาด 4 นิ้ว</t>
        </is>
      </c>
      <c r="C405" s="8" t="inlineStr">
        <is>
          <t>48แผ่น</t>
        </is>
      </c>
      <c r="D405" s="9" t="n">
        <v>15</v>
      </c>
      <c r="H405" s="9" t="n">
        <v>720</v>
      </c>
      <c r="I405" s="10" t="inlineStr">
        <is>
          <t>ไทวัสดุ</t>
        </is>
      </c>
      <c r="J405" s="161" t="n">
        <v>22915</v>
      </c>
      <c r="L405" s="18" t="inlineStr">
        <is>
          <t>ราคายังไม่หักส่วนลด/ยังไม่รวม VAT</t>
        </is>
      </c>
    </row>
    <row r="406" ht="21" customHeight="1">
      <c r="A406" s="6" t="n"/>
      <c r="B406" s="6" t="inlineStr">
        <is>
          <t>แผ่นเจียเหล็ก Pumpkin No.80 ขนาด 4 นิ้ว</t>
        </is>
      </c>
      <c r="C406" s="8" t="inlineStr">
        <is>
          <t>36แผ่น</t>
        </is>
      </c>
      <c r="D406" s="9" t="n">
        <v>15</v>
      </c>
      <c r="H406" s="9" t="n">
        <v>540</v>
      </c>
      <c r="I406" s="10" t="inlineStr">
        <is>
          <t>ไทวัสดุ</t>
        </is>
      </c>
      <c r="J406" s="161" t="n">
        <v>23080</v>
      </c>
      <c r="L406" s="18" t="inlineStr">
        <is>
          <t>ราคายังไม่หักส่วนลด/ยังไม่รวม VAT</t>
        </is>
      </c>
    </row>
    <row r="407" ht="21" customHeight="1">
      <c r="A407" s="6" t="n"/>
      <c r="B407" s="6" t="inlineStr">
        <is>
          <t>แผ่นเจียเหล็ก Pumpkin No.80 ขนาด 4 นิ้ว</t>
        </is>
      </c>
      <c r="C407" s="8" t="inlineStr">
        <is>
          <t>72แผ่น</t>
        </is>
      </c>
      <c r="D407" s="9" t="n">
        <v>15</v>
      </c>
      <c r="H407" s="9" t="n">
        <v>1080</v>
      </c>
      <c r="I407" s="10" t="inlineStr">
        <is>
          <t>ไทวัสดุ</t>
        </is>
      </c>
      <c r="J407" s="161" t="n">
        <v>23094</v>
      </c>
      <c r="L407" s="18" t="inlineStr">
        <is>
          <t>ราคายังไม่หักส่วนลด/ยังไม่รวม VAT</t>
        </is>
      </c>
    </row>
    <row r="408" ht="21" customHeight="1">
      <c r="A408" s="6" t="n"/>
      <c r="B408" s="6" t="inlineStr">
        <is>
          <t>แผ่นเจียเหล็ก Pumpkin No.80 ขนาด 4 นิ้ว</t>
        </is>
      </c>
      <c r="C408" s="8" t="inlineStr">
        <is>
          <t>52แผ่น</t>
        </is>
      </c>
      <c r="D408" s="9" t="n">
        <v>15</v>
      </c>
      <c r="H408" s="9" t="n">
        <v>780</v>
      </c>
      <c r="I408" s="10" t="inlineStr">
        <is>
          <t>ไทวัสดุ</t>
        </is>
      </c>
      <c r="J408" s="161" t="n">
        <v>23199</v>
      </c>
      <c r="L408" s="18" t="inlineStr">
        <is>
          <t>ราคายังไม่หักส่วนลด/ยังไม่รวม VAT</t>
        </is>
      </c>
    </row>
    <row r="409" ht="21" customHeight="1">
      <c r="A409" s="6" t="n"/>
      <c r="B409" s="6" t="inlineStr">
        <is>
          <t>แผ่นเจียเหล็ก Pumpkin No.80 ขนาด 4 นิ้ว</t>
        </is>
      </c>
      <c r="C409" s="8" t="inlineStr">
        <is>
          <t>50แผ่น</t>
        </is>
      </c>
      <c r="D409" s="9" t="n">
        <v>15</v>
      </c>
      <c r="H409" s="9" t="n">
        <v>750</v>
      </c>
      <c r="I409" s="10" t="inlineStr">
        <is>
          <t>ไทวัสดุ</t>
        </is>
      </c>
      <c r="J409" s="161" t="n">
        <v>23322</v>
      </c>
      <c r="L409" s="18" t="inlineStr">
        <is>
          <t>ราคายังไม่หักส่วนลด/ยังไม่รวม VAT</t>
        </is>
      </c>
    </row>
    <row r="410" ht="21" customHeight="1">
      <c r="A410" s="6" t="n"/>
      <c r="B410" s="6" t="inlineStr">
        <is>
          <t>แผ่นเจียเหล็ก Pumpkin No.80 ขนาด 4 นิ้ว</t>
        </is>
      </c>
      <c r="C410" s="8" t="inlineStr">
        <is>
          <t>46แผ่น</t>
        </is>
      </c>
      <c r="D410" s="9" t="n">
        <v>15</v>
      </c>
      <c r="H410" s="9" t="n">
        <v>690</v>
      </c>
      <c r="I410" s="10" t="inlineStr">
        <is>
          <t>ไทวัสดุ</t>
        </is>
      </c>
      <c r="J410" s="161" t="n">
        <v>23341</v>
      </c>
      <c r="L410" s="18" t="inlineStr">
        <is>
          <t>ราคายังไม่หักส่วนลด/ยังไม่รวม VAT</t>
        </is>
      </c>
    </row>
    <row r="411" ht="21" customHeight="1">
      <c r="A411" s="6" t="n"/>
      <c r="B411" s="6" t="inlineStr">
        <is>
          <t>แผ่นเจียเหล็ก Pumpkin No.80 ขนาด 4 นิ้ว</t>
        </is>
      </c>
      <c r="C411" s="8" t="inlineStr">
        <is>
          <t>50แผ่น</t>
        </is>
      </c>
      <c r="D411" s="9" t="n">
        <v>15</v>
      </c>
      <c r="H411" s="9" t="n">
        <v>750</v>
      </c>
      <c r="I411" s="10" t="inlineStr">
        <is>
          <t>ไทวัสดุ</t>
        </is>
      </c>
      <c r="J411" s="161" t="n">
        <v>23370</v>
      </c>
      <c r="L411" s="18" t="inlineStr">
        <is>
          <t>ราคายังไม่หักส่วนลด/ยังไม่รวม VAT</t>
        </is>
      </c>
    </row>
    <row r="412" ht="21" customHeight="1">
      <c r="A412" s="6" t="n"/>
      <c r="B412" s="6" t="inlineStr">
        <is>
          <t>แผ่นเจียเหล็ก Pumpkin No.80 ขนาด 4 นิ้ว</t>
        </is>
      </c>
      <c r="C412" s="8" t="inlineStr">
        <is>
          <t>33แผ่น</t>
        </is>
      </c>
      <c r="D412" s="9" t="n">
        <v>15</v>
      </c>
      <c r="H412" s="9" t="n">
        <v>495</v>
      </c>
      <c r="I412" s="10" t="inlineStr">
        <is>
          <t>ไทวัสดุ</t>
        </is>
      </c>
      <c r="J412" s="161" t="n">
        <v>23419</v>
      </c>
      <c r="L412" s="18" t="inlineStr">
        <is>
          <t>ราคายังไม่หักส่วนลด/ยังไม่รวม VAT</t>
        </is>
      </c>
    </row>
    <row r="413" ht="21" customHeight="1">
      <c r="A413" s="6" t="n"/>
      <c r="B413" s="6" t="inlineStr">
        <is>
          <t>แผ่นเจียเหล็ก Pumpkin No.80 ขนาด 4 นิ้ว</t>
        </is>
      </c>
      <c r="C413" s="8" t="inlineStr">
        <is>
          <t>68แผ่น</t>
        </is>
      </c>
      <c r="D413" s="9" t="n">
        <v>15</v>
      </c>
      <c r="H413" s="9" t="n">
        <v>1020</v>
      </c>
      <c r="I413" s="10" t="inlineStr">
        <is>
          <t>ไทวัสดุ</t>
        </is>
      </c>
      <c r="J413" s="161" t="n">
        <v>23501</v>
      </c>
      <c r="L413" s="18" t="inlineStr">
        <is>
          <t>ราคายังไม่หักส่วนลด/ยังไม่รวม VAT</t>
        </is>
      </c>
    </row>
    <row r="414" ht="21" customHeight="1">
      <c r="A414" s="6" t="n"/>
      <c r="B414" s="6" t="inlineStr">
        <is>
          <t>แผ่นเจียเหล็ก Pumpkin No.80 ขนาด 4 นิ้ว</t>
        </is>
      </c>
      <c r="C414" s="8" t="inlineStr">
        <is>
          <t>49แผ่น</t>
        </is>
      </c>
      <c r="D414" s="9" t="n">
        <v>15</v>
      </c>
      <c r="H414" s="9" t="n">
        <v>735</v>
      </c>
      <c r="I414" s="10" t="inlineStr">
        <is>
          <t>ไทวัสดุ</t>
        </is>
      </c>
      <c r="J414" s="161" t="n">
        <v>23539</v>
      </c>
      <c r="L414" s="18" t="inlineStr">
        <is>
          <t>ราคายังไม่หักส่วนลด/ยังไม่รวม VAT</t>
        </is>
      </c>
    </row>
    <row r="415" ht="21" customHeight="1">
      <c r="A415" s="6" t="n"/>
      <c r="B415" s="6" t="inlineStr">
        <is>
          <t>แผ่นเจียเหล็ก Pumpkin No.80 ขนาด 4 นิ้ว</t>
        </is>
      </c>
      <c r="C415" s="8" t="inlineStr">
        <is>
          <t>25แผ่น</t>
        </is>
      </c>
      <c r="D415" s="9" t="n">
        <v>15</v>
      </c>
      <c r="H415" s="9" t="n">
        <v>375</v>
      </c>
      <c r="I415" s="10" t="inlineStr">
        <is>
          <t>ไทวัสดุ</t>
        </is>
      </c>
      <c r="J415" s="161" t="n">
        <v>23608</v>
      </c>
      <c r="L415" s="18" t="inlineStr">
        <is>
          <t>ราคายังไม่หักส่วนลด/ยังไม่รวม VAT</t>
        </is>
      </c>
    </row>
    <row r="416" ht="21" customHeight="1">
      <c r="A416" s="6" t="n"/>
      <c r="B416" s="6" t="inlineStr">
        <is>
          <t>แผ่นเจียเหล็ก Pumpkin No.80 ขนาด 4 นิ้ว</t>
        </is>
      </c>
      <c r="C416" s="8" t="inlineStr">
        <is>
          <t>73แผ่น</t>
        </is>
      </c>
      <c r="D416" s="9" t="n">
        <v>15</v>
      </c>
      <c r="H416" s="9" t="n">
        <v>1095</v>
      </c>
      <c r="I416" s="10" t="inlineStr">
        <is>
          <t>ไทวัสดุ</t>
        </is>
      </c>
      <c r="J416" s="161" t="n">
        <v>23654</v>
      </c>
      <c r="L416" s="18" t="inlineStr">
        <is>
          <t>ราคายังไม่หักส่วนลด/ยังไม่รวม VAT</t>
        </is>
      </c>
    </row>
    <row r="417" ht="21" customHeight="1">
      <c r="A417" s="6" t="n"/>
      <c r="B417" s="6" t="inlineStr">
        <is>
          <t>แผ่นเจียเหล็ก Pumpkin No.80 ขนาด 4 นิ้ว</t>
        </is>
      </c>
      <c r="C417" s="8" t="inlineStr">
        <is>
          <t>49แผ่น</t>
        </is>
      </c>
      <c r="D417" s="9" t="n">
        <v>15</v>
      </c>
      <c r="H417" s="9" t="n">
        <v>686</v>
      </c>
      <c r="I417" s="10" t="inlineStr">
        <is>
          <t>ไทวัสดุ</t>
        </is>
      </c>
      <c r="J417" s="161" t="n">
        <v>23682</v>
      </c>
      <c r="L417" s="18" t="inlineStr">
        <is>
          <t>ราคายังไม่หักส่วนลด/ยังไม่รวม VAT</t>
        </is>
      </c>
    </row>
    <row r="418" ht="21" customHeight="1">
      <c r="A418" s="6" t="n"/>
      <c r="B418" s="6" t="inlineStr">
        <is>
          <t>แผ่นเจียเหล็ก Pumpkin No.80 ขนาด 4 นิ้ว</t>
        </is>
      </c>
      <c r="C418" s="8" t="inlineStr">
        <is>
          <t>42แผ่น</t>
        </is>
      </c>
      <c r="D418" s="9" t="n">
        <v>15</v>
      </c>
      <c r="H418" s="9" t="n">
        <v>630</v>
      </c>
      <c r="I418" s="10" t="inlineStr">
        <is>
          <t>ไทวัสดุ</t>
        </is>
      </c>
      <c r="J418" s="161" t="n">
        <v>23875</v>
      </c>
      <c r="L418" s="18" t="inlineStr">
        <is>
          <t>ราคายังไม่หักส่วนลด/ยังไม่รวม VAT</t>
        </is>
      </c>
    </row>
    <row r="419" ht="21" customHeight="1">
      <c r="A419" s="6" t="n"/>
      <c r="B419" s="6" t="inlineStr">
        <is>
          <t>แผ่นเจียเหล็ก Pumpkin No.80 ขนาด 4 นิ้ว</t>
        </is>
      </c>
      <c r="C419" s="8" t="inlineStr">
        <is>
          <t>60แผ่น</t>
        </is>
      </c>
      <c r="D419" s="9" t="n">
        <v>15</v>
      </c>
      <c r="H419" s="9" t="n">
        <v>900</v>
      </c>
      <c r="I419" s="10" t="inlineStr">
        <is>
          <t>ไทวัสดุ</t>
        </is>
      </c>
      <c r="J419" s="161" t="n">
        <v>23991</v>
      </c>
      <c r="L419" s="18" t="inlineStr">
        <is>
          <t>ราคายังไม่หักส่วนลด/ยังไม่รวม VAT</t>
        </is>
      </c>
    </row>
    <row r="420" ht="21" customHeight="1">
      <c r="A420" s="6" t="n"/>
      <c r="B420" s="6" t="inlineStr">
        <is>
          <t>แผ่นเจียเหล็ก Pumpkin No.80 ขนาด 4 นิ้ว</t>
        </is>
      </c>
      <c r="C420" s="8" t="inlineStr">
        <is>
          <t>61แผ่น</t>
        </is>
      </c>
      <c r="D420" s="9" t="n">
        <v>15</v>
      </c>
      <c r="H420" s="9" t="n">
        <v>915</v>
      </c>
      <c r="I420" s="10" t="inlineStr">
        <is>
          <t>ไทวัสดุ</t>
        </is>
      </c>
      <c r="J420" s="161" t="n">
        <v>24059</v>
      </c>
      <c r="L420" s="18" t="inlineStr">
        <is>
          <t>ราคายังไม่หักส่วนลด/ยังไม่รวม VAT</t>
        </is>
      </c>
    </row>
    <row r="421" ht="21" customHeight="1">
      <c r="A421" s="6" t="n"/>
      <c r="B421" s="6" t="inlineStr">
        <is>
          <t>แผ่นเจียเหล็ก Alibaba PT KOVET ขนาด 4*1.0 นิ้ว</t>
        </is>
      </c>
      <c r="C421" s="8" t="inlineStr">
        <is>
          <t>10แผ่น</t>
        </is>
      </c>
      <c r="D421" s="9" t="n">
        <v>11</v>
      </c>
      <c r="H421" s="9" t="n">
        <v>110</v>
      </c>
      <c r="I421" s="10" t="inlineStr">
        <is>
          <t>MEGA HOME</t>
        </is>
      </c>
      <c r="J421" s="161" t="n">
        <v>24115</v>
      </c>
      <c r="L421" s="18" t="inlineStr">
        <is>
          <t>ราคายังไม่หักส่วนลด/ยังไม่รวม VAT</t>
        </is>
      </c>
    </row>
    <row r="422" ht="21" customHeight="1">
      <c r="A422" s="6" t="n"/>
      <c r="B422" s="6" t="inlineStr">
        <is>
          <t>แผ่นเจียเหล็ก Pumpkin No.80 ขนาด 4 นิ้ว</t>
        </is>
      </c>
      <c r="C422" s="8" t="inlineStr">
        <is>
          <t>54แผ่น</t>
        </is>
      </c>
      <c r="D422" s="9" t="n">
        <v>15</v>
      </c>
      <c r="H422" s="9" t="n">
        <v>810</v>
      </c>
      <c r="I422" s="10" t="inlineStr">
        <is>
          <t>ไทวัสดุ</t>
        </is>
      </c>
      <c r="J422" s="161" t="n">
        <v>24158</v>
      </c>
      <c r="L422" s="18" t="inlineStr">
        <is>
          <t>ราคายังไม่หักส่วนลด/ยังไม่รวม VAT</t>
        </is>
      </c>
    </row>
    <row r="423" ht="21" customHeight="1">
      <c r="A423" s="6" t="n"/>
      <c r="B423" s="6" t="inlineStr">
        <is>
          <t>แผ่นเจียเหล็ก Pumpkin No.80 ขนาด 4 นิ้ว</t>
        </is>
      </c>
      <c r="C423" s="8" t="inlineStr">
        <is>
          <t>36แผ่น</t>
        </is>
      </c>
      <c r="D423" s="9" t="n">
        <v>15</v>
      </c>
      <c r="H423" s="9" t="n">
        <v>540</v>
      </c>
      <c r="I423" s="10" t="inlineStr">
        <is>
          <t>ไทวัสดุ</t>
        </is>
      </c>
      <c r="J423" s="161" t="n">
        <v>24267</v>
      </c>
      <c r="L423" s="18" t="inlineStr">
        <is>
          <t>ราคายังไม่หักส่วนลด/ยังไม่รวม VAT</t>
        </is>
      </c>
    </row>
    <row r="424" ht="21" customHeight="1">
      <c r="A424" s="6" t="n"/>
      <c r="B424" s="6" t="inlineStr">
        <is>
          <t>แผ่นเจียเหล็ก Pumpkin No.80 ขนาด 4 นิ้ว</t>
        </is>
      </c>
      <c r="C424" s="8" t="n">
        <v>49</v>
      </c>
      <c r="D424" s="9" t="n">
        <v>15</v>
      </c>
      <c r="H424" s="9">
        <f>SUM(D424*C424)</f>
        <v/>
      </c>
      <c r="I424" s="10" t="inlineStr">
        <is>
          <t>ไทวัสดุ</t>
        </is>
      </c>
      <c r="J424" s="161" t="n">
        <v>24346</v>
      </c>
      <c r="L424" s="18" t="inlineStr">
        <is>
          <t>ราคายังไม่หักส่วนลด/ยังไม่รวม VAT</t>
        </is>
      </c>
    </row>
    <row r="425" ht="21" customHeight="1">
      <c r="A425" s="6" t="n"/>
      <c r="B425" s="6" t="inlineStr">
        <is>
          <t>แผ่นเจียเหล็ก Pumpkin No.80 ขนาด 4 นิ้ว</t>
        </is>
      </c>
      <c r="C425" s="8" t="n">
        <v>41</v>
      </c>
      <c r="D425" s="9" t="n">
        <v>15</v>
      </c>
      <c r="H425" s="9">
        <f>SUM(D425*C425)</f>
        <v/>
      </c>
      <c r="I425" s="10" t="inlineStr">
        <is>
          <t>ไทวัสดุ</t>
        </is>
      </c>
      <c r="J425" s="161" t="n">
        <v>24398</v>
      </c>
      <c r="L425" s="18" t="inlineStr">
        <is>
          <t>ราคายังไม่หักส่วนลด/ยังไม่รวม VAT</t>
        </is>
      </c>
    </row>
    <row r="426" ht="21" customHeight="1">
      <c r="A426" s="6" t="n"/>
      <c r="B426" s="6" t="inlineStr">
        <is>
          <t>แผ่นเจียเหล็ก Pumpkin No.80 ขนาด 4 นิ้ว</t>
        </is>
      </c>
      <c r="C426" s="8" t="n">
        <v>20</v>
      </c>
      <c r="D426" s="9" t="n">
        <v>15</v>
      </c>
      <c r="H426" s="9">
        <f>SUM(D426*C426)</f>
        <v/>
      </c>
      <c r="I426" s="10" t="inlineStr">
        <is>
          <t>ไทวัสดุ</t>
        </is>
      </c>
      <c r="J426" s="161" t="n">
        <v>24452</v>
      </c>
      <c r="L426" s="18" t="inlineStr">
        <is>
          <t>ราคายังไม่หักส่วนลด/ยังไม่รวม VAT</t>
        </is>
      </c>
    </row>
    <row r="427" ht="21" customHeight="1">
      <c r="A427" s="6" t="n"/>
      <c r="B427" s="6" t="inlineStr">
        <is>
          <t>แผ่นเจียเหล็ก Pumpkin No.80 ขนาด 4 นิ้ว</t>
        </is>
      </c>
      <c r="C427" s="8" t="n">
        <v>38</v>
      </c>
      <c r="D427" s="9" t="n">
        <v>15</v>
      </c>
      <c r="H427" s="9">
        <f>SUM(D427*C427)</f>
        <v/>
      </c>
      <c r="I427" s="10" t="inlineStr">
        <is>
          <t>ไทวัสดุ</t>
        </is>
      </c>
      <c r="J427" s="161" t="n">
        <v>24488</v>
      </c>
      <c r="L427" s="18" t="inlineStr">
        <is>
          <t>ราคายังไม่หักส่วนลด/ยังไม่รวม VAT</t>
        </is>
      </c>
    </row>
    <row r="428" ht="21" customHeight="1">
      <c r="A428" s="6" t="n"/>
      <c r="B428" s="6" t="inlineStr">
        <is>
          <t>แผ่นเจียเหล็ก Pumpkin No.80 ขนาด 4 นิ้ว</t>
        </is>
      </c>
      <c r="C428" s="8" t="n">
        <v>55</v>
      </c>
      <c r="D428" s="9" t="n">
        <v>15</v>
      </c>
      <c r="H428" s="9">
        <f>SUM(D428*C428)</f>
        <v/>
      </c>
      <c r="I428" s="10" t="inlineStr">
        <is>
          <t>ไทวัสดุ</t>
        </is>
      </c>
      <c r="J428" s="161" t="n">
        <v>24652</v>
      </c>
      <c r="L428" s="18" t="inlineStr">
        <is>
          <t>ราคายังไม่หักส่วนลด/ยังไม่รวม VAT</t>
        </is>
      </c>
    </row>
    <row r="429" ht="21" customHeight="1">
      <c r="A429" s="6" t="n"/>
      <c r="B429" s="6" t="inlineStr">
        <is>
          <t>แผ่นเจียสแตนเลส Pumpkin WA80 ขนาด 4 นิ้ว*5มม.</t>
        </is>
      </c>
      <c r="C429" s="8" t="n">
        <v>40</v>
      </c>
      <c r="D429" s="9" t="n">
        <v>15</v>
      </c>
      <c r="H429" s="9">
        <f>SUM(D429*C429)</f>
        <v/>
      </c>
      <c r="I429" s="10" t="inlineStr">
        <is>
          <t>ไทวัสดุ</t>
        </is>
      </c>
      <c r="J429" s="161" t="n">
        <v>24759</v>
      </c>
      <c r="L429" s="18" t="inlineStr">
        <is>
          <t>ราคายังไม่หักส่วนลด/ยังไม่รวม VAT</t>
        </is>
      </c>
    </row>
    <row r="430" ht="21" customHeight="1">
      <c r="A430" s="6" t="n"/>
      <c r="B430" s="6" t="inlineStr">
        <is>
          <t>แผ่นเจียสแตนเลส Pumpkin WA80 ขนาด 4 นิ้ว*5มม.</t>
        </is>
      </c>
      <c r="C430" s="8" t="n">
        <v>33</v>
      </c>
      <c r="D430" s="9" t="n">
        <v>15</v>
      </c>
      <c r="H430" s="9">
        <f>SUM(D430*C430)</f>
        <v/>
      </c>
      <c r="I430" s="10" t="inlineStr">
        <is>
          <t>ไทวัสดุ</t>
        </is>
      </c>
      <c r="J430" s="161" t="n">
        <v>24896</v>
      </c>
      <c r="L430" s="18" t="inlineStr">
        <is>
          <t>ราคายังไม่หักส่วนลด/ยังไม่รวม VAT</t>
        </is>
      </c>
    </row>
    <row r="431" ht="21" customHeight="1">
      <c r="A431" s="6" t="n"/>
      <c r="B431" s="6" t="inlineStr">
        <is>
          <t>แผ่นเจียสแตนเลส Pumpkin WA80 ขนาด 4 นิ้ว*5มม.</t>
        </is>
      </c>
      <c r="C431" s="8" t="n">
        <v>35</v>
      </c>
      <c r="D431" s="9" t="n">
        <v>15</v>
      </c>
      <c r="H431" s="9">
        <f>SUM(D431*C431)</f>
        <v/>
      </c>
      <c r="I431" s="10" t="inlineStr">
        <is>
          <t>ไทวัสดุ</t>
        </is>
      </c>
      <c r="J431" s="161" t="n">
        <v>24950</v>
      </c>
      <c r="L431" s="18" t="inlineStr">
        <is>
          <t>ราคายังไม่หักส่วนลด</t>
        </is>
      </c>
      <c r="M431" s="169" t="n"/>
    </row>
    <row r="432" ht="21" customHeight="1">
      <c r="A432" s="6" t="n"/>
      <c r="B432" s="6" t="inlineStr">
        <is>
          <t>แผ่นเจียสแตนเลส Pumpkin WA80 ขนาด 4 นิ้ว*5มม.</t>
        </is>
      </c>
      <c r="C432" s="8" t="n">
        <v>15</v>
      </c>
      <c r="D432" s="9" t="n">
        <v>15</v>
      </c>
      <c r="H432" s="9">
        <f>SUM(D432*C432)</f>
        <v/>
      </c>
      <c r="I432" s="10" t="inlineStr">
        <is>
          <t>ไทวัสดุ</t>
        </is>
      </c>
      <c r="J432" s="161" t="n">
        <v>25002</v>
      </c>
      <c r="L432" s="18" t="inlineStr">
        <is>
          <t>ราคายังไม่หักส่วนลด</t>
        </is>
      </c>
      <c r="M432" s="169" t="n"/>
    </row>
    <row r="433" ht="21" customHeight="1">
      <c r="A433" s="6" t="n"/>
      <c r="B433" s="6" t="inlineStr">
        <is>
          <t>แผ่นเจียสแตนเลส Pumpkin WA80 ขนาด 4 นิ้ว*5มม.</t>
        </is>
      </c>
      <c r="C433" s="8" t="n">
        <v>30</v>
      </c>
      <c r="D433" s="9" t="n">
        <v>13.5</v>
      </c>
      <c r="H433" s="9">
        <f>SUM(D433*C433)</f>
        <v/>
      </c>
      <c r="I433" s="10" t="inlineStr">
        <is>
          <t>Shopee</t>
        </is>
      </c>
      <c r="J433" s="161" t="n">
        <v>25002</v>
      </c>
      <c r="L433" s="18" t="n"/>
      <c r="M433" s="169" t="n"/>
    </row>
    <row r="434" ht="21" customHeight="1">
      <c r="A434" s="6" t="n"/>
      <c r="B434" s="6" t="inlineStr">
        <is>
          <t>แผ่นเจียสแตนเลส Pumpkin WA80 ขนาด 4 นิ้ว*5มม.</t>
        </is>
      </c>
      <c r="C434" s="8" t="n">
        <v>26</v>
      </c>
      <c r="D434" s="9" t="n">
        <v>15</v>
      </c>
      <c r="H434" s="9">
        <f>SUM(D434*C434)</f>
        <v/>
      </c>
      <c r="I434" s="10" t="inlineStr">
        <is>
          <t>ไทวัสดุ</t>
        </is>
      </c>
      <c r="J434" s="161" t="n">
        <v>25107</v>
      </c>
      <c r="L434" s="18" t="inlineStr">
        <is>
          <t>ราคายังไม่หักส่วนลด</t>
        </is>
      </c>
      <c r="M434" s="169" t="n"/>
    </row>
    <row r="435" ht="21" customHeight="1">
      <c r="A435" s="6" t="n"/>
      <c r="B435" s="6" t="inlineStr">
        <is>
          <t>แผ่นเจียสแตนเลส Pumpkin WA80 ขนาด 4 นิ้ว*5มม.</t>
        </is>
      </c>
      <c r="C435" s="8" t="n">
        <v>50</v>
      </c>
      <c r="D435" s="9" t="n">
        <v>13.88</v>
      </c>
      <c r="H435" s="9">
        <f>SUM(D435*C435)</f>
        <v/>
      </c>
      <c r="I435" s="10" t="inlineStr">
        <is>
          <t>Shopee</t>
        </is>
      </c>
      <c r="J435" s="161" t="n">
        <v>25223</v>
      </c>
      <c r="L435" s="18" t="n"/>
      <c r="M435" s="169" t="n"/>
    </row>
    <row r="436" ht="21" customHeight="1">
      <c r="L436" s="8" t="n"/>
      <c r="M436" s="169" t="n"/>
    </row>
    <row r="437" ht="21" customHeight="1">
      <c r="B437" s="6" t="inlineStr">
        <is>
          <t>แผ่นตัดเหล็ก Gianttech 4นิ้ว สีดำ</t>
        </is>
      </c>
      <c r="C437" s="8" t="inlineStr">
        <is>
          <t>15แผ่น</t>
        </is>
      </c>
      <c r="D437" s="9" t="n">
        <v>18</v>
      </c>
      <c r="H437" s="9" t="n">
        <v>270</v>
      </c>
      <c r="I437" s="10" t="inlineStr">
        <is>
          <t>ไทวัสดุ</t>
        </is>
      </c>
      <c r="J437" s="161" t="n">
        <v>23501</v>
      </c>
      <c r="L437" s="18" t="inlineStr">
        <is>
          <t>ราคายังไม่หักส่วนลด/ยังไม่รวม VAT</t>
        </is>
      </c>
    </row>
    <row r="438" ht="21" customHeight="1">
      <c r="B438" s="6" t="inlineStr">
        <is>
          <t>แผ่นตัดเหล็ก Gianttech 4นิ้ว สีดำ</t>
        </is>
      </c>
      <c r="C438" s="8" t="inlineStr">
        <is>
          <t>37แผ่น</t>
        </is>
      </c>
      <c r="D438" s="9" t="n">
        <v>18</v>
      </c>
      <c r="H438" s="9" t="n">
        <v>666</v>
      </c>
      <c r="I438" s="10" t="inlineStr">
        <is>
          <t>ไทวัสดุ</t>
        </is>
      </c>
      <c r="J438" s="161" t="n">
        <v>23608</v>
      </c>
      <c r="L438" s="18" t="inlineStr">
        <is>
          <t>ราคายังไม่หักส่วนลด/ยังไม่รวม VAT</t>
        </is>
      </c>
    </row>
    <row r="439" ht="21" customHeight="1">
      <c r="B439" s="6" t="inlineStr">
        <is>
          <t>แผ่นตัดเหล็ก Gianttech 4นิ้ว สีดำ</t>
        </is>
      </c>
      <c r="C439" s="8" t="inlineStr">
        <is>
          <t>25แผ่น</t>
        </is>
      </c>
      <c r="D439" s="9" t="n">
        <v>18</v>
      </c>
      <c r="H439" s="9" t="n">
        <v>450</v>
      </c>
      <c r="I439" s="10" t="inlineStr">
        <is>
          <t>ไทวัสดุ</t>
        </is>
      </c>
      <c r="J439" s="161" t="n">
        <v>23875</v>
      </c>
      <c r="L439" s="18" t="inlineStr">
        <is>
          <t>ราคายังไม่หักส่วนลด/ยังไม่รวม VAT</t>
        </is>
      </c>
    </row>
    <row r="440" ht="21" customHeight="1">
      <c r="B440" s="6" t="inlineStr">
        <is>
          <t>แผ่นตัดเหล็ก Gianttech 4นิ้ว สีดำ</t>
        </is>
      </c>
      <c r="C440" s="8" t="inlineStr">
        <is>
          <t>28แผ่น</t>
        </is>
      </c>
      <c r="D440" s="9" t="n">
        <v>18</v>
      </c>
      <c r="H440" s="9" t="n">
        <v>504</v>
      </c>
      <c r="I440" s="10" t="inlineStr">
        <is>
          <t>ไทวัสดุ</t>
        </is>
      </c>
      <c r="J440" s="161" t="n">
        <v>23991</v>
      </c>
      <c r="L440" s="18" t="inlineStr">
        <is>
          <t>ราคายังไม่หักส่วนลด/ยังไม่รวม VAT</t>
        </is>
      </c>
    </row>
    <row r="441" ht="21" customHeight="1">
      <c r="B441" s="6" t="inlineStr">
        <is>
          <t>แผ่นตัดเหล็ก Gianttech 4นิ้ว สีแดง</t>
        </is>
      </c>
      <c r="C441" s="8" t="inlineStr">
        <is>
          <t>26แผ่น</t>
        </is>
      </c>
      <c r="D441" s="9" t="n">
        <v>18</v>
      </c>
      <c r="H441" s="9" t="n">
        <v>468</v>
      </c>
      <c r="I441" s="10" t="inlineStr">
        <is>
          <t>ไทวัสดุ</t>
        </is>
      </c>
      <c r="J441" s="161" t="n">
        <v>23991</v>
      </c>
      <c r="L441" s="18" t="inlineStr">
        <is>
          <t>ราคายังไม่หักส่วนลด/ยังไม่รวม VAT</t>
        </is>
      </c>
    </row>
    <row r="442" ht="21" customHeight="1">
      <c r="B442" s="6" t="inlineStr">
        <is>
          <t>แผ่นตัดเหล็ก Gianttech 4นิ้ว สีแดง</t>
        </is>
      </c>
      <c r="C442" s="8" t="inlineStr">
        <is>
          <t>25แผ่น</t>
        </is>
      </c>
      <c r="D442" s="9" t="n">
        <v>18</v>
      </c>
      <c r="H442" s="9" t="n">
        <v>450</v>
      </c>
      <c r="I442" s="10" t="inlineStr">
        <is>
          <t>ไทวัสดุ</t>
        </is>
      </c>
      <c r="J442" s="161" t="n">
        <v>24059</v>
      </c>
      <c r="L442" s="18" t="inlineStr">
        <is>
          <t>ราคายังไม่หักส่วนลด/ยังไม่รวม VAT</t>
        </is>
      </c>
    </row>
    <row r="443" ht="21" customHeight="1">
      <c r="B443" s="6" t="inlineStr">
        <is>
          <t>แผ่นตัดเหล็ก Gianttech 4นิ้ว สีแดง</t>
        </is>
      </c>
      <c r="C443" s="8" t="inlineStr">
        <is>
          <t>35แผ่น</t>
        </is>
      </c>
      <c r="D443" s="9" t="n">
        <v>18</v>
      </c>
      <c r="H443" s="9" t="n">
        <v>630</v>
      </c>
      <c r="I443" s="10" t="inlineStr">
        <is>
          <t>ไทวัสดุ</t>
        </is>
      </c>
      <c r="J443" s="161" t="n">
        <v>24158</v>
      </c>
      <c r="L443" s="18" t="inlineStr">
        <is>
          <t>ราคายังไม่หักส่วนลด/ยังไม่รวม VAT</t>
        </is>
      </c>
    </row>
    <row r="444" ht="21" customHeight="1">
      <c r="B444" s="6" t="inlineStr">
        <is>
          <t>แผ่นตัดเหล็ก Gianttech 4นิ้ว A60TBF2</t>
        </is>
      </c>
      <c r="C444" s="8" t="inlineStr">
        <is>
          <t>25แผ่น</t>
        </is>
      </c>
      <c r="D444" s="9" t="n">
        <v>8</v>
      </c>
      <c r="H444" s="9" t="n">
        <v>200</v>
      </c>
      <c r="I444" s="10" t="inlineStr">
        <is>
          <t>ไทวัสดุ</t>
        </is>
      </c>
      <c r="J444" s="161" t="n">
        <v>24267</v>
      </c>
      <c r="L444" s="18" t="inlineStr">
        <is>
          <t>ราคายังไม่หักส่วนลด/ยังไม่รวม VAT</t>
        </is>
      </c>
    </row>
    <row r="445" ht="21" customHeight="1">
      <c r="B445" s="6" t="inlineStr">
        <is>
          <t>แผ่นตัดเหล็ก SUMO 4นิ้ว 1.0*16มม. สีดำ Fast cut</t>
        </is>
      </c>
      <c r="C445" s="8" t="inlineStr">
        <is>
          <t>11แผ่น</t>
        </is>
      </c>
      <c r="D445" s="9" t="n">
        <v>15</v>
      </c>
      <c r="H445" s="9" t="n">
        <v>165</v>
      </c>
      <c r="I445" s="10" t="inlineStr">
        <is>
          <t>ไทวัสดุ</t>
        </is>
      </c>
      <c r="J445" s="161" t="n">
        <v>24267</v>
      </c>
      <c r="L445" s="18" t="inlineStr">
        <is>
          <t>ราคายังไม่หักส่วนลด/ยังไม่รวม VAT</t>
        </is>
      </c>
    </row>
    <row r="446" ht="21" customHeight="1">
      <c r="B446" s="6" t="inlineStr">
        <is>
          <t>แผ่นตัดเหล็กแบบบาง Gianttech 4นิ้ว A60TBF2 100*1.0*16มม.</t>
        </is>
      </c>
      <c r="C446" s="8" t="n">
        <v>19</v>
      </c>
      <c r="D446" s="9" t="n">
        <v>9</v>
      </c>
      <c r="H446" s="9">
        <f>SUM(D446*C446)</f>
        <v/>
      </c>
      <c r="I446" s="10" t="inlineStr">
        <is>
          <t>ไทวัสดุ</t>
        </is>
      </c>
      <c r="J446" s="161" t="n">
        <v>24346</v>
      </c>
      <c r="L446" s="18" t="inlineStr">
        <is>
          <t>ราคายังไม่หักส่วนลด/ยังไม่รวม VAT</t>
        </is>
      </c>
    </row>
    <row r="447" ht="21" customHeight="1">
      <c r="B447" s="6" t="inlineStr">
        <is>
          <t>แผ่นตัดเหล็กแบบบาง Gianttech 4นิ้ว A60TBF2 100*1.0*16มม.</t>
        </is>
      </c>
      <c r="C447" s="8" t="n">
        <v>34</v>
      </c>
      <c r="D447" s="9" t="n">
        <v>9</v>
      </c>
      <c r="H447" s="9">
        <f>SUM(D447*C447)</f>
        <v/>
      </c>
      <c r="I447" s="10" t="inlineStr">
        <is>
          <t>ไทวัสดุ</t>
        </is>
      </c>
      <c r="J447" s="161" t="n">
        <v>24398</v>
      </c>
      <c r="L447" s="18" t="inlineStr">
        <is>
          <t>ราคายังไม่หักส่วนลด/ยังไม่รวม VAT</t>
        </is>
      </c>
    </row>
    <row r="448" ht="21" customHeight="1">
      <c r="B448" s="6" t="inlineStr">
        <is>
          <t>แผ่นตัดเหล็กแบบบาง Gianttech 4นิ้ว A60TBF2 100*1.0*16มม.</t>
        </is>
      </c>
      <c r="C448" s="8" t="n">
        <v>25</v>
      </c>
      <c r="D448" s="9" t="n">
        <v>9</v>
      </c>
      <c r="H448" s="9">
        <f>SUM(D448*C448)</f>
        <v/>
      </c>
      <c r="I448" s="10" t="inlineStr">
        <is>
          <t>ไทวัสดุ</t>
        </is>
      </c>
      <c r="J448" s="161" t="n">
        <v>24452</v>
      </c>
      <c r="L448" s="18" t="inlineStr">
        <is>
          <t>ราคายังไม่หักส่วนลด/ยังไม่รวม VAT</t>
        </is>
      </c>
    </row>
    <row r="449" ht="21" customHeight="1">
      <c r="B449" s="6" t="inlineStr">
        <is>
          <t>แผ่นตัดเหล็กแบบบาง Gianttech 4นิ้ว A60TBF2 100*1.0*16มม.</t>
        </is>
      </c>
      <c r="C449" s="8" t="n">
        <v>106</v>
      </c>
      <c r="D449" s="9" t="n">
        <v>9</v>
      </c>
      <c r="H449" s="9">
        <f>SUM(D449*C449)</f>
        <v/>
      </c>
      <c r="I449" s="10" t="inlineStr">
        <is>
          <t>ไทวัสดุ</t>
        </is>
      </c>
      <c r="J449" s="161" t="n">
        <v>24488</v>
      </c>
      <c r="L449" s="18" t="inlineStr">
        <is>
          <t>ราคายังไม่หักส่วนลด/ยังไม่รวม VAT</t>
        </is>
      </c>
    </row>
    <row r="450" ht="21" customHeight="1">
      <c r="B450" s="6" t="inlineStr">
        <is>
          <t>แผ่นตัดเหล็กแบบบาง Gianttech 4นิ้ว A60TBF2 100*1.0*16มม.</t>
        </is>
      </c>
      <c r="C450" s="8" t="n">
        <v>30</v>
      </c>
      <c r="D450" s="9" t="n">
        <v>9</v>
      </c>
      <c r="H450" s="9">
        <f>SUM(D450*C450)</f>
        <v/>
      </c>
      <c r="I450" s="10" t="inlineStr">
        <is>
          <t>ไทวัสดุ</t>
        </is>
      </c>
      <c r="J450" s="161" t="n">
        <v>24652</v>
      </c>
      <c r="L450" s="18" t="inlineStr">
        <is>
          <t>ราคายังไม่หักส่วนลด/ยังไม่รวม VAT</t>
        </is>
      </c>
    </row>
    <row r="451" ht="21" customHeight="1">
      <c r="B451" s="6" t="inlineStr">
        <is>
          <t>แผ่นตัดเหล็กแบบบาง Gianttech 4นิ้ว A60TBF2 100*1.0*16มม.</t>
        </is>
      </c>
      <c r="C451" s="8" t="n">
        <v>60</v>
      </c>
      <c r="D451" s="9" t="n">
        <v>9</v>
      </c>
      <c r="H451" s="9">
        <f>SUM(D451*C451)</f>
        <v/>
      </c>
      <c r="I451" s="10" t="inlineStr">
        <is>
          <t>ไทวัสดุ</t>
        </is>
      </c>
      <c r="J451" s="161" t="n">
        <v>24759</v>
      </c>
      <c r="L451" s="18" t="inlineStr">
        <is>
          <t>ราคายังไม่หักส่วนลด/ยังไม่รวม VAT</t>
        </is>
      </c>
    </row>
    <row r="452" ht="21" customHeight="1">
      <c r="B452" s="6" t="inlineStr">
        <is>
          <t>แผ่นตัดเหล็กแบบบาง Gianttech 4นิ้ว A60TBF2 100*1.0*16มม.</t>
        </is>
      </c>
      <c r="C452" s="8" t="n">
        <v>61</v>
      </c>
      <c r="D452" s="9" t="n">
        <v>9</v>
      </c>
      <c r="H452" s="9">
        <f>SUM(D452*C452)</f>
        <v/>
      </c>
      <c r="I452" s="10" t="inlineStr">
        <is>
          <t>ไทวัสดุ</t>
        </is>
      </c>
      <c r="J452" s="161" t="n">
        <v>24896</v>
      </c>
      <c r="L452" s="18" t="inlineStr">
        <is>
          <t>ราคายังไม่หักส่วนลด/ยังไม่รวม VAT</t>
        </is>
      </c>
    </row>
    <row r="453" ht="21" customHeight="1">
      <c r="B453" s="6" t="inlineStr">
        <is>
          <t>แผ่นตัดเหล็กแบบบาง Gianttech 4นิ้ว A60TBF2 100*1.0*16มม.</t>
        </is>
      </c>
      <c r="C453" s="8" t="n">
        <v>56</v>
      </c>
      <c r="D453" s="9" t="n">
        <v>9</v>
      </c>
      <c r="H453" s="9">
        <f>SUM(D453*C453)</f>
        <v/>
      </c>
      <c r="I453" s="10" t="inlineStr">
        <is>
          <t>ไทวัสดุ</t>
        </is>
      </c>
      <c r="J453" s="161" t="n">
        <v>24950</v>
      </c>
      <c r="L453" s="18" t="inlineStr">
        <is>
          <t>ราคายังไม่หักส่วนลด</t>
        </is>
      </c>
    </row>
    <row r="454" ht="21" customHeight="1">
      <c r="B454" s="6" t="inlineStr">
        <is>
          <t>แผ่นตัดเหล็กแบบบาง Gianttech 4นิ้ว A60TBF2 100*1.0*16มม.</t>
        </is>
      </c>
      <c r="C454" s="8" t="n">
        <v>80</v>
      </c>
      <c r="D454" s="9" t="n">
        <v>9</v>
      </c>
      <c r="H454" s="9">
        <f>SUM(D454*C454)</f>
        <v/>
      </c>
      <c r="I454" s="10" t="inlineStr">
        <is>
          <t>ไทวัสดุ</t>
        </is>
      </c>
      <c r="J454" s="161" t="n">
        <v>25107</v>
      </c>
      <c r="L454" s="18" t="inlineStr">
        <is>
          <t>ราคายังไม่หักส่วนลด</t>
        </is>
      </c>
    </row>
    <row r="455" ht="21" customHeight="1">
      <c r="L455" s="8" t="n"/>
      <c r="M455" s="169" t="n"/>
    </row>
    <row r="456" ht="21" customHeight="1">
      <c r="B456" s="6" t="inlineStr">
        <is>
          <t>แผ่นตัด BOSCH 4นิ้ว สีดำ</t>
        </is>
      </c>
      <c r="C456" s="8" t="inlineStr">
        <is>
          <t>10แผ่น</t>
        </is>
      </c>
      <c r="D456" s="9" t="n">
        <v>38</v>
      </c>
      <c r="H456" s="9" t="n">
        <v>380</v>
      </c>
      <c r="I456" s="10" t="inlineStr">
        <is>
          <t>ไทวัสดุ</t>
        </is>
      </c>
      <c r="J456" s="161" t="n">
        <v>23199</v>
      </c>
      <c r="L456" s="18" t="inlineStr">
        <is>
          <t>ราคายังไม่หักส่วนลด/ยังไม่รวม VAT</t>
        </is>
      </c>
    </row>
    <row r="457" ht="21" customHeight="1">
      <c r="B457" s="6" t="inlineStr">
        <is>
          <t>แผ่นตัด BOSCH 4นิ้ว สีดำ</t>
        </is>
      </c>
      <c r="C457" s="8" t="inlineStr">
        <is>
          <t>8แผ่น</t>
        </is>
      </c>
      <c r="D457" s="9" t="n">
        <v>38</v>
      </c>
      <c r="H457" s="9" t="n">
        <v>304</v>
      </c>
      <c r="I457" s="10" t="inlineStr">
        <is>
          <t>ไทวัสดุ</t>
        </is>
      </c>
      <c r="J457" s="161" t="n">
        <v>23236</v>
      </c>
      <c r="L457" s="18" t="inlineStr">
        <is>
          <t>ราคายังไม่หักส่วนลด/ยังไม่รวม VAT</t>
        </is>
      </c>
    </row>
    <row r="458" ht="21" customHeight="1">
      <c r="L458" s="8" t="n"/>
      <c r="M458" s="169" t="n"/>
    </row>
    <row r="459" ht="21" customHeight="1">
      <c r="A459" s="11" t="inlineStr">
        <is>
          <t>แผ่นตัดเหล็ก</t>
        </is>
      </c>
      <c r="B459" s="6" t="inlineStr">
        <is>
          <t>แผ่นตัดเหล็ก 14 นิ้ว SUMO (ลังละ 25 แผ่น)</t>
        </is>
      </c>
      <c r="C459" s="8" t="inlineStr">
        <is>
          <t>1ลัง</t>
        </is>
      </c>
      <c r="D459" s="9" t="n">
        <v>69.59999999999999</v>
      </c>
      <c r="H459" s="9" t="n">
        <v>1740</v>
      </c>
      <c r="I459" s="10" t="inlineStr">
        <is>
          <t>ศรีสยาม</t>
        </is>
      </c>
      <c r="J459" s="161" t="n">
        <v>23405</v>
      </c>
      <c r="L459" s="8" t="n"/>
      <c r="M459" s="169" t="n"/>
    </row>
    <row r="460" ht="21" customHeight="1">
      <c r="L460" s="8" t="n"/>
      <c r="M460" s="169" t="n"/>
    </row>
    <row r="461" ht="21" customHeight="1">
      <c r="A461" s="11" t="inlineStr">
        <is>
          <t>ไพเมอร์กันสนิม</t>
        </is>
      </c>
      <c r="B461" s="6" t="inlineStr">
        <is>
          <t xml:space="preserve">ไพเมอร์กันสนิม  Glass Primer hamatite 150g. -- ขวดแก้ว </t>
        </is>
      </c>
      <c r="C461" s="8" t="inlineStr">
        <is>
          <t>2ขวด</t>
        </is>
      </c>
      <c r="D461" s="9" t="n">
        <v>310</v>
      </c>
      <c r="H461" s="9" t="n">
        <v>620</v>
      </c>
      <c r="I461" s="10" t="inlineStr">
        <is>
          <t>ศรีสยาม</t>
        </is>
      </c>
      <c r="J461" s="161" t="n">
        <v>23101</v>
      </c>
      <c r="L461" s="8" t="n"/>
      <c r="M461" s="169" t="n"/>
    </row>
    <row r="462" ht="21" customHeight="1">
      <c r="A462" s="8" t="inlineStr">
        <is>
          <t>ทาขอบกระจกหน้า</t>
        </is>
      </c>
      <c r="B462" s="6" t="inlineStr">
        <is>
          <t xml:space="preserve">ไพเมอร์กันสนิม  Glass Primer hamatite 150g. -- ขวดแก้ว </t>
        </is>
      </c>
      <c r="C462" s="8" t="inlineStr">
        <is>
          <t>1ขวด</t>
        </is>
      </c>
      <c r="D462" s="9" t="n">
        <v>310</v>
      </c>
      <c r="H462" s="9" t="n">
        <v>310</v>
      </c>
      <c r="I462" s="10" t="inlineStr">
        <is>
          <t>ศรีสยาม</t>
        </is>
      </c>
      <c r="J462" s="161" t="n">
        <v>23163</v>
      </c>
      <c r="L462" s="8" t="n"/>
      <c r="M462" s="169" t="n"/>
    </row>
    <row r="463" ht="21" customHeight="1">
      <c r="B463" s="6" t="inlineStr">
        <is>
          <t xml:space="preserve">ไพเมอร์กันสนิม  Glass Primer hamatite 150g. -- ขวดแก้ว </t>
        </is>
      </c>
      <c r="C463" s="8" t="inlineStr">
        <is>
          <t>1ขวด</t>
        </is>
      </c>
      <c r="D463" s="9" t="n">
        <v>310</v>
      </c>
      <c r="H463" s="9" t="n">
        <v>310</v>
      </c>
      <c r="I463" s="10" t="inlineStr">
        <is>
          <t>ศรีสยาม</t>
        </is>
      </c>
      <c r="J463" s="161" t="n">
        <v>23194</v>
      </c>
      <c r="L463" s="8" t="n"/>
      <c r="M463" s="169" t="n"/>
    </row>
    <row r="464" ht="21" customHeight="1">
      <c r="B464" s="6" t="inlineStr">
        <is>
          <t xml:space="preserve">ไพเมอร์กันสนิม  Glass Primer hamatite 150g. -- ขวดแก้ว </t>
        </is>
      </c>
      <c r="C464" s="8" t="inlineStr">
        <is>
          <t>1ขวด</t>
        </is>
      </c>
      <c r="D464" s="9" t="n">
        <v>310</v>
      </c>
      <c r="H464" s="9" t="n">
        <v>310</v>
      </c>
      <c r="I464" s="10" t="inlineStr">
        <is>
          <t>ศรีสยาม</t>
        </is>
      </c>
      <c r="J464" s="161" t="n">
        <v>23244</v>
      </c>
      <c r="L464" s="8" t="n"/>
      <c r="M464" s="169" t="n"/>
    </row>
    <row r="465" ht="21" customHeight="1">
      <c r="B465" s="6" t="inlineStr">
        <is>
          <t xml:space="preserve">ไพเมอร์กันสนิม  Glass Primer hamatite 150g. -- ขวดแก้ว </t>
        </is>
      </c>
      <c r="C465" s="8" t="inlineStr">
        <is>
          <t>1ขวด</t>
        </is>
      </c>
      <c r="D465" s="9" t="n">
        <v>300</v>
      </c>
      <c r="H465" s="9" t="n">
        <v>300</v>
      </c>
      <c r="I465" s="10" t="inlineStr">
        <is>
          <t>ศรีสยาม</t>
        </is>
      </c>
      <c r="J465" s="161" t="n">
        <v>23289</v>
      </c>
      <c r="L465" s="8" t="n"/>
      <c r="M465" s="169" t="n"/>
    </row>
    <row r="466" ht="21" customHeight="1">
      <c r="B466" s="6" t="inlineStr">
        <is>
          <t xml:space="preserve">ไพเมอร์กันสนิม  Glass Primer hamatite 150g. -- ขวดแก้ว </t>
        </is>
      </c>
      <c r="C466" s="8" t="inlineStr">
        <is>
          <t>1ขวด</t>
        </is>
      </c>
      <c r="D466" s="9" t="n">
        <v>300</v>
      </c>
      <c r="H466" s="9" t="n">
        <v>300</v>
      </c>
      <c r="I466" s="10" t="inlineStr">
        <is>
          <t>ศรีสยาม</t>
        </is>
      </c>
      <c r="J466" s="161" t="n">
        <v>23331</v>
      </c>
      <c r="L466" s="8" t="n"/>
      <c r="M466" s="169" t="n"/>
    </row>
    <row r="467" ht="21" customHeight="1">
      <c r="B467" s="6" t="inlineStr">
        <is>
          <t xml:space="preserve">ไพเมอร์กันสนิม  Glass Primer hamatite 150g. -- ขวดแก้ว </t>
        </is>
      </c>
      <c r="C467" s="8" t="inlineStr">
        <is>
          <t>1ขวด</t>
        </is>
      </c>
      <c r="D467" s="9" t="n">
        <v>300</v>
      </c>
      <c r="H467" s="9" t="n">
        <v>300</v>
      </c>
      <c r="I467" s="10" t="inlineStr">
        <is>
          <t>ศรีสยาม</t>
        </is>
      </c>
      <c r="J467" s="161" t="n">
        <v>23475</v>
      </c>
      <c r="K467" s="8" t="n"/>
      <c r="L467" s="8" t="n"/>
      <c r="M467" s="169" t="n"/>
    </row>
    <row r="468" ht="21" customHeight="1">
      <c r="B468" s="6" t="inlineStr">
        <is>
          <t xml:space="preserve">ไพเมอร์กันสนิม  Glass Primer hamatite 150g. -- ขวดแก้ว </t>
        </is>
      </c>
      <c r="C468" s="8" t="inlineStr">
        <is>
          <t>1ขวด</t>
        </is>
      </c>
      <c r="D468" s="9" t="n">
        <v>300</v>
      </c>
      <c r="H468" s="9" t="n">
        <v>300</v>
      </c>
      <c r="I468" s="10" t="inlineStr">
        <is>
          <t>ศรีสยาม</t>
        </is>
      </c>
      <c r="J468" s="161" t="n">
        <v>23536</v>
      </c>
      <c r="K468" s="8" t="n"/>
      <c r="L468" s="8" t="n"/>
      <c r="M468" s="169" t="n"/>
    </row>
    <row r="469" ht="21" customHeight="1">
      <c r="B469" s="6" t="inlineStr">
        <is>
          <t xml:space="preserve">ไพเมอร์กันสนิม  Glass Primer hamatite 150g. -- ขวดแก้ว </t>
        </is>
      </c>
      <c r="C469" s="8" t="inlineStr">
        <is>
          <t>1ขวด</t>
        </is>
      </c>
      <c r="D469" s="9" t="n">
        <v>300</v>
      </c>
      <c r="H469" s="9" t="n">
        <v>300</v>
      </c>
      <c r="I469" s="10" t="inlineStr">
        <is>
          <t>ศรีสยาม</t>
        </is>
      </c>
      <c r="J469" s="161" t="n">
        <v>23559</v>
      </c>
      <c r="K469" s="8" t="n"/>
      <c r="L469" s="8" t="n"/>
      <c r="M469" s="169" t="n"/>
    </row>
    <row r="470" ht="21" customHeight="1">
      <c r="B470" s="6" t="inlineStr">
        <is>
          <t xml:space="preserve">ไพเมอร์กันสนิม  Glass Primer hamatite 150g. -- ขวดแก้ว </t>
        </is>
      </c>
      <c r="C470" s="8" t="inlineStr">
        <is>
          <t>1ขวด</t>
        </is>
      </c>
      <c r="D470" s="9" t="n">
        <v>300</v>
      </c>
      <c r="H470" s="9" t="n">
        <v>300</v>
      </c>
      <c r="I470" s="10" t="inlineStr">
        <is>
          <t>ศรีสยาม</t>
        </is>
      </c>
      <c r="J470" s="161" t="n">
        <v>23581</v>
      </c>
      <c r="L470" s="8" t="n"/>
      <c r="M470" s="169" t="n"/>
    </row>
    <row r="471" ht="21" customHeight="1">
      <c r="B471" s="6" t="inlineStr">
        <is>
          <t xml:space="preserve">ไพเมอร์กันสนิม  Glass Primer hamatite 150g. -- ขวดแก้ว </t>
        </is>
      </c>
      <c r="C471" s="8" t="inlineStr">
        <is>
          <t>1ขวด</t>
        </is>
      </c>
      <c r="D471" s="9" t="n">
        <v>460</v>
      </c>
      <c r="H471" s="9" t="n">
        <v>460</v>
      </c>
      <c r="I471" s="10" t="inlineStr">
        <is>
          <t>ศรีสยาม</t>
        </is>
      </c>
      <c r="J471" s="161" t="n">
        <v>23907</v>
      </c>
      <c r="L471" s="8" t="n"/>
      <c r="M471" s="169" t="n"/>
    </row>
    <row r="472" ht="21" customHeight="1">
      <c r="B472" s="6" t="inlineStr">
        <is>
          <t xml:space="preserve">ไพเมอร์กันสนิม  Glass Primer G-200 hamatite 150g. -- ขวดแก้ว </t>
        </is>
      </c>
      <c r="C472" s="8" t="inlineStr">
        <is>
          <t>1ขวด</t>
        </is>
      </c>
      <c r="D472" s="9" t="n">
        <v>180</v>
      </c>
      <c r="H472" s="9" t="n">
        <v>480</v>
      </c>
      <c r="I472" s="10" t="inlineStr">
        <is>
          <t>ศรีสยาม</t>
        </is>
      </c>
      <c r="J472" s="161" t="n">
        <v>24802</v>
      </c>
      <c r="L472" s="18" t="inlineStr">
        <is>
          <t>ราคารวม VAT แล้ว</t>
        </is>
      </c>
    </row>
    <row r="473" ht="21" customHeight="1">
      <c r="L473" s="8" t="n"/>
      <c r="M473" s="169" t="n"/>
    </row>
    <row r="474" ht="21" customHeight="1">
      <c r="B474" s="6" t="inlineStr">
        <is>
          <t>ไพเมอร์กันสนิม PROTITE Glass primer 250g. -- ขวดสีเงิน</t>
        </is>
      </c>
      <c r="C474" s="8" t="inlineStr">
        <is>
          <t>1ขวด</t>
        </is>
      </c>
      <c r="D474" s="9" t="n">
        <v>460</v>
      </c>
      <c r="H474" s="9" t="n">
        <v>460</v>
      </c>
      <c r="I474" s="10" t="inlineStr">
        <is>
          <t>ศรีสยาม</t>
        </is>
      </c>
      <c r="J474" s="161" t="n">
        <v>23645</v>
      </c>
      <c r="L474" s="8" t="n"/>
      <c r="M474" s="169" t="n"/>
    </row>
    <row r="475" ht="21" customHeight="1">
      <c r="B475" s="6" t="inlineStr">
        <is>
          <t>ไพเมอร์กันสนิม PROTITE Glass primer 250g. -- ขวดสีเงิน</t>
        </is>
      </c>
      <c r="C475" s="8" t="inlineStr">
        <is>
          <t>2ขวด</t>
        </is>
      </c>
      <c r="D475" s="9" t="n">
        <v>460</v>
      </c>
      <c r="H475" s="9" t="n">
        <v>920</v>
      </c>
      <c r="I475" s="10" t="inlineStr">
        <is>
          <t>ศรีสยาม</t>
        </is>
      </c>
      <c r="J475" s="161" t="n">
        <v>23732</v>
      </c>
      <c r="L475" s="8" t="n"/>
      <c r="M475" s="169" t="n"/>
    </row>
    <row r="476" ht="21" customHeight="1">
      <c r="B476" s="6" t="inlineStr">
        <is>
          <t>ไพเมอร์กันสนิม PROTITE Glass primer 250g. -- ขวดสีเงิน</t>
        </is>
      </c>
      <c r="C476" s="8" t="inlineStr">
        <is>
          <t>1ขวด</t>
        </is>
      </c>
      <c r="D476" s="9" t="n">
        <v>460</v>
      </c>
      <c r="H476" s="9" t="n">
        <v>460</v>
      </c>
      <c r="I476" s="10" t="inlineStr">
        <is>
          <t>ศรีสยาม</t>
        </is>
      </c>
      <c r="J476" s="161" t="n">
        <v>23761</v>
      </c>
      <c r="L476" s="8" t="n"/>
      <c r="M476" s="169" t="n"/>
    </row>
    <row r="477" ht="21" customHeight="1">
      <c r="L477" s="8" t="n"/>
      <c r="M477" s="169" t="n"/>
    </row>
    <row r="478" ht="21" customHeight="1">
      <c r="B478" s="6" t="inlineStr">
        <is>
          <t>ไพเมอร์กันสนิม SIKA Glass primer 250g. -- ขวดสีเงิน (คืน)</t>
        </is>
      </c>
      <c r="C478" s="8" t="inlineStr">
        <is>
          <t>1ขวด</t>
        </is>
      </c>
      <c r="D478" s="9" t="n">
        <v>990</v>
      </c>
      <c r="H478" s="9" t="n">
        <v>990</v>
      </c>
      <c r="I478" s="10" t="inlineStr">
        <is>
          <t>ศรีสยาม</t>
        </is>
      </c>
      <c r="J478" s="161" t="n">
        <v>23732</v>
      </c>
      <c r="L478" s="8" t="n"/>
      <c r="M478" s="169" t="n"/>
    </row>
    <row r="479" ht="21" customHeight="1">
      <c r="L479" s="8" t="n"/>
      <c r="M479" s="169" t="n"/>
    </row>
    <row r="480" ht="21" customHeight="1">
      <c r="B480" s="6" t="inlineStr">
        <is>
          <t>ไพเมอร์กันสนิม Glass primer BOYOU 250 ml. -- ขวดสีเงิน</t>
        </is>
      </c>
      <c r="C480" s="8" t="inlineStr">
        <is>
          <t>1ขวด</t>
        </is>
      </c>
      <c r="D480" s="9" t="n">
        <v>420</v>
      </c>
      <c r="H480" s="9" t="n">
        <v>420</v>
      </c>
      <c r="I480" s="10" t="inlineStr">
        <is>
          <t>ศรีสยาม</t>
        </is>
      </c>
      <c r="J480" s="161" t="n">
        <v>23955</v>
      </c>
      <c r="L480" s="8" t="n"/>
      <c r="M480" s="169" t="n"/>
    </row>
    <row r="481" ht="21" customHeight="1">
      <c r="B481" s="6" t="inlineStr">
        <is>
          <t>ไพเมอร์กันสนิม Glass primer BOYOU 250 ml. -- ขวดสีเงิน</t>
        </is>
      </c>
      <c r="C481" s="8" t="inlineStr">
        <is>
          <t>1ขวด</t>
        </is>
      </c>
      <c r="D481" s="9" t="n">
        <v>420</v>
      </c>
      <c r="H481" s="9" t="n">
        <v>420</v>
      </c>
      <c r="I481" s="10" t="inlineStr">
        <is>
          <t>ศรีสยาม</t>
        </is>
      </c>
      <c r="J481" s="161" t="n">
        <v>23993</v>
      </c>
      <c r="L481" s="8" t="n"/>
      <c r="M481" s="169" t="n"/>
    </row>
    <row r="482" ht="21" customHeight="1">
      <c r="B482" s="6" t="inlineStr">
        <is>
          <t>ไพเมอร์กันสนิม Glass primer BOYOU 250 ml. -- ขวดสีเงิน</t>
        </is>
      </c>
      <c r="C482" s="8" t="inlineStr">
        <is>
          <t>1ขวด</t>
        </is>
      </c>
      <c r="D482" s="9" t="n">
        <v>420</v>
      </c>
      <c r="H482" s="9" t="n">
        <v>420</v>
      </c>
      <c r="I482" s="10" t="inlineStr">
        <is>
          <t>ศรีสยาม</t>
        </is>
      </c>
      <c r="J482" s="161" t="n">
        <v>24084</v>
      </c>
      <c r="L482" s="8" t="n"/>
      <c r="M482" s="169" t="n"/>
    </row>
    <row r="483" ht="21" customHeight="1">
      <c r="B483" s="6" t="inlineStr">
        <is>
          <t>ไพเมอร์กันสนิม Glass primer BOYOU 250 ml. -- ขวดสีเงิน</t>
        </is>
      </c>
      <c r="C483" s="8" t="inlineStr">
        <is>
          <t>1ขวด</t>
        </is>
      </c>
      <c r="D483" s="9" t="n">
        <v>420</v>
      </c>
      <c r="H483" s="9" t="n">
        <v>420</v>
      </c>
      <c r="I483" s="10" t="inlineStr">
        <is>
          <t>ศรีสยาม</t>
        </is>
      </c>
      <c r="J483" s="161" t="n">
        <v>24159</v>
      </c>
      <c r="L483" s="8" t="n"/>
      <c r="M483" s="169" t="n"/>
    </row>
    <row r="484" ht="21" customHeight="1">
      <c r="B484" s="6" t="inlineStr">
        <is>
          <t>ไพเมอร์กันสนิม Glass primer BOYOU 250 ml. -- ขวดสีเงิน</t>
        </is>
      </c>
      <c r="C484" s="8" t="inlineStr">
        <is>
          <t>1ขวด</t>
        </is>
      </c>
      <c r="D484" s="9" t="n">
        <v>420</v>
      </c>
      <c r="H484" s="9" t="n">
        <v>420</v>
      </c>
      <c r="I484" s="10" t="inlineStr">
        <is>
          <t>ศรีสยาม</t>
        </is>
      </c>
      <c r="J484" s="161" t="n">
        <v>24300</v>
      </c>
      <c r="L484" s="8" t="n"/>
      <c r="M484" s="169" t="n"/>
    </row>
    <row r="485" ht="21" customHeight="1">
      <c r="B485" s="6" t="inlineStr">
        <is>
          <t>ไพเมอร์กันสนิม Glass primer BOYOU 250 ml. -- ขวดสีเงิน</t>
        </is>
      </c>
      <c r="C485" s="8" t="inlineStr">
        <is>
          <t>1ขวด</t>
        </is>
      </c>
      <c r="D485" s="9" t="n">
        <v>420</v>
      </c>
      <c r="H485" s="9" t="n">
        <v>420</v>
      </c>
      <c r="I485" s="10" t="inlineStr">
        <is>
          <t>ศรีสยาม</t>
        </is>
      </c>
      <c r="J485" s="161" t="n">
        <v>24315</v>
      </c>
      <c r="L485" s="8" t="n"/>
      <c r="M485" s="169" t="n"/>
    </row>
    <row r="486" ht="21" customHeight="1">
      <c r="L486" s="8" t="n"/>
      <c r="M486" s="169" t="n"/>
    </row>
    <row r="487" ht="21" customHeight="1">
      <c r="B487" s="6" t="inlineStr">
        <is>
          <t xml:space="preserve">ไพเมอร์กันสนิม Glass primer Protite SUNSTAR 250 ml. -- ขวดสีเงิน </t>
        </is>
      </c>
      <c r="C487" s="8" t="inlineStr">
        <is>
          <t>1ขวด</t>
        </is>
      </c>
      <c r="D487" s="9" t="n">
        <v>550</v>
      </c>
      <c r="H487" s="9" t="n">
        <v>550</v>
      </c>
      <c r="I487" s="10" t="inlineStr">
        <is>
          <t>ศรีสยาม</t>
        </is>
      </c>
      <c r="J487" s="161" t="n">
        <v>24529</v>
      </c>
      <c r="L487" s="8" t="n"/>
      <c r="M487" s="169" t="n"/>
    </row>
    <row r="488" ht="21" customHeight="1">
      <c r="B488" s="6" t="inlineStr">
        <is>
          <t xml:space="preserve">ไพเมอร์กันสนิม Glass primer Protite SUNSTAR 250 ml. -- ขวดสีเงิน </t>
        </is>
      </c>
      <c r="C488" s="8" t="inlineStr">
        <is>
          <t>1ขวด</t>
        </is>
      </c>
      <c r="D488" s="9" t="n">
        <v>550</v>
      </c>
      <c r="H488" s="9" t="n">
        <v>550</v>
      </c>
      <c r="I488" s="10" t="inlineStr">
        <is>
          <t>ศรีสยาม</t>
        </is>
      </c>
      <c r="J488" s="161" t="inlineStr">
        <is>
          <t>29/2/67</t>
        </is>
      </c>
      <c r="L488" s="8" t="n"/>
      <c r="M488" s="169" t="n"/>
    </row>
    <row r="489" ht="21" customHeight="1">
      <c r="L489" s="103" t="n"/>
      <c r="M489" s="104" t="n"/>
    </row>
    <row r="490" ht="21" customHeight="1">
      <c r="B490" s="6" t="inlineStr">
        <is>
          <t>ไพเมอร์กันสนิม YOKO -- ขวดแก้ว</t>
        </is>
      </c>
      <c r="C490" s="8" t="n">
        <v>1</v>
      </c>
      <c r="D490" s="9" t="n">
        <v>480</v>
      </c>
      <c r="H490" s="9">
        <f>SUM(D490*C490)</f>
        <v/>
      </c>
      <c r="I490" s="10" t="inlineStr">
        <is>
          <t>ศรีสยาม</t>
        </is>
      </c>
      <c r="J490" s="161" t="n">
        <v>24871</v>
      </c>
      <c r="L490" s="18" t="inlineStr">
        <is>
          <t>ราคารวม VAT แล้ว</t>
        </is>
      </c>
      <c r="M490" s="169" t="n"/>
    </row>
    <row r="491" ht="21" customHeight="1">
      <c r="B491" s="6" t="inlineStr">
        <is>
          <t>ไพเมอร์กันสนิม YOKO -- ขวดแก้ว</t>
        </is>
      </c>
      <c r="C491" s="8" t="n">
        <v>1</v>
      </c>
      <c r="D491" s="9" t="n">
        <v>480</v>
      </c>
      <c r="H491" s="9">
        <f>SUM(D491*C491)</f>
        <v/>
      </c>
      <c r="I491" s="10" t="inlineStr">
        <is>
          <t>ศรีสยาม</t>
        </is>
      </c>
      <c r="J491" s="161" t="n">
        <v>24952</v>
      </c>
      <c r="L491" s="18" t="inlineStr">
        <is>
          <t>ราคารวม VAT แล้ว</t>
        </is>
      </c>
      <c r="M491" s="169" t="n"/>
    </row>
    <row r="492" ht="21" customHeight="1">
      <c r="B492" s="6" t="inlineStr">
        <is>
          <t>ไพเมอร์กันสนิม YOKO -- ขวดแก้ว</t>
        </is>
      </c>
      <c r="C492" s="8" t="n">
        <v>1</v>
      </c>
      <c r="D492" s="9" t="n">
        <v>480</v>
      </c>
      <c r="H492" s="9">
        <f>SUM(D492*C492)</f>
        <v/>
      </c>
      <c r="I492" s="10" t="inlineStr">
        <is>
          <t>ศรีสยาม</t>
        </is>
      </c>
      <c r="J492" s="161" t="n">
        <v>25027</v>
      </c>
      <c r="L492" s="18" t="inlineStr">
        <is>
          <t>ราคารวม VAT แล้ว</t>
        </is>
      </c>
      <c r="M492" s="169" t="n"/>
    </row>
    <row r="493" ht="21" customHeight="1">
      <c r="B493" s="6" t="inlineStr">
        <is>
          <t>ไพเมอร์กันสนิม YOKO -- ขวดแก้ว</t>
        </is>
      </c>
      <c r="C493" s="8" t="n">
        <v>1</v>
      </c>
      <c r="D493" s="9" t="n">
        <v>448.6</v>
      </c>
      <c r="E493" s="9">
        <f>SUM(C493*D493)</f>
        <v/>
      </c>
      <c r="H493" s="9">
        <f>SUM(E493*107/100)</f>
        <v/>
      </c>
      <c r="I493" s="10" t="inlineStr">
        <is>
          <t>ศรีสยาม</t>
        </is>
      </c>
      <c r="J493" s="161" t="n">
        <v>25111</v>
      </c>
      <c r="L493" s="18" t="n"/>
      <c r="M493" s="169" t="n"/>
    </row>
    <row r="494" ht="21" customHeight="1">
      <c r="B494" s="6" t="inlineStr">
        <is>
          <t>ไพเมอร์กันสนิม YOKO -- ขวดแก้ว</t>
        </is>
      </c>
      <c r="C494" s="8" t="n">
        <v>1</v>
      </c>
      <c r="D494" s="9" t="n">
        <v>448.6</v>
      </c>
      <c r="E494" s="9">
        <f>SUM(C494*D494)</f>
        <v/>
      </c>
      <c r="H494" s="9">
        <f>SUM(E494*107/100)</f>
        <v/>
      </c>
      <c r="I494" s="10" t="inlineStr">
        <is>
          <t>ศรีสยาม</t>
        </is>
      </c>
      <c r="J494" s="161" t="n">
        <v>25168</v>
      </c>
      <c r="L494" s="18" t="n"/>
      <c r="M494" s="169" t="n"/>
    </row>
    <row r="495" ht="21" customHeight="1">
      <c r="B495" s="6" t="inlineStr">
        <is>
          <t>ไพเมอร์กันสนิม YOKO -- ขวดแก้ว</t>
        </is>
      </c>
      <c r="C495" s="8" t="n">
        <v>1</v>
      </c>
      <c r="D495" s="9" t="n">
        <v>448.6</v>
      </c>
      <c r="E495" s="9">
        <f>SUM(C495*D495)</f>
        <v/>
      </c>
      <c r="H495" s="9">
        <f>SUM(E495*107/100)</f>
        <v/>
      </c>
      <c r="I495" s="10" t="inlineStr">
        <is>
          <t>ศรีสยาม</t>
        </is>
      </c>
      <c r="J495" s="161" t="n">
        <v>25264</v>
      </c>
      <c r="L495" s="18" t="n"/>
      <c r="M495" s="169" t="n"/>
    </row>
    <row r="496" ht="21" customHeight="1">
      <c r="L496" s="8" t="n"/>
      <c r="M496" s="169" t="n"/>
    </row>
    <row r="497" ht="21" customHeight="1">
      <c r="A497" s="11" t="inlineStr">
        <is>
          <t>กาววางกระจก</t>
        </is>
      </c>
      <c r="B497" s="6" t="inlineStr">
        <is>
          <t>กาววางกระจก SIKA 255  (210*40อัน)</t>
        </is>
      </c>
      <c r="C497" s="8" t="inlineStr">
        <is>
          <t>40หลอด</t>
        </is>
      </c>
      <c r="D497" s="9" t="n">
        <v>210</v>
      </c>
      <c r="H497" s="9" t="n">
        <v>8400</v>
      </c>
      <c r="I497" s="10" t="inlineStr">
        <is>
          <t>ดา แฟนพี่นกวิริยะ</t>
        </is>
      </c>
      <c r="J497" s="161" t="n">
        <v>23036</v>
      </c>
      <c r="L497" s="8" t="n"/>
      <c r="M497" s="169" t="n"/>
    </row>
    <row r="498" ht="21" customHeight="1">
      <c r="B498" s="6" t="inlineStr">
        <is>
          <t>กาววางกระจก SIKA 255  (210*40อัน)</t>
        </is>
      </c>
      <c r="C498" s="8" t="inlineStr">
        <is>
          <t>40หลอด</t>
        </is>
      </c>
      <c r="D498" s="9" t="n">
        <v>210</v>
      </c>
      <c r="H498" s="9" t="n">
        <v>8400</v>
      </c>
      <c r="I498" s="10" t="inlineStr">
        <is>
          <t>ดา แฟนพี่นกวิริยะ</t>
        </is>
      </c>
      <c r="J498" s="161" t="n">
        <v>23109</v>
      </c>
      <c r="L498" s="8" t="n"/>
      <c r="M498" s="169" t="n"/>
    </row>
    <row r="499" ht="21" customHeight="1">
      <c r="L499" s="8" t="n"/>
      <c r="M499" s="169" t="n"/>
    </row>
    <row r="500" ht="21" customHeight="1">
      <c r="B500" s="6" t="inlineStr">
        <is>
          <t>กาววางกระจกพร้อมน้ำยาไพเมอร์ โตโยต้า -- (1ชุดมี2หลอด+น้ำยาไพเมอร์2ขวด)</t>
        </is>
      </c>
      <c r="C500" s="8" t="n">
        <v>1</v>
      </c>
      <c r="D500" s="9" t="n">
        <v>80</v>
      </c>
      <c r="H500" s="9">
        <f>SUM(D500*C500)</f>
        <v/>
      </c>
      <c r="I500" s="10" t="inlineStr">
        <is>
          <t>เบียร์ลูกพี่หนุ่ม</t>
        </is>
      </c>
      <c r="J500" s="161" t="n">
        <v>24561</v>
      </c>
      <c r="L500" s="18" t="inlineStr">
        <is>
          <t>ไม่มี VAT</t>
        </is>
      </c>
    </row>
    <row r="501" ht="21" customHeight="1">
      <c r="A501" s="45" t="inlineStr">
        <is>
          <t xml:space="preserve"> ** แถม1กล่อง</t>
        </is>
      </c>
      <c r="B501" s="6" t="inlineStr">
        <is>
          <t>กาววางกระจกพร้อมน้ำยาไพเมอร์ โตโยต้า -- (1ชุดมี2หลอด+น้ำยาไพเมอร์2ขวด)</t>
        </is>
      </c>
      <c r="C501" s="8" t="n">
        <v>20</v>
      </c>
      <c r="D501" s="9" t="n">
        <v>80</v>
      </c>
      <c r="H501" s="9">
        <f>SUM(D501*C501)</f>
        <v/>
      </c>
      <c r="I501" s="10" t="inlineStr">
        <is>
          <t>เบียร์ลูกพี่หนุ่ม</t>
        </is>
      </c>
      <c r="J501" s="161" t="n">
        <v>24600</v>
      </c>
      <c r="L501" s="18" t="inlineStr">
        <is>
          <t>ไม่มี VAT</t>
        </is>
      </c>
    </row>
    <row r="502" ht="21" customHeight="1">
      <c r="A502" s="45" t="n"/>
      <c r="B502" s="6" t="inlineStr">
        <is>
          <t>กาววางกระจกพร้อมน้ำยาไพเมอร์ โตโยต้า -- (1ชุดมี2หลอด+น้ำยาไพเมอร์2ขวด)</t>
        </is>
      </c>
      <c r="C502" s="8" t="n">
        <v>21</v>
      </c>
      <c r="D502" s="9" t="n">
        <v>80</v>
      </c>
      <c r="H502" s="9">
        <f>SUM(D502*C502)</f>
        <v/>
      </c>
      <c r="I502" s="10" t="inlineStr">
        <is>
          <t>เบียร์ลูกพี่หนุ่ม</t>
        </is>
      </c>
      <c r="J502" s="161" t="n">
        <v>24630</v>
      </c>
      <c r="L502" s="18" t="inlineStr">
        <is>
          <t>ไม่มี VAT</t>
        </is>
      </c>
    </row>
    <row r="503" ht="21" customHeight="1">
      <c r="A503" s="45" t="n"/>
      <c r="B503" s="6" t="inlineStr">
        <is>
          <t>กาววางกระจกพร้อมน้ำยาไพเมอร์ โตโยต้า -- (1ชุดมี2หลอด+น้ำยาไพเมอร์2ขวด)</t>
        </is>
      </c>
      <c r="C503" s="8" t="n">
        <v>20</v>
      </c>
      <c r="D503" s="9" t="n">
        <v>90</v>
      </c>
      <c r="H503" s="9">
        <f>SUM(D503*C503)</f>
        <v/>
      </c>
      <c r="I503" s="10" t="inlineStr">
        <is>
          <t>เบียร์ลูกพี่หนุ่ม</t>
        </is>
      </c>
      <c r="J503" s="161" t="n">
        <v>24697</v>
      </c>
      <c r="L503" s="18" t="inlineStr">
        <is>
          <t>ไม่มี VAT</t>
        </is>
      </c>
    </row>
    <row r="505" ht="21" customHeight="1">
      <c r="B505" s="6" t="inlineStr">
        <is>
          <t>กาววางกระจก Protite (120*20หลอด) -- 1ลัง</t>
        </is>
      </c>
      <c r="C505" s="8" t="inlineStr">
        <is>
          <t>20หลอด</t>
        </is>
      </c>
      <c r="D505" s="9" t="n">
        <v>120</v>
      </c>
      <c r="H505" s="9" t="n">
        <v>2400</v>
      </c>
      <c r="I505" s="10" t="inlineStr">
        <is>
          <t>ศรีสยาม</t>
        </is>
      </c>
      <c r="J505" s="161" t="n">
        <v>23422</v>
      </c>
    </row>
    <row r="506" ht="21" customHeight="1">
      <c r="B506" s="6" t="inlineStr">
        <is>
          <t>กาววางกระจก Protite (120*20หลอด) -- 1ลัง</t>
        </is>
      </c>
      <c r="C506" s="8" t="inlineStr">
        <is>
          <t>20หลอด</t>
        </is>
      </c>
      <c r="D506" s="9" t="n">
        <v>120</v>
      </c>
      <c r="H506" s="9" t="n">
        <v>2400</v>
      </c>
      <c r="I506" s="10" t="inlineStr">
        <is>
          <t>ศรีสยาม</t>
        </is>
      </c>
      <c r="J506" s="161" t="n">
        <v>23448</v>
      </c>
    </row>
    <row r="507" ht="21" customHeight="1">
      <c r="B507" s="6" t="inlineStr">
        <is>
          <t>กาววางกระจก Protite (120*20หลอด) -- 1ลัง</t>
        </is>
      </c>
      <c r="C507" s="8" t="inlineStr">
        <is>
          <t>20หลอด</t>
        </is>
      </c>
      <c r="D507" s="9" t="n">
        <v>120</v>
      </c>
      <c r="H507" s="9" t="n">
        <v>2400</v>
      </c>
      <c r="I507" s="10" t="inlineStr">
        <is>
          <t>ศรีสยาม</t>
        </is>
      </c>
      <c r="J507" s="161" t="n">
        <v>23528</v>
      </c>
    </row>
    <row r="508" ht="21" customHeight="1">
      <c r="B508" s="6" t="inlineStr">
        <is>
          <t>กาววางกระจก Protite (120*20หลอด) -- 1ลัง</t>
        </is>
      </c>
      <c r="C508" s="8" t="inlineStr">
        <is>
          <t>20หลอด</t>
        </is>
      </c>
      <c r="D508" s="9" t="n">
        <v>120</v>
      </c>
      <c r="H508" s="9" t="n">
        <v>2400</v>
      </c>
      <c r="I508" s="10" t="inlineStr">
        <is>
          <t>ศรีสยาม</t>
        </is>
      </c>
      <c r="J508" s="161" t="n">
        <v>23543</v>
      </c>
    </row>
    <row r="509" ht="21" customHeight="1">
      <c r="B509" s="6" t="inlineStr">
        <is>
          <t>กาววางกระจก Protite (120*20หลอด) -- 1ลัง</t>
        </is>
      </c>
      <c r="C509" s="8" t="inlineStr">
        <is>
          <t>20หลอด</t>
        </is>
      </c>
      <c r="D509" s="9" t="n">
        <v>120</v>
      </c>
      <c r="H509" s="9" t="n">
        <v>2400</v>
      </c>
      <c r="I509" s="10" t="inlineStr">
        <is>
          <t>ศรีสยาม</t>
        </is>
      </c>
      <c r="J509" s="161" t="n">
        <v>23565</v>
      </c>
    </row>
    <row r="510" ht="21" customHeight="1">
      <c r="B510" s="6" t="inlineStr">
        <is>
          <t>กาววางกระจก Protite (120*20หลอด) -- 1ลัง</t>
        </is>
      </c>
      <c r="C510" s="8" t="inlineStr">
        <is>
          <t>20หลอด</t>
        </is>
      </c>
      <c r="D510" s="9" t="n">
        <v>120</v>
      </c>
      <c r="H510" s="9" t="n">
        <v>2400</v>
      </c>
      <c r="I510" s="10" t="inlineStr">
        <is>
          <t>ศรีสยาม</t>
        </is>
      </c>
      <c r="J510" s="161" t="n">
        <v>23584</v>
      </c>
    </row>
    <row r="511" ht="21" customHeight="1">
      <c r="B511" s="6" t="inlineStr">
        <is>
          <t>กาววางกระจก Protite (120*20หลอด) -- 1ลัง</t>
        </is>
      </c>
      <c r="C511" s="8" t="inlineStr">
        <is>
          <t>20หลอด</t>
        </is>
      </c>
      <c r="D511" s="9" t="n">
        <v>120</v>
      </c>
      <c r="H511" s="9" t="n">
        <v>2400</v>
      </c>
      <c r="I511" s="10" t="inlineStr">
        <is>
          <t>ศรีสยาม</t>
        </is>
      </c>
      <c r="J511" s="161" t="n">
        <v>23619</v>
      </c>
    </row>
    <row r="512" ht="21" customHeight="1">
      <c r="B512" s="6" t="inlineStr">
        <is>
          <t>กาววางกระจก Protite (120*20หลอด) -- 1ลัง</t>
        </is>
      </c>
      <c r="C512" s="8" t="inlineStr">
        <is>
          <t>20หลอด</t>
        </is>
      </c>
      <c r="D512" s="9" t="n">
        <v>120</v>
      </c>
      <c r="H512" s="9" t="n">
        <v>2400</v>
      </c>
      <c r="I512" s="10" t="inlineStr">
        <is>
          <t>ศรีสยาม</t>
        </is>
      </c>
      <c r="J512" s="161" t="n">
        <v>23641</v>
      </c>
    </row>
    <row r="513" ht="21" customHeight="1">
      <c r="B513" s="6" t="inlineStr">
        <is>
          <t>กาววางกระจก Protite (120*20หลอด) -- 1ลัง</t>
        </is>
      </c>
      <c r="C513" s="8" t="inlineStr">
        <is>
          <t>20หลอด</t>
        </is>
      </c>
      <c r="D513" s="9" t="n">
        <v>120</v>
      </c>
      <c r="H513" s="9" t="n">
        <v>2400</v>
      </c>
      <c r="I513" s="10" t="inlineStr">
        <is>
          <t>ศรีสยาม</t>
        </is>
      </c>
      <c r="J513" s="161" t="n">
        <v>23692</v>
      </c>
    </row>
    <row r="514" ht="21" customHeight="1">
      <c r="B514" s="6" t="inlineStr">
        <is>
          <t>กาววางกระจก Protite (120*20หลอด) -- 1ลัง</t>
        </is>
      </c>
      <c r="C514" s="8" t="inlineStr">
        <is>
          <t>20หลอด</t>
        </is>
      </c>
      <c r="D514" s="9" t="n">
        <v>120</v>
      </c>
      <c r="H514" s="9" t="n">
        <v>2400</v>
      </c>
      <c r="I514" s="10" t="inlineStr">
        <is>
          <t>ศรีสยาม</t>
        </is>
      </c>
      <c r="J514" s="161" t="n">
        <v>23755</v>
      </c>
    </row>
    <row r="515" ht="21" customHeight="1">
      <c r="B515" s="6" t="inlineStr">
        <is>
          <t>กาววางกระจก Protite (120*20หลอด) -- 1ลัง</t>
        </is>
      </c>
      <c r="C515" s="8" t="inlineStr">
        <is>
          <t>20หลอด</t>
        </is>
      </c>
      <c r="D515" s="9" t="n">
        <v>120</v>
      </c>
      <c r="H515" s="9" t="n">
        <v>2400</v>
      </c>
      <c r="I515" s="10" t="inlineStr">
        <is>
          <t>ศรีสยาม</t>
        </is>
      </c>
      <c r="J515" s="161" t="n">
        <v>23812</v>
      </c>
    </row>
    <row r="516" ht="21" customHeight="1">
      <c r="B516" s="6" t="inlineStr">
        <is>
          <t>กาววางกระจก Protite (120*20หลอด) -- 1ลัง</t>
        </is>
      </c>
      <c r="C516" s="8" t="inlineStr">
        <is>
          <t>20หลอด</t>
        </is>
      </c>
      <c r="D516" s="9" t="n">
        <v>120</v>
      </c>
      <c r="H516" s="9" t="n">
        <v>2400</v>
      </c>
      <c r="I516" s="10" t="inlineStr">
        <is>
          <t>ศรีสยาม</t>
        </is>
      </c>
      <c r="J516" s="161" t="n">
        <v>23862</v>
      </c>
    </row>
    <row r="517" ht="21" customHeight="1">
      <c r="B517" s="6" t="inlineStr">
        <is>
          <t>กาววางกระจก Protite (120*20หลอด) -- 1ลัง</t>
        </is>
      </c>
      <c r="C517" s="8" t="inlineStr">
        <is>
          <t>20หลอด</t>
        </is>
      </c>
      <c r="D517" s="9" t="n">
        <v>120</v>
      </c>
      <c r="H517" s="9" t="n">
        <v>2400</v>
      </c>
      <c r="I517" s="10" t="inlineStr">
        <is>
          <t>ศรีสยาม</t>
        </is>
      </c>
      <c r="J517" s="161" t="n">
        <v>23917</v>
      </c>
    </row>
    <row r="518" ht="21" customHeight="1">
      <c r="B518" s="6" t="inlineStr">
        <is>
          <t>กาววางกระจก Protite (120*20หลอด) -- 1ลัง</t>
        </is>
      </c>
      <c r="C518" s="8" t="inlineStr">
        <is>
          <t>20หลอด</t>
        </is>
      </c>
      <c r="D518" s="9" t="n">
        <v>120</v>
      </c>
      <c r="H518" s="9" t="n">
        <v>2400</v>
      </c>
      <c r="I518" s="10" t="inlineStr">
        <is>
          <t>ศรีสยาม</t>
        </is>
      </c>
      <c r="J518" s="161" t="n">
        <v>23964</v>
      </c>
    </row>
    <row r="519" ht="21" customHeight="1">
      <c r="B519" s="6" t="inlineStr">
        <is>
          <t>กาววางกระจก Protite (120*20หลอด) -- 1ลัง</t>
        </is>
      </c>
      <c r="C519" s="8" t="inlineStr">
        <is>
          <t>20หลอด</t>
        </is>
      </c>
      <c r="D519" s="9" t="n">
        <v>120</v>
      </c>
      <c r="H519" s="9" t="n">
        <v>2400</v>
      </c>
      <c r="I519" s="10" t="inlineStr">
        <is>
          <t>ศรีสยาม</t>
        </is>
      </c>
      <c r="J519" s="161" t="n">
        <v>23993</v>
      </c>
    </row>
    <row r="520" ht="21" customHeight="1">
      <c r="B520" s="6" t="inlineStr">
        <is>
          <t>กาววางกระจก Protite (120*20หลอด) -- 1ลัง</t>
        </is>
      </c>
      <c r="C520" s="8" t="inlineStr">
        <is>
          <t>20หลอด</t>
        </is>
      </c>
      <c r="D520" s="9" t="n">
        <v>120</v>
      </c>
      <c r="H520" s="9" t="n">
        <v>2400</v>
      </c>
      <c r="I520" s="10" t="inlineStr">
        <is>
          <t>ศรีสยาม</t>
        </is>
      </c>
      <c r="J520" s="161" t="n">
        <v>24025</v>
      </c>
    </row>
    <row r="521" ht="21" customHeight="1">
      <c r="B521" s="6" t="inlineStr">
        <is>
          <t>กาววางกระจก Protite (120*20หลอด) -- 1ลัง</t>
        </is>
      </c>
      <c r="C521" s="8" t="inlineStr">
        <is>
          <t>20หลอด</t>
        </is>
      </c>
      <c r="D521" s="9" t="n">
        <v>120</v>
      </c>
      <c r="H521" s="9" t="n">
        <v>2400</v>
      </c>
      <c r="I521" s="10" t="inlineStr">
        <is>
          <t>ศรีสยาม</t>
        </is>
      </c>
      <c r="J521" s="161" t="n">
        <v>24062</v>
      </c>
    </row>
    <row r="522" ht="21" customHeight="1">
      <c r="B522" s="6" t="inlineStr">
        <is>
          <t>กาววางกระจก Protite (120*20หลอด) -- 1ลัง</t>
        </is>
      </c>
      <c r="C522" s="8" t="inlineStr">
        <is>
          <t>20หลอด</t>
        </is>
      </c>
      <c r="D522" s="9" t="n">
        <v>120</v>
      </c>
      <c r="H522" s="9" t="n">
        <v>2400</v>
      </c>
      <c r="I522" s="10" t="inlineStr">
        <is>
          <t>ศรีสยาม</t>
        </is>
      </c>
      <c r="J522" s="161" t="n">
        <v>24097</v>
      </c>
    </row>
    <row r="523" ht="21" customHeight="1">
      <c r="B523" s="6" t="inlineStr">
        <is>
          <t>กาววางกระจก Protite (120*20หลอด) -- 1ลัง</t>
        </is>
      </c>
      <c r="C523" s="8" t="inlineStr">
        <is>
          <t>20หลอด</t>
        </is>
      </c>
      <c r="D523" s="9" t="n">
        <v>120</v>
      </c>
      <c r="H523" s="9" t="n">
        <v>2400</v>
      </c>
      <c r="I523" s="10" t="inlineStr">
        <is>
          <t>ศรีสยาม</t>
        </is>
      </c>
      <c r="J523" s="161" t="n">
        <v>24132</v>
      </c>
    </row>
    <row r="524" ht="21" customHeight="1">
      <c r="B524" s="6" t="inlineStr">
        <is>
          <t>กาววางกระจก Protite (120*20หลอด) -- 1ลัง</t>
        </is>
      </c>
      <c r="C524" s="8" t="inlineStr">
        <is>
          <t>20หลอด</t>
        </is>
      </c>
      <c r="D524" s="9" t="n">
        <v>120</v>
      </c>
      <c r="H524" s="9" t="n">
        <v>2400</v>
      </c>
      <c r="I524" s="10" t="inlineStr">
        <is>
          <t>ศรีสยาม</t>
        </is>
      </c>
      <c r="J524" s="161" t="n">
        <v>24180</v>
      </c>
    </row>
    <row r="525" ht="21" customHeight="1">
      <c r="B525" s="6" t="inlineStr">
        <is>
          <t>กาววางกระจก Protite (120*20หลอด) -- 1ลัง</t>
        </is>
      </c>
      <c r="C525" s="8" t="inlineStr">
        <is>
          <t>20หลอด</t>
        </is>
      </c>
      <c r="D525" s="9" t="n">
        <v>120</v>
      </c>
      <c r="H525" s="9" t="n">
        <v>2400</v>
      </c>
      <c r="I525" s="10" t="inlineStr">
        <is>
          <t>ศรีสยาม</t>
        </is>
      </c>
      <c r="J525" s="161" t="n">
        <v>24244</v>
      </c>
    </row>
    <row r="526" ht="21" customHeight="1">
      <c r="B526" s="6" t="inlineStr">
        <is>
          <t>กาววางกระจก Protite -- คืน</t>
        </is>
      </c>
      <c r="C526" s="8" t="inlineStr">
        <is>
          <t>9หลอด</t>
        </is>
      </c>
      <c r="D526" s="9" t="n">
        <v>150</v>
      </c>
      <c r="H526" s="9" t="n">
        <v>1350</v>
      </c>
      <c r="I526" s="10" t="inlineStr">
        <is>
          <t>ศรีสยาม</t>
        </is>
      </c>
      <c r="J526" s="161" t="n">
        <v>24264</v>
      </c>
    </row>
    <row r="527" ht="21" customHeight="1">
      <c r="B527" s="6" t="inlineStr">
        <is>
          <t>กาววางกระจก Protite (120*20หลอด) -- 1ลัง (ราคาต่อลัง)</t>
        </is>
      </c>
      <c r="C527" s="8" t="inlineStr">
        <is>
          <t>20หลอด</t>
        </is>
      </c>
      <c r="D527" s="9" t="n">
        <v>122.5</v>
      </c>
      <c r="H527" s="9" t="n">
        <v>2450</v>
      </c>
      <c r="I527" s="10" t="inlineStr">
        <is>
          <t>จิตต์อะไหล่</t>
        </is>
      </c>
      <c r="J527" s="161" t="n">
        <v>24266</v>
      </c>
    </row>
    <row r="528" ht="21" customHeight="1">
      <c r="B528" s="6" t="inlineStr">
        <is>
          <t>กาววางกระจก Protite (120*20หลอด) -- 1ลัง (ราคาต่อลัง)</t>
        </is>
      </c>
      <c r="C528" s="8" t="inlineStr">
        <is>
          <t>20หลอด</t>
        </is>
      </c>
      <c r="D528" s="9" t="n">
        <v>122.5</v>
      </c>
      <c r="H528" s="9" t="n">
        <v>2450</v>
      </c>
      <c r="I528" s="10" t="inlineStr">
        <is>
          <t>จิตต์อะไหล่</t>
        </is>
      </c>
      <c r="J528" s="161" t="n">
        <v>24298</v>
      </c>
    </row>
    <row r="529" ht="21" customHeight="1">
      <c r="B529" s="6" t="inlineStr">
        <is>
          <t>กาววางกระจก Protite (120*20หลอด) -- 1ลัง (ราคาต่อลัง)</t>
        </is>
      </c>
      <c r="C529" s="8" t="inlineStr">
        <is>
          <t>20หลอด</t>
        </is>
      </c>
      <c r="D529" s="9" t="n">
        <v>122.5</v>
      </c>
      <c r="H529" s="9" t="n">
        <v>2450</v>
      </c>
      <c r="I529" s="10" t="inlineStr">
        <is>
          <t>จิตต์อะไหล่</t>
        </is>
      </c>
      <c r="J529" s="161" t="n">
        <v>24315</v>
      </c>
    </row>
    <row r="530" ht="21" customHeight="1">
      <c r="B530" s="6" t="inlineStr">
        <is>
          <t>กาววางกระจก Protite (120*20หลอด) -- 1ลัง (ราคาต่อลัง)</t>
        </is>
      </c>
      <c r="C530" s="8" t="n">
        <v>20</v>
      </c>
      <c r="D530" s="9">
        <f>SUM(H530/C530)</f>
        <v/>
      </c>
      <c r="H530" s="9" t="n">
        <v>2400</v>
      </c>
      <c r="I530" s="10" t="inlineStr">
        <is>
          <t>ศรีสยาม</t>
        </is>
      </c>
      <c r="J530" s="161" t="n">
        <v>24342</v>
      </c>
    </row>
    <row r="531" ht="21" customHeight="1">
      <c r="B531" s="6" t="inlineStr">
        <is>
          <t>กาววางกระจก Protite (120*20หลอด) -- 1ลัง (ราคาต่อลัง)</t>
        </is>
      </c>
      <c r="C531" s="8" t="n">
        <v>20</v>
      </c>
      <c r="D531" s="9">
        <f>SUM(H531/C531)</f>
        <v/>
      </c>
      <c r="H531" s="9" t="n">
        <v>2400</v>
      </c>
      <c r="I531" s="10" t="inlineStr">
        <is>
          <t>ศรีสยาม</t>
        </is>
      </c>
      <c r="J531" s="161" t="n">
        <v>24385</v>
      </c>
    </row>
    <row r="532" ht="21" customHeight="1">
      <c r="B532" s="6" t="inlineStr">
        <is>
          <t>กาววางกระจก Protite (120*20หลอด) -- 1ลัง (ราคาต่อลัง)</t>
        </is>
      </c>
      <c r="C532" s="8" t="n">
        <v>20</v>
      </c>
      <c r="D532" s="9">
        <f>SUM(H532/C532)</f>
        <v/>
      </c>
      <c r="H532" s="9" t="n">
        <v>2400</v>
      </c>
      <c r="I532" s="10" t="inlineStr">
        <is>
          <t>ศรีสยาม</t>
        </is>
      </c>
      <c r="J532" s="161" t="n">
        <v>24418</v>
      </c>
    </row>
    <row r="533" ht="21" customHeight="1">
      <c r="B533" s="6" t="inlineStr">
        <is>
          <t>กาววางกระจก Protite (120*20หลอด) -- 1ลัง (ราคาต่อลัง)</t>
        </is>
      </c>
      <c r="C533" s="8" t="n">
        <v>20</v>
      </c>
      <c r="D533" s="9">
        <f>SUM(H533/C533)</f>
        <v/>
      </c>
      <c r="H533" s="9" t="n">
        <v>2400</v>
      </c>
      <c r="I533" s="10" t="inlineStr">
        <is>
          <t>ศรีสยาม</t>
        </is>
      </c>
      <c r="J533" s="161" t="n">
        <v>24452</v>
      </c>
    </row>
    <row r="534" ht="21" customHeight="1">
      <c r="B534" s="6" t="inlineStr">
        <is>
          <t>กาววางกระจก Protite (120*20หลอด) -- 1ลัง (ราคาต่อลัง)</t>
        </is>
      </c>
      <c r="C534" s="8" t="n">
        <v>20</v>
      </c>
      <c r="D534" s="9">
        <f>SUM(H534/C534)</f>
        <v/>
      </c>
      <c r="H534" s="9" t="n">
        <v>2400</v>
      </c>
      <c r="I534" s="10" t="inlineStr">
        <is>
          <t>ศรีสยาม</t>
        </is>
      </c>
      <c r="J534" s="161" t="n">
        <v>24497</v>
      </c>
    </row>
    <row r="535" ht="21" customHeight="1">
      <c r="B535" s="6" t="inlineStr">
        <is>
          <t>กาววางกระจก Protite (120*20หลอด) -- 1ลัง (ราคาต่อลัง)--คืน</t>
        </is>
      </c>
      <c r="C535" s="8" t="n">
        <v>20</v>
      </c>
      <c r="D535" s="9">
        <f>SUM(H535/C535)</f>
        <v/>
      </c>
      <c r="H535" s="9" t="n">
        <v>2400</v>
      </c>
      <c r="I535" s="10" t="inlineStr">
        <is>
          <t>ศรีสยาม</t>
        </is>
      </c>
      <c r="J535" s="161" t="n">
        <v>24530</v>
      </c>
      <c r="L535" s="18" t="inlineStr">
        <is>
          <t>ราคายังไม่รวม VAT</t>
        </is>
      </c>
    </row>
    <row r="536" ht="21" customHeight="1">
      <c r="B536" s="6" t="inlineStr">
        <is>
          <t>กาววางกระจก Protite (120*20หลอด) -- 1ลัง (ราคาต่อลัง)</t>
        </is>
      </c>
      <c r="C536" s="8" t="n">
        <v>20</v>
      </c>
      <c r="D536" s="9" t="n">
        <v>125</v>
      </c>
      <c r="H536" s="9" t="n">
        <v>2500</v>
      </c>
      <c r="I536" s="10" t="inlineStr">
        <is>
          <t>จิตต์อะไหล่</t>
        </is>
      </c>
      <c r="J536" s="161" t="n">
        <v>24531</v>
      </c>
      <c r="L536" s="18" t="inlineStr">
        <is>
          <t>ไม่มี VAT</t>
        </is>
      </c>
    </row>
    <row r="537" ht="21" customHeight="1">
      <c r="B537" s="6" t="inlineStr">
        <is>
          <t>กาววางกระจก Protite (120*20หลอด) -- 1ลัง (ราคาต่อลัง)</t>
        </is>
      </c>
      <c r="C537" s="8" t="n">
        <v>12</v>
      </c>
      <c r="D537" s="9" t="n">
        <v>120</v>
      </c>
      <c r="H537" s="9">
        <f>SUM(C537*D537)</f>
        <v/>
      </c>
      <c r="I537" s="10" t="inlineStr">
        <is>
          <t>ศรีสยาม</t>
        </is>
      </c>
      <c r="J537" s="161" t="n">
        <v>24697</v>
      </c>
      <c r="L537" s="18" t="inlineStr">
        <is>
          <t>ราคารวม VAT แล้ว</t>
        </is>
      </c>
    </row>
    <row r="538" ht="21" customHeight="1">
      <c r="B538" s="6" t="inlineStr">
        <is>
          <t>กาววางกระจก Protite (120*20หลอด) -- 1ลัง (ราคาต่อลัง)</t>
        </is>
      </c>
      <c r="C538" s="8" t="n">
        <v>20</v>
      </c>
      <c r="D538" s="9" t="n">
        <v>120</v>
      </c>
      <c r="H538" s="9">
        <f>SUM(C538*D538)</f>
        <v/>
      </c>
      <c r="I538" s="10" t="inlineStr">
        <is>
          <t>ศรีสยาม</t>
        </is>
      </c>
      <c r="J538" s="161" t="n">
        <v>24780</v>
      </c>
      <c r="L538" s="18" t="inlineStr">
        <is>
          <t>ราคารวม VAT แล้ว</t>
        </is>
      </c>
    </row>
    <row r="539" ht="21" customHeight="1">
      <c r="B539" s="6" t="inlineStr">
        <is>
          <t>กาววางกระจก Protite (120*20หลอด) -- 1ลัง (ราคาต่อลัง)</t>
        </is>
      </c>
      <c r="C539" s="8" t="n">
        <v>20</v>
      </c>
      <c r="D539" s="9" t="n">
        <v>120</v>
      </c>
      <c r="H539" s="9">
        <f>SUM(C539*D539)</f>
        <v/>
      </c>
      <c r="I539" s="10" t="inlineStr">
        <is>
          <t>ศรีสยาม</t>
        </is>
      </c>
      <c r="J539" s="161" t="n">
        <v>24802</v>
      </c>
      <c r="L539" s="18" t="inlineStr">
        <is>
          <t>ราคารวม VAT แล้ว</t>
        </is>
      </c>
    </row>
    <row r="540" ht="21" customHeight="1">
      <c r="B540" s="6" t="inlineStr">
        <is>
          <t>กาววางกระจก Protite (120*20หลอด) -- 1ลัง (ราคาต่อลัง)</t>
        </is>
      </c>
      <c r="C540" s="8" t="n">
        <v>20</v>
      </c>
      <c r="D540" s="9" t="n">
        <v>120</v>
      </c>
      <c r="H540" s="9">
        <f>SUM(C540*D540)</f>
        <v/>
      </c>
      <c r="I540" s="10" t="inlineStr">
        <is>
          <t>ศรีสยาม</t>
        </is>
      </c>
      <c r="J540" s="161" t="n">
        <v>24827</v>
      </c>
      <c r="L540" s="18" t="inlineStr">
        <is>
          <t>ราคารวม VAT แล้ว</t>
        </is>
      </c>
    </row>
    <row r="541" ht="21" customHeight="1">
      <c r="B541" s="6" t="inlineStr">
        <is>
          <t>กาววางกระจก Protite (120*20หลอด) -- 1ลัง (ราคาต่อลัง)</t>
        </is>
      </c>
      <c r="C541" s="8" t="n">
        <v>20</v>
      </c>
      <c r="D541" s="9" t="n">
        <v>120</v>
      </c>
      <c r="H541" s="9">
        <f>SUM(C541*D541)</f>
        <v/>
      </c>
      <c r="I541" s="10" t="inlineStr">
        <is>
          <t>ศรีสยาม</t>
        </is>
      </c>
      <c r="J541" s="161" t="n">
        <v>24873</v>
      </c>
      <c r="L541" s="18" t="inlineStr">
        <is>
          <t>ราคารวม VAT แล้ว</t>
        </is>
      </c>
    </row>
    <row r="542" ht="21" customHeight="1">
      <c r="B542" s="6" t="inlineStr">
        <is>
          <t>กาววางกระจก Protite (120*20หลอด) -- 1ลัง (ราคาต่อลัง)</t>
        </is>
      </c>
      <c r="C542" s="8" t="n">
        <v>20</v>
      </c>
      <c r="D542" s="9" t="n">
        <v>120</v>
      </c>
      <c r="H542" s="9">
        <f>SUM(C542*D542)</f>
        <v/>
      </c>
      <c r="I542" s="10" t="inlineStr">
        <is>
          <t>ศรีสยาม</t>
        </is>
      </c>
      <c r="J542" s="161" t="n">
        <v>24914</v>
      </c>
      <c r="L542" s="18" t="inlineStr">
        <is>
          <t>ราคารวม VAT แล้ว</t>
        </is>
      </c>
    </row>
    <row r="543" ht="21" customHeight="1">
      <c r="B543" s="6" t="inlineStr">
        <is>
          <t>กาววางกระจก Protite (120*20หลอด) -- 1ลัง (ราคาต่อลัง)</t>
        </is>
      </c>
      <c r="C543" s="8" t="n">
        <v>20</v>
      </c>
      <c r="D543" s="9" t="n">
        <v>120</v>
      </c>
      <c r="H543" s="9">
        <f>SUM(C543*D543)</f>
        <v/>
      </c>
      <c r="I543" s="10" t="inlineStr">
        <is>
          <t>ศรีสยาม</t>
        </is>
      </c>
      <c r="J543" s="161" t="n">
        <v>24954</v>
      </c>
      <c r="L543" s="18" t="inlineStr">
        <is>
          <t>ราคารวม VAT แล้ว</t>
        </is>
      </c>
    </row>
    <row r="544" ht="21" customHeight="1">
      <c r="B544" s="6" t="inlineStr">
        <is>
          <t>กาววางกระจก Protite (120*20หลอด) -- 1ลัง (ราคาต่อลัง)</t>
        </is>
      </c>
      <c r="C544" s="8" t="n">
        <v>20</v>
      </c>
      <c r="D544" s="9" t="n">
        <v>120</v>
      </c>
      <c r="H544" s="9">
        <f>SUM(C544*D544)</f>
        <v/>
      </c>
      <c r="I544" s="10" t="inlineStr">
        <is>
          <t>ศรีสยาม</t>
        </is>
      </c>
      <c r="J544" s="161" t="n">
        <v>24985</v>
      </c>
      <c r="L544" s="18" t="inlineStr">
        <is>
          <t>ราคารวม VAT แล้ว</t>
        </is>
      </c>
    </row>
    <row r="545" ht="21" customHeight="1">
      <c r="B545" s="6" t="inlineStr">
        <is>
          <t>กาววางกระจก Protite (120*20หลอด) -- 1ลัง (ราคาต่อลัง)</t>
        </is>
      </c>
      <c r="C545" s="8" t="n">
        <v>20</v>
      </c>
      <c r="D545" s="9" t="n">
        <v>120</v>
      </c>
      <c r="H545" s="9">
        <f>SUM(C545*D545)</f>
        <v/>
      </c>
      <c r="I545" s="10" t="inlineStr">
        <is>
          <t>ศรีสยาม</t>
        </is>
      </c>
      <c r="J545" s="161" t="n">
        <v>25029</v>
      </c>
      <c r="L545" s="18" t="inlineStr">
        <is>
          <t>ราคารวม VAT แล้ว</t>
        </is>
      </c>
    </row>
    <row r="546" ht="21" customHeight="1">
      <c r="B546" s="6" t="inlineStr">
        <is>
          <t>กาววางกระจก Protite (120*20หลอด) -- 1ลัง (ราคาต่อลัง)</t>
        </is>
      </c>
      <c r="C546" s="8" t="n">
        <v>20</v>
      </c>
      <c r="D546" s="9" t="n">
        <v>120</v>
      </c>
      <c r="H546" s="9">
        <f>SUM(C546*D546)</f>
        <v/>
      </c>
      <c r="I546" s="10" t="inlineStr">
        <is>
          <t>ศรีสยาม</t>
        </is>
      </c>
      <c r="J546" s="161" t="n">
        <v>25063</v>
      </c>
      <c r="L546" s="18" t="inlineStr">
        <is>
          <t>ราคารวม VAT แล้ว</t>
        </is>
      </c>
    </row>
    <row r="547" ht="21" customHeight="1">
      <c r="B547" s="6" t="inlineStr">
        <is>
          <t>กาววางกระจก Protite (120*20หลอด) -- 1ลัง (ราคาต่อลัง)</t>
        </is>
      </c>
      <c r="C547" s="8" t="n">
        <v>20</v>
      </c>
      <c r="D547" s="9" t="n">
        <v>120</v>
      </c>
      <c r="H547" s="9">
        <f>SUM(C547*D547)</f>
        <v/>
      </c>
      <c r="I547" s="10" t="inlineStr">
        <is>
          <t>ศรีสยาม</t>
        </is>
      </c>
      <c r="J547" s="161" t="n">
        <v>25100</v>
      </c>
      <c r="L547" s="18" t="inlineStr">
        <is>
          <t>ราคารวม VAT แล้ว</t>
        </is>
      </c>
    </row>
    <row r="548" ht="21" customHeight="1">
      <c r="B548" s="6" t="inlineStr">
        <is>
          <t>กาววางกระจก Protite (120*20หลอด) -- 1ลัง (ราคาต่อลัง)</t>
        </is>
      </c>
      <c r="C548" s="8" t="n">
        <v>20</v>
      </c>
      <c r="D548" s="9" t="n">
        <v>120</v>
      </c>
      <c r="H548" s="9">
        <f>SUM(C548*D548)</f>
        <v/>
      </c>
      <c r="I548" s="10" t="inlineStr">
        <is>
          <t>ศรีสยาม</t>
        </is>
      </c>
      <c r="J548" s="161" t="n">
        <v>25139</v>
      </c>
      <c r="L548" s="18" t="inlineStr">
        <is>
          <t>ราคารวม VAT แล้ว</t>
        </is>
      </c>
    </row>
    <row r="549" ht="21" customHeight="1">
      <c r="B549" s="6" t="inlineStr">
        <is>
          <t>กาววางกระจก Protite (120*20หลอด) -- 1ลัง (ราคาต่อลัง)</t>
        </is>
      </c>
      <c r="C549" s="8" t="n">
        <v>20</v>
      </c>
      <c r="D549" s="9" t="n">
        <v>120</v>
      </c>
      <c r="H549" s="9">
        <f>SUM(C549*D549)</f>
        <v/>
      </c>
      <c r="I549" s="10" t="inlineStr">
        <is>
          <t>ศรีสยาม</t>
        </is>
      </c>
      <c r="J549" s="161" t="n">
        <v>25168</v>
      </c>
      <c r="L549" s="18" t="inlineStr">
        <is>
          <t>ราคารวม VAT แล้ว</t>
        </is>
      </c>
    </row>
    <row r="550" ht="21" customHeight="1">
      <c r="B550" s="6" t="inlineStr">
        <is>
          <t>กาววางกระจก Protite (120*20หลอด) -- 1ลัง (ราคาต่อลัง)</t>
        </is>
      </c>
      <c r="C550" s="8" t="n">
        <v>20</v>
      </c>
      <c r="D550" s="9" t="n">
        <v>120</v>
      </c>
      <c r="H550" s="9">
        <f>SUM(C550*D550)</f>
        <v/>
      </c>
      <c r="I550" s="10" t="inlineStr">
        <is>
          <t>ศรีสยาม</t>
        </is>
      </c>
      <c r="J550" s="161" t="n">
        <v>25237</v>
      </c>
      <c r="L550" s="18" t="inlineStr">
        <is>
          <t>ราคารวม VAT แล้ว</t>
        </is>
      </c>
    </row>
    <row r="551" ht="21" customHeight="1">
      <c r="B551" s="6" t="inlineStr">
        <is>
          <t>กาววางกระจก Protite (120*20หลอด) -- 1ลัง (ราคาต่อลัง)</t>
        </is>
      </c>
      <c r="C551" s="8" t="n">
        <v>20</v>
      </c>
      <c r="D551" s="9" t="n">
        <v>120</v>
      </c>
      <c r="H551" s="9">
        <f>SUM(C551*D551)</f>
        <v/>
      </c>
      <c r="I551" s="10" t="inlineStr">
        <is>
          <t>ศรีสยาม</t>
        </is>
      </c>
      <c r="J551" s="161" t="n">
        <v>25264</v>
      </c>
      <c r="L551" s="18" t="inlineStr">
        <is>
          <t>ราคารวม VAT แล้ว</t>
        </is>
      </c>
    </row>
    <row r="553" ht="21" customHeight="1">
      <c r="A553" s="11" t="inlineStr">
        <is>
          <t>กาวทาประเก็น</t>
        </is>
      </c>
      <c r="B553" s="6" t="inlineStr">
        <is>
          <t>กาวทาประเก็น Loctite สีดำ</t>
        </is>
      </c>
      <c r="C553" s="8" t="inlineStr">
        <is>
          <t>1หลอด</t>
        </is>
      </c>
      <c r="D553" s="9" t="n">
        <v>100</v>
      </c>
      <c r="H553" s="9" t="n">
        <v>100</v>
      </c>
      <c r="I553" s="10" t="inlineStr">
        <is>
          <t>ศรีสยาม</t>
        </is>
      </c>
      <c r="J553" s="161" t="n">
        <v>23385</v>
      </c>
    </row>
    <row r="554" ht="21" customHeight="1">
      <c r="A554" s="29" t="inlineStr">
        <is>
          <t>** เก็บลูกค้า 400 บาท</t>
        </is>
      </c>
      <c r="B554" s="6" t="inlineStr">
        <is>
          <t>กาวทาประเก็น Loctite สีดำ</t>
        </is>
      </c>
      <c r="C554" s="8" t="inlineStr">
        <is>
          <t>1หลอด</t>
        </is>
      </c>
      <c r="D554" s="9" t="n">
        <v>100</v>
      </c>
      <c r="H554" s="9" t="n">
        <v>100</v>
      </c>
      <c r="I554" s="10" t="inlineStr">
        <is>
          <t>ศรีสยาม</t>
        </is>
      </c>
      <c r="J554" s="161" t="n">
        <v>23638</v>
      </c>
    </row>
    <row r="555" ht="21" customHeight="1">
      <c r="A555" s="29" t="n"/>
      <c r="B555" s="6" t="inlineStr">
        <is>
          <t>กาวทาประเก็น Loctite สีดำ</t>
        </is>
      </c>
      <c r="C555" s="8" t="inlineStr">
        <is>
          <t>1หลอด</t>
        </is>
      </c>
      <c r="D555" s="9" t="n">
        <v>145</v>
      </c>
      <c r="H555" s="9" t="n">
        <v>145</v>
      </c>
      <c r="I555" s="10" t="inlineStr">
        <is>
          <t>ศรีสยาม</t>
        </is>
      </c>
      <c r="J555" s="161" t="n">
        <v>24490</v>
      </c>
    </row>
    <row r="556" ht="21" customHeight="1">
      <c r="A556" s="29" t="n"/>
      <c r="B556" s="6" t="inlineStr">
        <is>
          <t>กาวทาประเก็น Loctite สีดำ</t>
        </is>
      </c>
      <c r="C556" s="8" t="inlineStr">
        <is>
          <t>1หลอด</t>
        </is>
      </c>
      <c r="D556" s="9" t="n">
        <v>170</v>
      </c>
      <c r="H556" s="9" t="n">
        <v>170</v>
      </c>
      <c r="I556" s="10" t="inlineStr">
        <is>
          <t>ศรีสยาม</t>
        </is>
      </c>
      <c r="J556" s="161" t="n">
        <v>25014</v>
      </c>
      <c r="L556" s="18" t="inlineStr">
        <is>
          <t>ราคารวม VAT แล้ว</t>
        </is>
      </c>
    </row>
    <row r="558" ht="21" customHeight="1">
      <c r="A558" s="29" t="inlineStr">
        <is>
          <t>** เน้นใช้สีนี้</t>
        </is>
      </c>
      <c r="B558" s="6" t="inlineStr">
        <is>
          <t>กาวทาประเก็น Loctite สีเทา</t>
        </is>
      </c>
      <c r="C558" s="8" t="inlineStr">
        <is>
          <t>1หลอด</t>
        </is>
      </c>
      <c r="D558" s="9" t="n">
        <v>120</v>
      </c>
      <c r="H558" s="9" t="n">
        <v>120</v>
      </c>
      <c r="I558" s="10" t="inlineStr">
        <is>
          <t>ศรีสยาม</t>
        </is>
      </c>
      <c r="J558" s="161" t="n">
        <v>23385</v>
      </c>
    </row>
    <row r="559" ht="21" customHeight="1">
      <c r="A559" s="29" t="inlineStr">
        <is>
          <t>** เก็บลูกค้า 400 บาท</t>
        </is>
      </c>
      <c r="B559" s="6" t="inlineStr">
        <is>
          <t>กาวทาประเก็น Loctite สีเทา</t>
        </is>
      </c>
      <c r="C559" s="8" t="inlineStr">
        <is>
          <t>1หลอด</t>
        </is>
      </c>
      <c r="D559" s="9" t="n">
        <v>120</v>
      </c>
      <c r="H559" s="9" t="n">
        <v>120</v>
      </c>
      <c r="I559" s="10" t="inlineStr">
        <is>
          <t>ศรีสยาม</t>
        </is>
      </c>
      <c r="J559" s="161" t="n">
        <v>23456</v>
      </c>
    </row>
    <row r="560" ht="21" customHeight="1">
      <c r="B560" s="6" t="inlineStr">
        <is>
          <t>กาวทาประเก็น Loctite สีเทา</t>
        </is>
      </c>
      <c r="C560" s="8" t="inlineStr">
        <is>
          <t>1หลอด</t>
        </is>
      </c>
      <c r="D560" s="9" t="n">
        <v>120</v>
      </c>
      <c r="H560" s="9" t="n">
        <v>120</v>
      </c>
      <c r="I560" s="10" t="inlineStr">
        <is>
          <t>ศรีสยาม</t>
        </is>
      </c>
      <c r="J560" s="161" t="n">
        <v>23561</v>
      </c>
    </row>
    <row r="561" ht="21" customHeight="1">
      <c r="B561" s="6" t="inlineStr">
        <is>
          <t>กาวทาประเก็น Loctite สีเทา</t>
        </is>
      </c>
      <c r="C561" s="8" t="inlineStr">
        <is>
          <t>1หลอด</t>
        </is>
      </c>
      <c r="D561" s="9" t="n">
        <v>120</v>
      </c>
      <c r="H561" s="9" t="n">
        <v>120</v>
      </c>
      <c r="I561" s="10" t="inlineStr">
        <is>
          <t>ศรีสยาม</t>
        </is>
      </c>
      <c r="J561" s="161" t="n">
        <v>23914</v>
      </c>
    </row>
    <row r="562" ht="21" customHeight="1">
      <c r="B562" s="6" t="inlineStr">
        <is>
          <t>กาวทาประเก็น Loctite สีเทา</t>
        </is>
      </c>
      <c r="C562" s="8" t="inlineStr">
        <is>
          <t>1หลอด</t>
        </is>
      </c>
      <c r="D562" s="9" t="n">
        <v>120</v>
      </c>
      <c r="H562" s="9" t="n">
        <v>120</v>
      </c>
      <c r="I562" s="10" t="inlineStr">
        <is>
          <t>ศรีสยาม</t>
        </is>
      </c>
      <c r="J562" s="161" t="n">
        <v>24065</v>
      </c>
    </row>
    <row r="563" ht="21" customHeight="1">
      <c r="B563" s="6" t="inlineStr">
        <is>
          <t>กาวทาประเก็น Loctite สีเทา</t>
        </is>
      </c>
      <c r="C563" s="8" t="inlineStr">
        <is>
          <t>1หลอด</t>
        </is>
      </c>
      <c r="D563" s="9" t="n">
        <v>120</v>
      </c>
      <c r="H563" s="9" t="n">
        <v>120</v>
      </c>
      <c r="I563" s="10" t="inlineStr">
        <is>
          <t>ศรีสยาม</t>
        </is>
      </c>
      <c r="J563" s="161" t="n">
        <v>24097</v>
      </c>
    </row>
    <row r="564" ht="21" customHeight="1">
      <c r="B564" s="6" t="inlineStr">
        <is>
          <t>กาวทาประเก็น Loctite สีเทา</t>
        </is>
      </c>
      <c r="C564" s="8" t="inlineStr">
        <is>
          <t>1หลอด</t>
        </is>
      </c>
      <c r="D564" s="9" t="n">
        <v>120</v>
      </c>
      <c r="H564" s="9" t="n">
        <v>120</v>
      </c>
      <c r="I564" s="10" t="inlineStr">
        <is>
          <t>ศรีสยาม</t>
        </is>
      </c>
      <c r="J564" s="161" t="n">
        <v>24230</v>
      </c>
    </row>
    <row r="565" ht="21" customHeight="1">
      <c r="B565" s="6" t="inlineStr">
        <is>
          <t>กาวทาประเก็น Loctite สีเทา</t>
        </is>
      </c>
      <c r="C565" s="8" t="inlineStr">
        <is>
          <t>1หลอด</t>
        </is>
      </c>
      <c r="D565" s="9" t="n">
        <v>210</v>
      </c>
      <c r="H565" s="9" t="n">
        <v>210</v>
      </c>
      <c r="I565" s="10" t="inlineStr">
        <is>
          <t>ศรีสยาม</t>
        </is>
      </c>
      <c r="J565" s="161" t="n">
        <v>24315</v>
      </c>
    </row>
    <row r="566" ht="21" customHeight="1">
      <c r="B566" s="6" t="inlineStr">
        <is>
          <t>กาวทาประเก็น Loctite สีเทา</t>
        </is>
      </c>
      <c r="C566" s="8" t="inlineStr">
        <is>
          <t>1หลอด</t>
        </is>
      </c>
      <c r="D566" s="9" t="n">
        <v>175</v>
      </c>
      <c r="H566" s="9" t="n">
        <v>175</v>
      </c>
      <c r="I566" s="10" t="inlineStr">
        <is>
          <t>ศรีสยาม</t>
        </is>
      </c>
      <c r="J566" s="161" t="n">
        <v>24390</v>
      </c>
    </row>
    <row r="567" ht="21" customHeight="1">
      <c r="B567" s="6" t="inlineStr">
        <is>
          <t>กาวทาประเก็น Loctite สีเทา</t>
        </is>
      </c>
      <c r="C567" s="8" t="inlineStr">
        <is>
          <t>1หลอด</t>
        </is>
      </c>
      <c r="D567" s="9" t="n">
        <v>175</v>
      </c>
      <c r="H567" s="9" t="n">
        <v>175</v>
      </c>
      <c r="I567" s="10" t="inlineStr">
        <is>
          <t>ศรีสยาม</t>
        </is>
      </c>
      <c r="J567" s="161" t="n">
        <v>24490</v>
      </c>
    </row>
    <row r="568" ht="21" customHeight="1">
      <c r="B568" s="6" t="inlineStr">
        <is>
          <t>กาวทาประเก็น Loctite สีเทา</t>
        </is>
      </c>
      <c r="C568" s="8" t="inlineStr">
        <is>
          <t>1หลอด</t>
        </is>
      </c>
      <c r="D568" s="9" t="n">
        <v>180</v>
      </c>
      <c r="H568" s="9" t="n">
        <v>180</v>
      </c>
      <c r="I568" s="10" t="inlineStr">
        <is>
          <t>ศรีสยาม</t>
        </is>
      </c>
      <c r="J568" s="161" t="n">
        <v>24635</v>
      </c>
    </row>
    <row r="569" ht="21" customHeight="1">
      <c r="B569" s="6" t="inlineStr">
        <is>
          <t>กาวทาประเก็น Loctite สีเทา</t>
        </is>
      </c>
      <c r="C569" s="8" t="inlineStr">
        <is>
          <t>1หลอด</t>
        </is>
      </c>
      <c r="D569" s="9" t="n">
        <v>180</v>
      </c>
      <c r="H569" s="9" t="n">
        <v>180</v>
      </c>
      <c r="I569" s="10" t="inlineStr">
        <is>
          <t>ศรีสยาม</t>
        </is>
      </c>
      <c r="J569" s="161" t="n">
        <v>24686</v>
      </c>
    </row>
    <row r="570" ht="21" customHeight="1">
      <c r="B570" s="6" t="inlineStr">
        <is>
          <t>กาวทาประเก็น Loctite สีเทา</t>
        </is>
      </c>
      <c r="C570" s="8" t="inlineStr">
        <is>
          <t>1หลอด</t>
        </is>
      </c>
      <c r="D570" s="9" t="n">
        <v>180</v>
      </c>
      <c r="H570" s="9" t="n">
        <v>180</v>
      </c>
      <c r="I570" s="10" t="inlineStr">
        <is>
          <t>ศรีสยาม</t>
        </is>
      </c>
      <c r="J570" s="161" t="n">
        <v>24813</v>
      </c>
    </row>
    <row r="571" ht="21" customHeight="1">
      <c r="B571" s="6" t="inlineStr">
        <is>
          <t>กาวทาประเก็น Loctite สีเทา</t>
        </is>
      </c>
      <c r="C571" s="8" t="n">
        <v>1</v>
      </c>
      <c r="D571" s="9" t="n">
        <v>180</v>
      </c>
      <c r="H571" s="9">
        <f>SUM(D571*C571)</f>
        <v/>
      </c>
      <c r="I571" s="10" t="inlineStr">
        <is>
          <t>ศรีสยาม</t>
        </is>
      </c>
      <c r="J571" s="161" t="n">
        <v>25138</v>
      </c>
      <c r="L571" s="18" t="inlineStr">
        <is>
          <t>ราคารวม VAT แล้ว</t>
        </is>
      </c>
    </row>
    <row r="573" ht="21" customHeight="1">
      <c r="A573" s="29" t="inlineStr">
        <is>
          <t>** เก็บลูกค้า 300 บาท</t>
        </is>
      </c>
      <c r="B573" s="6" t="inlineStr">
        <is>
          <t>กาวทาประเก็น Loctite สีแดง</t>
        </is>
      </c>
      <c r="C573" s="8" t="inlineStr">
        <is>
          <t>1หลอด</t>
        </is>
      </c>
      <c r="D573" s="9" t="n">
        <v>105</v>
      </c>
      <c r="H573" s="9" t="n">
        <v>105</v>
      </c>
      <c r="I573" s="10" t="inlineStr">
        <is>
          <t>ศรีสยาม</t>
        </is>
      </c>
      <c r="J573" s="161" t="n">
        <v>23638</v>
      </c>
    </row>
    <row r="574" ht="21" customHeight="1">
      <c r="B574" s="6" t="inlineStr">
        <is>
          <t>กาวทาประเก็น Loctite สีแดง</t>
        </is>
      </c>
      <c r="C574" s="8" t="inlineStr">
        <is>
          <t>1หลอด</t>
        </is>
      </c>
      <c r="D574" s="9" t="n">
        <v>110</v>
      </c>
      <c r="H574" s="9" t="n">
        <v>110</v>
      </c>
      <c r="I574" s="10" t="inlineStr">
        <is>
          <t>ศรีสยาม</t>
        </is>
      </c>
      <c r="J574" s="161" t="n">
        <v>23879</v>
      </c>
    </row>
    <row r="575" ht="21" customHeight="1">
      <c r="B575" s="6" t="inlineStr">
        <is>
          <t>กาวทาประเก็น Loctite สีแดง</t>
        </is>
      </c>
      <c r="C575" s="8" t="inlineStr">
        <is>
          <t>1หลอด</t>
        </is>
      </c>
      <c r="D575" s="9" t="n">
        <v>115</v>
      </c>
      <c r="H575" s="9" t="n">
        <v>115</v>
      </c>
      <c r="I575" s="10" t="inlineStr">
        <is>
          <t>ศรีสยาม</t>
        </is>
      </c>
      <c r="J575" s="161" t="n">
        <v>24230</v>
      </c>
    </row>
    <row r="576" ht="21" customHeight="1">
      <c r="B576" s="6" t="inlineStr">
        <is>
          <t>กาวทาประเก็น Loctite สีแดง</t>
        </is>
      </c>
      <c r="C576" s="8" t="inlineStr">
        <is>
          <t>1หลอด</t>
        </is>
      </c>
      <c r="D576" s="9" t="n">
        <v>160</v>
      </c>
      <c r="H576" s="9" t="n">
        <v>160</v>
      </c>
      <c r="I576" s="10" t="inlineStr">
        <is>
          <t>ศรีสยาม</t>
        </is>
      </c>
      <c r="J576" s="161" t="n">
        <v>24315</v>
      </c>
    </row>
    <row r="577" ht="21" customHeight="1">
      <c r="B577" s="6" t="inlineStr">
        <is>
          <t>กาวทาประเก็น Loctite สีแดง</t>
        </is>
      </c>
      <c r="C577" s="8" t="inlineStr">
        <is>
          <t>1หลอด</t>
        </is>
      </c>
      <c r="D577" s="9" t="n">
        <v>130</v>
      </c>
      <c r="H577" s="9" t="n">
        <v>130</v>
      </c>
      <c r="I577" s="10" t="inlineStr">
        <is>
          <t>ศรีสยาม</t>
        </is>
      </c>
      <c r="J577" s="161" t="n">
        <v>24685</v>
      </c>
    </row>
    <row r="578" ht="21" customHeight="1">
      <c r="B578" s="6" t="inlineStr">
        <is>
          <t>กาวทาประเก็น Loctite สีแดง</t>
        </is>
      </c>
      <c r="C578" s="8" t="n">
        <v>1</v>
      </c>
      <c r="D578" s="9" t="n">
        <v>130.01</v>
      </c>
      <c r="H578" s="9">
        <f>SUM(D578*C578)</f>
        <v/>
      </c>
      <c r="I578" s="10" t="inlineStr">
        <is>
          <t>ศรีสยาม</t>
        </is>
      </c>
      <c r="J578" s="161" t="n">
        <v>24950</v>
      </c>
    </row>
    <row r="579" ht="21" customHeight="1">
      <c r="B579" s="6" t="inlineStr">
        <is>
          <t>กาวทาประเก็น Loctite สีแดง</t>
        </is>
      </c>
      <c r="C579" s="8" t="n">
        <v>1</v>
      </c>
      <c r="D579" s="9" t="n">
        <v>150</v>
      </c>
      <c r="H579" s="9">
        <f>SUM(D579*C579)</f>
        <v/>
      </c>
      <c r="I579" s="10" t="inlineStr">
        <is>
          <t>ศรีสยาม</t>
        </is>
      </c>
      <c r="J579" s="161" t="n">
        <v>25138</v>
      </c>
      <c r="L579" s="18" t="inlineStr">
        <is>
          <t>ราคารวม VAT แล้ว</t>
        </is>
      </c>
    </row>
    <row r="581" ht="21" customHeight="1">
      <c r="A581" s="11" t="inlineStr">
        <is>
          <t>แปรงทาสี</t>
        </is>
      </c>
      <c r="B581" s="6" t="inlineStr">
        <is>
          <t>แปรงทาสี 1.5 นิ้ว</t>
        </is>
      </c>
      <c r="C581" s="8" t="inlineStr">
        <is>
          <t>1อัน</t>
        </is>
      </c>
      <c r="D581" s="9" t="n">
        <v>13</v>
      </c>
      <c r="H581" s="9" t="n">
        <v>13</v>
      </c>
      <c r="I581" s="10" t="inlineStr">
        <is>
          <t>ไทวัสดุ</t>
        </is>
      </c>
      <c r="J581" s="161" t="n">
        <v>23109</v>
      </c>
    </row>
    <row r="582" ht="21" customHeight="1">
      <c r="B582" s="6" t="inlineStr">
        <is>
          <t>แปรงทาสี 1.5 นิ้ว</t>
        </is>
      </c>
      <c r="C582" s="8" t="n">
        <v>10</v>
      </c>
      <c r="D582" s="9" t="n">
        <v>13</v>
      </c>
      <c r="H582" s="9" t="n">
        <v>130</v>
      </c>
      <c r="I582" s="10" t="inlineStr">
        <is>
          <t>ไทวัสดุ</t>
        </is>
      </c>
      <c r="J582" s="161" t="n">
        <v>23608</v>
      </c>
    </row>
    <row r="583" ht="21" customHeight="1">
      <c r="B583" s="6" t="inlineStr">
        <is>
          <t>แปรงทาสี 1.5 นิ้ว</t>
        </is>
      </c>
      <c r="C583" s="8" t="inlineStr">
        <is>
          <t>12อัน</t>
        </is>
      </c>
      <c r="D583" s="9" t="n">
        <v>17</v>
      </c>
      <c r="H583" s="9" t="n">
        <v>204</v>
      </c>
      <c r="I583" s="10" t="inlineStr">
        <is>
          <t>ไทวัสดุ</t>
        </is>
      </c>
      <c r="J583" s="161" t="n">
        <v>23875</v>
      </c>
    </row>
    <row r="584" ht="21" customHeight="1">
      <c r="B584" s="6" t="inlineStr">
        <is>
          <t>แปรงทาสี 1.5 นิ้ว</t>
        </is>
      </c>
      <c r="C584" s="8" t="inlineStr">
        <is>
          <t>9อัน</t>
        </is>
      </c>
      <c r="D584" s="9" t="n">
        <v>17</v>
      </c>
      <c r="H584" s="9" t="n">
        <v>153</v>
      </c>
      <c r="I584" s="10" t="inlineStr">
        <is>
          <t>ไทวัสดุ</t>
        </is>
      </c>
      <c r="J584" s="161" t="n">
        <v>24168</v>
      </c>
    </row>
    <row r="585" ht="21" customHeight="1">
      <c r="B585" s="6" t="inlineStr">
        <is>
          <t>แปรงทาสี 1.5 นิ้ว</t>
        </is>
      </c>
      <c r="C585" s="8" t="n">
        <v>10</v>
      </c>
      <c r="D585" s="9" t="n">
        <v>17</v>
      </c>
      <c r="H585" s="9">
        <f>SUM(D585*C585)</f>
        <v/>
      </c>
      <c r="I585" s="10" t="inlineStr">
        <is>
          <t>ไทวัสดุ</t>
        </is>
      </c>
      <c r="J585" s="161" t="n">
        <v>24346</v>
      </c>
    </row>
    <row r="586" ht="21" customHeight="1">
      <c r="B586" s="6" t="inlineStr">
        <is>
          <t>แปรงทาสี 1.5 นิ้ว</t>
        </is>
      </c>
      <c r="C586" s="8" t="n">
        <v>10</v>
      </c>
      <c r="D586" s="9" t="n">
        <v>17</v>
      </c>
      <c r="H586" s="9">
        <f>SUM(D586*C586)</f>
        <v/>
      </c>
      <c r="I586" s="10" t="inlineStr">
        <is>
          <t>ไทวัสดุ</t>
        </is>
      </c>
      <c r="J586" s="161" t="n">
        <v>24652</v>
      </c>
    </row>
    <row r="587" ht="21" customHeight="1">
      <c r="B587" s="6" t="inlineStr">
        <is>
          <t>แปรงทาสี 1.5 นิ้ว</t>
        </is>
      </c>
      <c r="C587" s="8" t="n">
        <v>12</v>
      </c>
      <c r="D587" s="9" t="n">
        <v>6.1667</v>
      </c>
      <c r="H587" s="9">
        <f>SUM(D587*C587)</f>
        <v/>
      </c>
      <c r="I587" s="10" t="inlineStr">
        <is>
          <t>Shoppee</t>
        </is>
      </c>
      <c r="J587" s="161" t="n">
        <v>25005</v>
      </c>
    </row>
    <row r="588" ht="21" customHeight="1">
      <c r="B588" s="6" t="inlineStr">
        <is>
          <t>แปรงทาสี 1.5 นิ้ว</t>
        </is>
      </c>
      <c r="C588" s="8" t="n">
        <v>12</v>
      </c>
      <c r="D588" s="9" t="n">
        <v>6.1667</v>
      </c>
      <c r="H588" s="9">
        <f>SUM(D588*C588)</f>
        <v/>
      </c>
      <c r="I588" s="10" t="inlineStr">
        <is>
          <t>Shoppee</t>
        </is>
      </c>
      <c r="J588" s="161" t="n">
        <v>25244</v>
      </c>
    </row>
    <row r="590" ht="21" customHeight="1">
      <c r="B590" s="6" t="inlineStr">
        <is>
          <t>แปรงทาสี 2 นิ้ว</t>
        </is>
      </c>
      <c r="C590" s="8" t="inlineStr">
        <is>
          <t>15อัน</t>
        </is>
      </c>
      <c r="D590" s="9" t="n">
        <v>15</v>
      </c>
      <c r="H590" s="9" t="n">
        <v>225</v>
      </c>
      <c r="I590" s="10" t="inlineStr">
        <is>
          <t>ไทวัสดุ</t>
        </is>
      </c>
      <c r="J590" s="161" t="n">
        <v>23109</v>
      </c>
    </row>
    <row r="591" ht="21" customHeight="1">
      <c r="B591" s="6" t="inlineStr">
        <is>
          <t>แปรงทาสี 2 นิ้ว</t>
        </is>
      </c>
      <c r="C591" s="8" t="inlineStr">
        <is>
          <t>12อัน</t>
        </is>
      </c>
      <c r="D591" s="9" t="n">
        <v>17</v>
      </c>
      <c r="H591" s="9" t="n">
        <v>204</v>
      </c>
      <c r="I591" s="10" t="inlineStr">
        <is>
          <t>ไทวัสดุ</t>
        </is>
      </c>
      <c r="J591" s="161" t="n">
        <v>23215</v>
      </c>
    </row>
    <row r="592" ht="21" customHeight="1">
      <c r="B592" s="6" t="inlineStr">
        <is>
          <t>แปรงทาสี 2 นิ้ว</t>
        </is>
      </c>
      <c r="C592" s="8" t="inlineStr">
        <is>
          <t>12อัน</t>
        </is>
      </c>
      <c r="D592" s="9" t="n">
        <v>17</v>
      </c>
      <c r="H592" s="9" t="n">
        <v>204</v>
      </c>
      <c r="I592" s="10" t="inlineStr">
        <is>
          <t>ไทวัสดุ</t>
        </is>
      </c>
      <c r="J592" s="161" t="n">
        <v>23459</v>
      </c>
    </row>
    <row r="593" ht="21" customHeight="1">
      <c r="B593" s="6" t="inlineStr">
        <is>
          <t>แปรงทาสี 2 นิ้ว</t>
        </is>
      </c>
      <c r="C593" s="8" t="inlineStr">
        <is>
          <t>14อัน</t>
        </is>
      </c>
      <c r="D593" s="9" t="n">
        <v>18</v>
      </c>
      <c r="H593" s="9" t="n">
        <v>252</v>
      </c>
      <c r="I593" s="10" t="inlineStr">
        <is>
          <t>ไทวัสดุ</t>
        </is>
      </c>
      <c r="J593" s="161" t="n">
        <v>23559</v>
      </c>
    </row>
    <row r="594" ht="21" customHeight="1">
      <c r="B594" s="6" t="inlineStr">
        <is>
          <t>แปรงทาสี 2 นิ้ว</t>
        </is>
      </c>
      <c r="C594" s="8" t="inlineStr">
        <is>
          <t>12อัน</t>
        </is>
      </c>
      <c r="D594" s="9" t="n">
        <v>23</v>
      </c>
      <c r="H594" s="9" t="n">
        <v>276</v>
      </c>
      <c r="I594" s="10" t="inlineStr">
        <is>
          <t>ไทวัสดุ</t>
        </is>
      </c>
      <c r="J594" s="161" t="n">
        <v>23875</v>
      </c>
    </row>
    <row r="595" ht="21" customHeight="1">
      <c r="B595" s="6" t="inlineStr">
        <is>
          <t>แปรงทาสี 2 นิ้ว</t>
        </is>
      </c>
      <c r="C595" s="8" t="inlineStr">
        <is>
          <t>17อัน</t>
        </is>
      </c>
      <c r="D595" s="9" t="n">
        <v>23</v>
      </c>
      <c r="H595" s="9" t="n">
        <v>391</v>
      </c>
      <c r="I595" s="10" t="inlineStr">
        <is>
          <t>ไทวัสดุ</t>
        </is>
      </c>
      <c r="J595" s="161" t="n">
        <v>24002</v>
      </c>
    </row>
    <row r="596" ht="21" customHeight="1">
      <c r="B596" s="6" t="inlineStr">
        <is>
          <t>แปรงทาสี 2 นิ้ว</t>
        </is>
      </c>
      <c r="C596" s="8" t="inlineStr">
        <is>
          <t>5อัน</t>
        </is>
      </c>
      <c r="D596" s="9" t="n">
        <v>23</v>
      </c>
      <c r="H596" s="9" t="n">
        <v>115</v>
      </c>
      <c r="I596" s="10" t="inlineStr">
        <is>
          <t>ไทวัสดุ</t>
        </is>
      </c>
      <c r="J596" s="161" t="n">
        <v>24168</v>
      </c>
    </row>
    <row r="597" ht="21" customHeight="1">
      <c r="B597" s="6" t="inlineStr">
        <is>
          <t>แปรงทาสี 2 นิ้ว</t>
        </is>
      </c>
      <c r="C597" s="8" t="n">
        <v>10</v>
      </c>
      <c r="D597" s="9" t="n">
        <v>23</v>
      </c>
      <c r="H597" s="9">
        <f>SUM(D597*C597)</f>
        <v/>
      </c>
      <c r="I597" s="10" t="inlineStr">
        <is>
          <t>ไทวัสดุ</t>
        </is>
      </c>
      <c r="J597" s="161" t="n">
        <v>24346</v>
      </c>
    </row>
    <row r="598" ht="21" customHeight="1">
      <c r="B598" s="6" t="inlineStr">
        <is>
          <t>แปรงทาสี 2 นิ้ว</t>
        </is>
      </c>
      <c r="C598" s="8" t="n">
        <v>10</v>
      </c>
      <c r="D598" s="9" t="n">
        <v>23</v>
      </c>
      <c r="H598" s="9">
        <f>SUM(D598*C598)</f>
        <v/>
      </c>
      <c r="I598" s="10" t="inlineStr">
        <is>
          <t>ไทวัสดุ</t>
        </is>
      </c>
      <c r="J598" s="161" t="n">
        <v>24652</v>
      </c>
    </row>
    <row r="599" ht="21" customHeight="1">
      <c r="B599" s="6" t="inlineStr">
        <is>
          <t>แปรงทาสี 2 นิ้ว</t>
        </is>
      </c>
      <c r="C599" s="8" t="n">
        <v>10</v>
      </c>
      <c r="D599" s="9" t="n">
        <v>23</v>
      </c>
      <c r="H599" s="9">
        <f>SUM(D599*C599)</f>
        <v/>
      </c>
      <c r="I599" s="10" t="inlineStr">
        <is>
          <t>ไทวัสดุ</t>
        </is>
      </c>
      <c r="J599" s="161" t="n">
        <v>24835</v>
      </c>
    </row>
    <row r="600" ht="21" customHeight="1">
      <c r="B600" s="6" t="inlineStr">
        <is>
          <t>แปรงทาสี 2 นิ้ว</t>
        </is>
      </c>
      <c r="C600" s="8" t="n">
        <v>12</v>
      </c>
      <c r="D600" s="9" t="n">
        <v>7.8333</v>
      </c>
      <c r="H600" s="9">
        <f>SUM(D600*C600)</f>
        <v/>
      </c>
      <c r="I600" s="10" t="inlineStr">
        <is>
          <t>Shoppee</t>
        </is>
      </c>
      <c r="J600" s="161" t="n">
        <v>25005</v>
      </c>
    </row>
    <row r="601" ht="21" customHeight="1">
      <c r="B601" s="6" t="inlineStr">
        <is>
          <t>แปรงทาสี 2 นิ้ว</t>
        </is>
      </c>
      <c r="C601" s="8" t="n">
        <v>12</v>
      </c>
      <c r="D601" s="9" t="n">
        <v>7.59</v>
      </c>
      <c r="H601" s="9">
        <f>SUM(D601*C601)</f>
        <v/>
      </c>
      <c r="I601" s="10" t="inlineStr">
        <is>
          <t>Shoppee</t>
        </is>
      </c>
      <c r="J601" s="161" t="n">
        <v>25244</v>
      </c>
    </row>
    <row r="603" ht="21" customHeight="1">
      <c r="A603" s="11" t="inlineStr">
        <is>
          <t>แปรงลวด</t>
        </is>
      </c>
      <c r="B603" s="6" t="inlineStr">
        <is>
          <t>แปรงลวดทองเหลือง (มินิ ปลายงอ)</t>
        </is>
      </c>
      <c r="C603" s="8" t="inlineStr">
        <is>
          <t>3อัน</t>
        </is>
      </c>
      <c r="D603" s="9" t="n">
        <v>90</v>
      </c>
      <c r="H603" s="9" t="n">
        <v>270</v>
      </c>
      <c r="I603" s="10" t="inlineStr">
        <is>
          <t>ศรีสยาม</t>
        </is>
      </c>
      <c r="J603" s="161" t="n">
        <v>23187</v>
      </c>
    </row>
    <row r="604" ht="21" customHeight="1">
      <c r="B604" s="6" t="inlineStr">
        <is>
          <t>แปรงลวดทองเหลือง (มินิ ปลายงอ)</t>
        </is>
      </c>
      <c r="C604" s="8" t="inlineStr">
        <is>
          <t>3อัน</t>
        </is>
      </c>
      <c r="D604" s="9" t="n">
        <v>90</v>
      </c>
      <c r="H604" s="9" t="n">
        <v>270</v>
      </c>
      <c r="I604" s="10" t="inlineStr">
        <is>
          <t>ศรีสยาม</t>
        </is>
      </c>
      <c r="J604" s="161" t="n">
        <v>23289</v>
      </c>
    </row>
    <row r="606" ht="21" customHeight="1">
      <c r="B606" s="6" t="inlineStr">
        <is>
          <t>แปรงลวดเหล็ก (มินิ ปลายงอ)</t>
        </is>
      </c>
      <c r="C606" s="8" t="inlineStr">
        <is>
          <t>1อัน</t>
        </is>
      </c>
      <c r="D606" s="9" t="n">
        <v>55</v>
      </c>
      <c r="H606" s="9" t="n">
        <v>55</v>
      </c>
      <c r="I606" s="10" t="inlineStr">
        <is>
          <t>ศรีสยาม</t>
        </is>
      </c>
      <c r="J606" s="161" t="n">
        <v>23781</v>
      </c>
    </row>
    <row r="607" ht="21" customHeight="1">
      <c r="B607" s="6" t="inlineStr">
        <is>
          <t>แปรงลวดเหล็ก (มินิ ปลายงอ)</t>
        </is>
      </c>
      <c r="C607" s="8" t="inlineStr">
        <is>
          <t>1อัน</t>
        </is>
      </c>
      <c r="D607" s="9" t="n">
        <v>55</v>
      </c>
      <c r="H607" s="9" t="n">
        <v>55</v>
      </c>
      <c r="I607" s="10" t="inlineStr">
        <is>
          <t>ศรีสยาม</t>
        </is>
      </c>
      <c r="J607" s="161" t="n">
        <v>23995</v>
      </c>
    </row>
    <row r="608" ht="21" customHeight="1">
      <c r="B608" s="6" t="inlineStr">
        <is>
          <t>แปรงลวดเหล็ก (มินิ ปลายงอ)</t>
        </is>
      </c>
      <c r="C608" s="8" t="inlineStr">
        <is>
          <t>1อัน</t>
        </is>
      </c>
      <c r="D608" s="9" t="n">
        <v>65</v>
      </c>
      <c r="H608" s="9" t="n">
        <v>65</v>
      </c>
      <c r="I608" s="10" t="inlineStr">
        <is>
          <t>ศรีสยาม</t>
        </is>
      </c>
      <c r="J608" s="161" t="n">
        <v>24315</v>
      </c>
    </row>
    <row r="609" ht="21" customHeight="1">
      <c r="B609" s="6" t="inlineStr">
        <is>
          <t>แปรงลวดเหล็ก (มินิ ปลายงอ)</t>
        </is>
      </c>
      <c r="C609" s="8" t="inlineStr">
        <is>
          <t>1อัน</t>
        </is>
      </c>
      <c r="D609" s="9" t="n">
        <v>65</v>
      </c>
      <c r="H609" s="9" t="n">
        <v>65</v>
      </c>
      <c r="I609" s="10" t="inlineStr">
        <is>
          <t>ศรีสยาม</t>
        </is>
      </c>
      <c r="J609" s="161" t="n">
        <v>24324</v>
      </c>
    </row>
    <row r="610" ht="21" customHeight="1">
      <c r="B610" s="6" t="inlineStr">
        <is>
          <t>แปรงลวดเหล็ก (มินิ ปลายงอ)</t>
        </is>
      </c>
      <c r="C610" s="8" t="inlineStr">
        <is>
          <t>1อัน</t>
        </is>
      </c>
      <c r="D610" s="9" t="n">
        <v>65</v>
      </c>
      <c r="H610" s="9" t="n">
        <v>65</v>
      </c>
      <c r="I610" s="10" t="inlineStr">
        <is>
          <t>ศรีสยาม</t>
        </is>
      </c>
      <c r="J610" s="161" t="n">
        <v>24422</v>
      </c>
    </row>
    <row r="611" ht="21" customHeight="1">
      <c r="B611" s="6" t="inlineStr">
        <is>
          <t>แปรงลวดเหล็ก (มินิ ปลายงอ)</t>
        </is>
      </c>
      <c r="C611" s="8" t="inlineStr">
        <is>
          <t>1อัน</t>
        </is>
      </c>
      <c r="D611" s="9" t="n">
        <v>70</v>
      </c>
      <c r="H611" s="9" t="n">
        <v>70</v>
      </c>
      <c r="I611" s="10" t="inlineStr">
        <is>
          <t>ศรีสยาม</t>
        </is>
      </c>
      <c r="J611" s="161" t="n">
        <v>24558</v>
      </c>
    </row>
    <row r="612" ht="21" customHeight="1">
      <c r="B612" s="6" t="inlineStr">
        <is>
          <t>แปรงลวดเหล็ก (มินิ ปลายงอ)</t>
        </is>
      </c>
      <c r="C612" s="8" t="n">
        <v>2</v>
      </c>
      <c r="D612" s="9" t="n">
        <v>70</v>
      </c>
      <c r="H612" s="9">
        <f>SUM(D612*C612)</f>
        <v/>
      </c>
      <c r="I612" s="10" t="inlineStr">
        <is>
          <t>ศรีสยาม</t>
        </is>
      </c>
      <c r="J612" s="161" t="n">
        <v>24731</v>
      </c>
    </row>
    <row r="613" ht="21" customHeight="1">
      <c r="B613" s="6" t="inlineStr">
        <is>
          <t>แปรงลวดเหล็ก (ปลายงอ/อันใหญ่)</t>
        </is>
      </c>
      <c r="C613" s="8" t="n">
        <v>1</v>
      </c>
      <c r="D613" s="9" t="n">
        <v>22</v>
      </c>
      <c r="H613" s="9">
        <f>SUM(D613*C613)</f>
        <v/>
      </c>
      <c r="I613" s="10" t="inlineStr">
        <is>
          <t>DIY</t>
        </is>
      </c>
      <c r="J613" s="161" t="n">
        <v>25016</v>
      </c>
    </row>
    <row r="614" ht="21" customHeight="1">
      <c r="B614" s="6" t="inlineStr">
        <is>
          <t>แปรงลวดเหล็ก (มินิ ปลายงอ)</t>
        </is>
      </c>
      <c r="C614" s="8" t="n">
        <v>3</v>
      </c>
      <c r="D614" s="9" t="n">
        <v>53.667</v>
      </c>
      <c r="H614" s="9">
        <f>SUM(D614*C614)</f>
        <v/>
      </c>
      <c r="I614" s="10" t="inlineStr">
        <is>
          <t>Shoppee</t>
        </is>
      </c>
      <c r="J614" s="161" t="n">
        <v>25133</v>
      </c>
    </row>
    <row r="616" ht="21" customHeight="1">
      <c r="A616" s="11" t="inlineStr">
        <is>
          <t>แปรงกากมะพร้าว</t>
        </is>
      </c>
      <c r="B616" s="6" t="inlineStr">
        <is>
          <t>แปรงกากมะพร้าว</t>
        </is>
      </c>
      <c r="C616" s="8" t="inlineStr">
        <is>
          <t>6อัน</t>
        </is>
      </c>
      <c r="D616" s="9" t="n">
        <v>13</v>
      </c>
      <c r="H616" s="9" t="n">
        <v>78</v>
      </c>
      <c r="I616" s="10" t="inlineStr">
        <is>
          <t>ศรีสยาม</t>
        </is>
      </c>
      <c r="J616" s="161" t="n">
        <v>23276</v>
      </c>
    </row>
    <row r="617" ht="21" customHeight="1">
      <c r="B617" s="6" t="inlineStr">
        <is>
          <t>แปรงกากมะพร้าว</t>
        </is>
      </c>
      <c r="C617" s="8" t="inlineStr">
        <is>
          <t>3อัน</t>
        </is>
      </c>
      <c r="D617" s="9" t="n">
        <v>13</v>
      </c>
      <c r="H617" s="9" t="n">
        <v>39</v>
      </c>
      <c r="I617" s="10" t="inlineStr">
        <is>
          <t>ศรีสยาม</t>
        </is>
      </c>
      <c r="J617" s="161" t="n">
        <v>23285</v>
      </c>
    </row>
    <row r="618" ht="21" customHeight="1">
      <c r="B618" s="6" t="inlineStr">
        <is>
          <t>แปรงกากมะพร้าว</t>
        </is>
      </c>
      <c r="C618" s="8" t="inlineStr">
        <is>
          <t>2อัน</t>
        </is>
      </c>
      <c r="D618" s="9" t="n">
        <v>13</v>
      </c>
      <c r="H618" s="9" t="n">
        <v>26</v>
      </c>
      <c r="I618" s="10" t="inlineStr">
        <is>
          <t>ศรีสยาม</t>
        </is>
      </c>
      <c r="J618" s="161" t="n">
        <v>23535</v>
      </c>
    </row>
    <row r="619" ht="21" customHeight="1">
      <c r="B619" s="6" t="inlineStr">
        <is>
          <t>แปรงกากมะพร้าว</t>
        </is>
      </c>
      <c r="C619" s="8" t="inlineStr">
        <is>
          <t>5อัน</t>
        </is>
      </c>
      <c r="D619" s="9" t="n">
        <v>13</v>
      </c>
      <c r="H619" s="9" t="n">
        <v>65</v>
      </c>
      <c r="I619" s="10" t="inlineStr">
        <is>
          <t>ศรีสยาม</t>
        </is>
      </c>
      <c r="J619" s="161" t="n">
        <v>23661</v>
      </c>
    </row>
    <row r="620" ht="21" customHeight="1">
      <c r="B620" s="6" t="inlineStr">
        <is>
          <t>แปรงกากมะพร้าว</t>
        </is>
      </c>
      <c r="C620" s="8" t="inlineStr">
        <is>
          <t>2อัน</t>
        </is>
      </c>
      <c r="D620" s="9" t="n">
        <v>13</v>
      </c>
      <c r="H620" s="9" t="n">
        <v>26</v>
      </c>
      <c r="I620" s="10" t="inlineStr">
        <is>
          <t>ศรีสยาม</t>
        </is>
      </c>
      <c r="J620" s="161" t="n">
        <v>23820</v>
      </c>
    </row>
    <row r="621" ht="21" customHeight="1">
      <c r="B621" s="6" t="inlineStr">
        <is>
          <t>แปรงกากมะพร้าว</t>
        </is>
      </c>
      <c r="C621" s="8" t="inlineStr">
        <is>
          <t>3อัน</t>
        </is>
      </c>
      <c r="D621" s="9" t="n">
        <v>14</v>
      </c>
      <c r="H621" s="9" t="n">
        <v>42</v>
      </c>
      <c r="I621" s="10" t="inlineStr">
        <is>
          <t>ศรีสยาม</t>
        </is>
      </c>
      <c r="J621" s="161" t="n">
        <v>23937</v>
      </c>
    </row>
    <row r="622" ht="21" customHeight="1">
      <c r="B622" s="6" t="inlineStr">
        <is>
          <t>แปรงกากมะพร้าว</t>
        </is>
      </c>
      <c r="C622" s="8" t="inlineStr">
        <is>
          <t>1อัน</t>
        </is>
      </c>
      <c r="D622" s="9" t="n">
        <v>14</v>
      </c>
      <c r="H622" s="9" t="n">
        <v>14</v>
      </c>
      <c r="I622" s="10" t="inlineStr">
        <is>
          <t>ศรีสยาม</t>
        </is>
      </c>
      <c r="J622" s="161" t="n">
        <v>24114</v>
      </c>
    </row>
    <row r="623" ht="21" customHeight="1">
      <c r="B623" s="6" t="inlineStr">
        <is>
          <t>แปรงกากมะพร้าว</t>
        </is>
      </c>
      <c r="C623" s="8" t="inlineStr">
        <is>
          <t>4อัน</t>
        </is>
      </c>
      <c r="D623" s="9" t="n">
        <v>14</v>
      </c>
      <c r="H623" s="9" t="n">
        <v>14</v>
      </c>
      <c r="I623" s="10" t="inlineStr">
        <is>
          <t>ศรีสยาม</t>
        </is>
      </c>
      <c r="J623" s="161" t="n">
        <v>24153</v>
      </c>
    </row>
    <row r="624" ht="21" customHeight="1">
      <c r="B624" s="6" t="inlineStr">
        <is>
          <t>แปรงกากมะพร้าว</t>
        </is>
      </c>
      <c r="C624" s="8" t="inlineStr">
        <is>
          <t>3อัน</t>
        </is>
      </c>
      <c r="D624" s="9" t="n">
        <v>15</v>
      </c>
      <c r="H624" s="9" t="n">
        <v>45</v>
      </c>
      <c r="I624" s="10" t="inlineStr">
        <is>
          <t>ศรีสยาม</t>
        </is>
      </c>
      <c r="J624" s="161" t="n">
        <v>24287</v>
      </c>
    </row>
    <row r="625" ht="21" customHeight="1">
      <c r="B625" s="6" t="inlineStr">
        <is>
          <t>แปรงกากมะพร้าว</t>
        </is>
      </c>
      <c r="C625" s="8" t="inlineStr">
        <is>
          <t>2อัน</t>
        </is>
      </c>
      <c r="D625" s="9" t="n">
        <v>15</v>
      </c>
      <c r="H625" s="9" t="n">
        <v>30</v>
      </c>
      <c r="I625" s="10" t="inlineStr">
        <is>
          <t>ศรีสยาม</t>
        </is>
      </c>
      <c r="J625" s="161" t="n">
        <v>24448</v>
      </c>
    </row>
    <row r="626" ht="21" customHeight="1">
      <c r="B626" s="6" t="inlineStr">
        <is>
          <t>แปรงกากมะพร้าว</t>
        </is>
      </c>
      <c r="C626" s="8" t="n">
        <v>2</v>
      </c>
      <c r="D626" s="9" t="n">
        <v>15</v>
      </c>
      <c r="H626" s="9">
        <f>SUM(D626*C626)</f>
        <v/>
      </c>
      <c r="I626" s="10" t="inlineStr">
        <is>
          <t>ศรีสยาม</t>
        </is>
      </c>
      <c r="J626" s="161" t="n">
        <v>24678</v>
      </c>
    </row>
    <row r="627" ht="21" customHeight="1">
      <c r="B627" s="6" t="inlineStr">
        <is>
          <t>แปรงกากมะพร้าว</t>
        </is>
      </c>
      <c r="C627" s="8" t="n">
        <v>2</v>
      </c>
      <c r="D627" s="9" t="n">
        <v>15</v>
      </c>
      <c r="H627" s="9">
        <f>SUM(D627*C627)</f>
        <v/>
      </c>
      <c r="I627" s="10" t="inlineStr">
        <is>
          <t>ศรีสยาม</t>
        </is>
      </c>
      <c r="J627" s="161" t="n">
        <v>24885</v>
      </c>
    </row>
    <row r="628" ht="21" customHeight="1">
      <c r="B628" s="6" t="inlineStr">
        <is>
          <t>แปรงกากมะพร้าว</t>
        </is>
      </c>
      <c r="C628" s="8" t="n">
        <v>5</v>
      </c>
      <c r="D628" s="9" t="n">
        <v>13.8</v>
      </c>
      <c r="H628" s="9">
        <f>SUM(D628*C628)</f>
        <v/>
      </c>
      <c r="I628" s="10" t="inlineStr">
        <is>
          <t>Shoppee</t>
        </is>
      </c>
      <c r="J628" s="161" t="n">
        <v>25028</v>
      </c>
    </row>
    <row r="630" ht="21" customHeight="1">
      <c r="A630" s="11" t="inlineStr">
        <is>
          <t>สายรัด เคเบิ้ลไทม์</t>
        </is>
      </c>
      <c r="B630" s="6" t="inlineStr">
        <is>
          <t>สายรัด เคเบิ้ลไทม์ 4 นิ้ว (ห่อละ 100 ชิ้น)</t>
        </is>
      </c>
      <c r="C630" s="8" t="inlineStr">
        <is>
          <t>4ห่อ</t>
        </is>
      </c>
      <c r="D630" s="9" t="n">
        <v>13</v>
      </c>
      <c r="H630" s="9" t="n">
        <v>52</v>
      </c>
      <c r="I630" s="10" t="inlineStr">
        <is>
          <t>ไทวัสดุ</t>
        </is>
      </c>
      <c r="J630" s="161" t="n">
        <v>23129</v>
      </c>
    </row>
    <row r="631" ht="21" customHeight="1">
      <c r="A631" s="49" t="inlineStr">
        <is>
          <t>ทุกขนาดคิดเส้นละ3บาท</t>
        </is>
      </c>
      <c r="B631" s="6" t="inlineStr">
        <is>
          <t>สายรัด เคเบิ้ลไทม์ 4 นิ้ว (ห่อละ 150 ชิ้น)</t>
        </is>
      </c>
      <c r="C631" s="8" t="n">
        <v>1</v>
      </c>
      <c r="D631" s="9" t="n">
        <v>15</v>
      </c>
      <c r="H631" s="9">
        <f>SUM(D631*C631)</f>
        <v/>
      </c>
      <c r="I631" s="10" t="inlineStr">
        <is>
          <t>DIY</t>
        </is>
      </c>
      <c r="J631" s="161" t="n">
        <v>25016</v>
      </c>
    </row>
    <row r="632" ht="21" customHeight="1">
      <c r="A632" s="6" t="n"/>
    </row>
    <row r="633" ht="21" customHeight="1">
      <c r="A633" s="6" t="n"/>
      <c r="B633" s="6" t="inlineStr">
        <is>
          <t>สายรัด เคเบิ้ลไทม์ 6 นิ้ว (ห่อละ 100 ชิ้น)</t>
        </is>
      </c>
      <c r="C633" s="8" t="inlineStr">
        <is>
          <t>2ห่อ</t>
        </is>
      </c>
      <c r="D633" s="9" t="n">
        <v>33</v>
      </c>
      <c r="H633" s="9" t="n">
        <v>66</v>
      </c>
      <c r="I633" s="10" t="inlineStr">
        <is>
          <t>ไทวัสดุ</t>
        </is>
      </c>
      <c r="J633" s="161" t="n">
        <v>23109</v>
      </c>
    </row>
    <row r="634" ht="21" customHeight="1">
      <c r="A634" s="6" t="n"/>
      <c r="B634" s="6" t="inlineStr">
        <is>
          <t>สายรัด เคเบิ้ลไทม์ 6 นิ้ว (ห่อละ 100 ชิ้น)</t>
        </is>
      </c>
      <c r="C634" s="8" t="inlineStr">
        <is>
          <t>2ห่อ</t>
        </is>
      </c>
      <c r="D634" s="9" t="n">
        <v>33</v>
      </c>
      <c r="H634" s="9" t="n">
        <v>66</v>
      </c>
      <c r="I634" s="10" t="inlineStr">
        <is>
          <t>ไทวัสดุ</t>
        </is>
      </c>
      <c r="J634" s="161" t="n">
        <v>23129</v>
      </c>
    </row>
    <row r="635" ht="21" customHeight="1">
      <c r="A635" s="6" t="n"/>
      <c r="B635" s="6" t="inlineStr">
        <is>
          <t>สายรัด เคเบิ้ลไทม์ 6 นิ้ว (ห่อละ 100 ชิ้น)</t>
        </is>
      </c>
      <c r="C635" s="8" t="inlineStr">
        <is>
          <t>2ห่อ</t>
        </is>
      </c>
      <c r="D635" s="9" t="n">
        <v>28</v>
      </c>
      <c r="H635" s="9" t="n">
        <v>56</v>
      </c>
      <c r="I635" s="10" t="inlineStr">
        <is>
          <t>ไทวัสดุ</t>
        </is>
      </c>
      <c r="J635" s="161" t="n">
        <v>23341</v>
      </c>
    </row>
    <row r="636" ht="21" customHeight="1">
      <c r="A636" s="6" t="n"/>
      <c r="B636" s="6" t="inlineStr">
        <is>
          <t>สายรัด เคเบิ้ลไทม์ 6 นิ้ว (ห่อละ 100 ชิ้น)</t>
        </is>
      </c>
      <c r="C636" s="8" t="n">
        <v>1</v>
      </c>
      <c r="D636" s="9" t="n">
        <v>53</v>
      </c>
      <c r="H636" s="9">
        <f>SUM(D636*C636)</f>
        <v/>
      </c>
      <c r="I636" s="10" t="inlineStr">
        <is>
          <t>ไทวัสดุ</t>
        </is>
      </c>
      <c r="J636" s="161" t="n">
        <v>24398</v>
      </c>
    </row>
    <row r="638" ht="21" customHeight="1">
      <c r="B638" s="6" t="inlineStr">
        <is>
          <t>สายรัด เคเบิ้ลไทม์ 8 นิ้ว (ห่อละ 100 ชิ้น)</t>
        </is>
      </c>
      <c r="C638" s="8" t="inlineStr">
        <is>
          <t>2ห่อ</t>
        </is>
      </c>
      <c r="D638" s="9" t="n">
        <v>40</v>
      </c>
      <c r="H638" s="9" t="n">
        <v>80</v>
      </c>
      <c r="I638" s="10" t="inlineStr">
        <is>
          <t>ไทวัสดุ</t>
        </is>
      </c>
      <c r="J638" s="161" t="n">
        <v>23109</v>
      </c>
    </row>
    <row r="639" ht="21" customHeight="1">
      <c r="B639" s="6" t="inlineStr">
        <is>
          <t>สายรัด เคเบิ้ลไทม์ 8 นิ้ว (ห่อละ 100 ชิ้น)</t>
        </is>
      </c>
      <c r="C639" s="8" t="inlineStr">
        <is>
          <t>5ห่อ</t>
        </is>
      </c>
      <c r="D639" s="9" t="n">
        <v>40</v>
      </c>
      <c r="H639" s="9" t="n">
        <v>200</v>
      </c>
      <c r="I639" s="10" t="inlineStr">
        <is>
          <t>ไทวัสดุ</t>
        </is>
      </c>
      <c r="J639" s="161" t="n">
        <v>23129</v>
      </c>
    </row>
    <row r="640" ht="21" customHeight="1">
      <c r="B640" s="6" t="inlineStr">
        <is>
          <t>สายรัด เคเบิ้ลไทม์ 8 นิ้ว (ห่อละ 100 ชิ้น)</t>
        </is>
      </c>
      <c r="C640" s="8" t="n">
        <v>2</v>
      </c>
      <c r="D640" s="9" t="n">
        <v>57</v>
      </c>
      <c r="H640" s="9">
        <f>SUM(D640*C640)</f>
        <v/>
      </c>
      <c r="I640" s="10" t="inlineStr">
        <is>
          <t>ไทวัสดุ</t>
        </is>
      </c>
      <c r="J640" s="161" t="n">
        <v>24398</v>
      </c>
    </row>
    <row r="641" ht="21" customHeight="1">
      <c r="B641" s="6" t="inlineStr">
        <is>
          <t>สายรัด เคเบิ้ลไทม์ 8 นิ้ว (ห่อละ 100 ชิ้น)</t>
        </is>
      </c>
      <c r="C641" s="8" t="n">
        <v>1</v>
      </c>
      <c r="D641" s="9" t="n">
        <v>33</v>
      </c>
      <c r="H641" s="9">
        <f>SUM(D641*C641)</f>
        <v/>
      </c>
      <c r="I641" s="10" t="inlineStr">
        <is>
          <t>DIY</t>
        </is>
      </c>
      <c r="J641" s="161" t="n">
        <v>25016</v>
      </c>
    </row>
    <row r="643" ht="21" customHeight="1">
      <c r="B643" s="6" t="inlineStr">
        <is>
          <t>สายรัด เคเบิ้ลไทม์ 12 นิ้ว (ห่อละ 100 ชิ้น)</t>
        </is>
      </c>
      <c r="C643" s="8" t="n">
        <v>2</v>
      </c>
      <c r="D643" s="9" t="n">
        <v>107</v>
      </c>
      <c r="H643" s="9">
        <f>SUM(D643*C643)</f>
        <v/>
      </c>
      <c r="I643" s="10" t="inlineStr">
        <is>
          <t>ไทวัสดุ</t>
        </is>
      </c>
      <c r="J643" s="161" t="n">
        <v>24398</v>
      </c>
    </row>
    <row r="644" ht="21" customHeight="1">
      <c r="B644" s="6" t="inlineStr">
        <is>
          <t>สายรัด เคเบิ้ลไทม์ 12 นิ้ว (ห่อละ 100 ชิ้น)</t>
        </is>
      </c>
      <c r="C644" s="8" t="n">
        <v>1</v>
      </c>
      <c r="D644" s="9" t="n">
        <v>69</v>
      </c>
      <c r="H644" s="9">
        <f>SUM(D644*C644)</f>
        <v/>
      </c>
      <c r="I644" s="10" t="inlineStr">
        <is>
          <t>DIY</t>
        </is>
      </c>
      <c r="J644" s="161" t="n">
        <v>25016</v>
      </c>
    </row>
    <row r="646" ht="21" customHeight="1">
      <c r="B646" s="6" t="inlineStr">
        <is>
          <t>สายรัด เคเบิ้ลไทม์ 16 นิ้ว (ห่อละ 100 ชิ้น)</t>
        </is>
      </c>
      <c r="C646" s="8" t="inlineStr">
        <is>
          <t>1ห่อ</t>
        </is>
      </c>
      <c r="D646" s="9" t="n">
        <v>138</v>
      </c>
      <c r="H646" s="9" t="n">
        <v>138</v>
      </c>
      <c r="I646" s="10" t="inlineStr">
        <is>
          <t>ไทวัสดุ</t>
        </is>
      </c>
      <c r="J646" s="161" t="n">
        <v>23451</v>
      </c>
    </row>
    <row r="648" ht="21" customHeight="1">
      <c r="A648" s="11" t="inlineStr">
        <is>
          <t>ข้อต่อลม</t>
        </is>
      </c>
      <c r="B648" s="6" t="inlineStr">
        <is>
          <t>ข้อต่อลมเกลียวนอก ตัวเมีย King 20SM 2 หุน</t>
        </is>
      </c>
      <c r="C648" s="8" t="inlineStr">
        <is>
          <t>1อัน</t>
        </is>
      </c>
      <c r="D648" s="9" t="n">
        <v>75</v>
      </c>
      <c r="H648" s="9" t="n">
        <v>75</v>
      </c>
      <c r="I648" s="10" t="inlineStr">
        <is>
          <t>ไทวัสดุ</t>
        </is>
      </c>
      <c r="J648" s="161" t="n">
        <v>22915</v>
      </c>
    </row>
    <row r="650" ht="21" customHeight="1">
      <c r="B650" s="6" t="inlineStr">
        <is>
          <t>ข้อต่อเกลียวนอก 1/4</t>
        </is>
      </c>
      <c r="C650" s="8" t="inlineStr">
        <is>
          <t>5ตัว</t>
        </is>
      </c>
      <c r="D650" s="9" t="n">
        <v>25</v>
      </c>
      <c r="H650" s="9" t="n">
        <v>125</v>
      </c>
      <c r="I650" s="10" t="inlineStr">
        <is>
          <t>ทาเลนท์อินเตอร์เทรด</t>
        </is>
      </c>
      <c r="J650" s="161" t="n">
        <v>22857</v>
      </c>
    </row>
    <row r="651" ht="21" customHeight="1">
      <c r="B651" s="6" t="inlineStr">
        <is>
          <t>ข้อต่อเกลียวนอก 1/4</t>
        </is>
      </c>
      <c r="C651" s="8" t="inlineStr">
        <is>
          <t>10ตัว</t>
        </is>
      </c>
      <c r="D651" s="9" t="n">
        <v>20</v>
      </c>
      <c r="H651" s="9" t="n">
        <v>200</v>
      </c>
      <c r="I651" s="10" t="inlineStr">
        <is>
          <t>ทาเลนท์อินเตอร์เทรด</t>
        </is>
      </c>
      <c r="J651" s="161" t="n">
        <v>23665</v>
      </c>
    </row>
    <row r="653" ht="21" customHeight="1">
      <c r="B653" s="6" t="inlineStr">
        <is>
          <t>ข้อต่อเกลียวใน 1/4</t>
        </is>
      </c>
      <c r="C653" s="8" t="inlineStr">
        <is>
          <t>10ตัว</t>
        </is>
      </c>
      <c r="D653" s="9" t="n">
        <v>65</v>
      </c>
      <c r="H653" s="9" t="n">
        <v>650</v>
      </c>
      <c r="I653" s="10" t="inlineStr">
        <is>
          <t>ทาเลนท์อินเตอร์เทรด</t>
        </is>
      </c>
      <c r="J653" s="161" t="n">
        <v>23184</v>
      </c>
    </row>
    <row r="655" ht="21" customHeight="1">
      <c r="A655" s="11" t="inlineStr">
        <is>
          <t>คอปเปอร์หางหนู</t>
        </is>
      </c>
      <c r="B655" s="6" t="inlineStr">
        <is>
          <t>ข้อต่อคอปเปอร์หางหนู 1/4 (2หุน)</t>
        </is>
      </c>
      <c r="C655" s="8" t="inlineStr">
        <is>
          <t>5ตัว</t>
        </is>
      </c>
      <c r="D655" s="9" t="n">
        <v>65</v>
      </c>
      <c r="H655" s="9" t="n">
        <v>325</v>
      </c>
      <c r="I655" s="10" t="inlineStr">
        <is>
          <t>ทาเลนท์อินเตอร์เทรด</t>
        </is>
      </c>
      <c r="J655" s="161" t="n">
        <v>22857</v>
      </c>
    </row>
    <row r="656" ht="21" customHeight="1">
      <c r="B656" s="6" t="inlineStr">
        <is>
          <t>ข้อต่อคอปเปอร์หางหนู 1/4 (2หุน)</t>
        </is>
      </c>
      <c r="C656" s="8" t="inlineStr">
        <is>
          <t>15ตัว</t>
        </is>
      </c>
      <c r="D656" s="9" t="n">
        <v>65</v>
      </c>
      <c r="H656" s="9" t="n">
        <v>975</v>
      </c>
      <c r="I656" s="10" t="inlineStr">
        <is>
          <t>ทาเลนท์อินเตอร์เทรด</t>
        </is>
      </c>
      <c r="J656" s="161" t="n">
        <v>23415</v>
      </c>
    </row>
    <row r="657" ht="21" customHeight="1">
      <c r="B657" s="6" t="inlineStr">
        <is>
          <t>ข้อต่อคอปเปอร์หางหนู 1/4 (2หุน)</t>
        </is>
      </c>
      <c r="C657" s="8" t="inlineStr">
        <is>
          <t>20ตัว</t>
        </is>
      </c>
      <c r="D657" s="9" t="n">
        <v>65</v>
      </c>
      <c r="H657" s="9" t="n">
        <v>1300</v>
      </c>
      <c r="I657" s="10" t="inlineStr">
        <is>
          <t>ทาเลนท์อินเตอร์เทรด</t>
        </is>
      </c>
      <c r="J657" s="161" t="n">
        <v>23813</v>
      </c>
    </row>
    <row r="658" ht="21" customHeight="1">
      <c r="B658" s="6" t="inlineStr">
        <is>
          <t>ข้อต่อคอปเปอร์หางหนู 1/4 (2หุน)</t>
        </is>
      </c>
      <c r="C658" s="8" t="inlineStr">
        <is>
          <t>1ตัว</t>
        </is>
      </c>
      <c r="D658" s="9" t="n">
        <v>150</v>
      </c>
      <c r="H658" s="9" t="n">
        <v>150</v>
      </c>
      <c r="I658" s="10" t="inlineStr">
        <is>
          <t>MEGA HOME</t>
        </is>
      </c>
      <c r="J658" s="161" t="n">
        <v>24115</v>
      </c>
    </row>
    <row r="659" ht="21" customHeight="1">
      <c r="B659" s="6" t="inlineStr">
        <is>
          <t>ข้อต่อคอปเปอร์หางหนู 1/4 (2หุน)</t>
        </is>
      </c>
      <c r="C659" s="8" t="inlineStr">
        <is>
          <t>12ตัว</t>
        </is>
      </c>
      <c r="D659" s="9" t="n">
        <v>65</v>
      </c>
      <c r="H659" s="9" t="n">
        <v>780</v>
      </c>
      <c r="I659" s="10" t="inlineStr">
        <is>
          <t>ทาเลนท์อินเตอร์เทรด</t>
        </is>
      </c>
      <c r="J659" s="161" t="n">
        <v>24168</v>
      </c>
      <c r="K659" s="161" t="inlineStr">
        <is>
          <t>IB3007951</t>
        </is>
      </c>
    </row>
    <row r="660" ht="21" customHeight="1">
      <c r="B660" s="6" t="inlineStr">
        <is>
          <t>ข้อต่อคอปเปอร์หางหนู 1/4 (2หุน)</t>
        </is>
      </c>
      <c r="C660" s="8" t="n">
        <v>10</v>
      </c>
      <c r="D660" s="9" t="n">
        <v>65</v>
      </c>
      <c r="H660" s="9">
        <f>SUM(D660*C660)</f>
        <v/>
      </c>
      <c r="I660" s="10" t="inlineStr">
        <is>
          <t>ทาเลนท์อินเตอร์เทรด</t>
        </is>
      </c>
      <c r="J660" s="161" t="n">
        <v>24406</v>
      </c>
      <c r="K660" s="161" t="inlineStr">
        <is>
          <t>IV2222638</t>
        </is>
      </c>
    </row>
    <row r="661" ht="21" customHeight="1">
      <c r="B661" s="6" t="inlineStr">
        <is>
          <t>ข้อต่อคอปเปอร์หางหนู 1/4 (2หุน)</t>
        </is>
      </c>
      <c r="C661" s="8" t="n">
        <v>10</v>
      </c>
      <c r="D661" s="9" t="n">
        <v>65</v>
      </c>
      <c r="H661" s="9">
        <f>SUM(D661*C661)</f>
        <v/>
      </c>
      <c r="I661" s="10" t="inlineStr">
        <is>
          <t>ทาเลนท์อินเตอร์เทรด</t>
        </is>
      </c>
      <c r="J661" s="161" t="n">
        <v>24617</v>
      </c>
      <c r="K661" s="161" t="inlineStr">
        <is>
          <t>IV2234107</t>
        </is>
      </c>
    </row>
    <row r="662" ht="21" customHeight="1">
      <c r="B662" s="6" t="inlineStr">
        <is>
          <t>ข้อต่อคอปเปอร์หางหนู 1/4 (2หุน) -- 8มิล</t>
        </is>
      </c>
      <c r="C662" s="8" t="n">
        <v>10</v>
      </c>
      <c r="D662" s="9" t="n">
        <v>15.3</v>
      </c>
      <c r="H662" s="9">
        <f>SUM(D662*C662)</f>
        <v/>
      </c>
      <c r="I662" s="10" t="inlineStr">
        <is>
          <t>Shoppee</t>
        </is>
      </c>
      <c r="J662" s="161" t="n">
        <v>25133</v>
      </c>
    </row>
    <row r="664" ht="21" customHeight="1">
      <c r="B664" s="6" t="inlineStr">
        <is>
          <t>ข้อต่อหางหนู 1/4 (2หุน)</t>
        </is>
      </c>
      <c r="C664" s="8" t="inlineStr">
        <is>
          <t>5ตัว</t>
        </is>
      </c>
      <c r="D664" s="9" t="n">
        <v>25</v>
      </c>
      <c r="H664" s="9" t="n">
        <v>125</v>
      </c>
      <c r="I664" s="10" t="inlineStr">
        <is>
          <t>ทาเลนท์อินเตอร์เทรด</t>
        </is>
      </c>
      <c r="J664" s="161" t="n">
        <v>22857</v>
      </c>
    </row>
    <row r="665" ht="21" customHeight="1">
      <c r="B665" s="6" t="inlineStr">
        <is>
          <t>ข้อต่อหางหนู 1/4 (2หุน)</t>
        </is>
      </c>
      <c r="C665" s="8" t="inlineStr">
        <is>
          <t>10ตัว</t>
        </is>
      </c>
      <c r="D665" s="9" t="n">
        <v>25</v>
      </c>
      <c r="H665" s="9" t="n">
        <v>250</v>
      </c>
      <c r="I665" s="10" t="inlineStr">
        <is>
          <t>ทาเลนท์อินเตอร์เทรด</t>
        </is>
      </c>
      <c r="J665" s="161" t="n">
        <v>23175</v>
      </c>
    </row>
    <row r="667" ht="21" customHeight="1">
      <c r="A667" s="11" t="inlineStr">
        <is>
          <t>เข็มขัดเลสรัดคอปเปอร์</t>
        </is>
      </c>
      <c r="B667" s="6" t="inlineStr">
        <is>
          <t>เข็มขัดเลสรัดคอปเปอร์ เบอร์ 00 13-19 มม. (ห่อละ3อัน)</t>
        </is>
      </c>
      <c r="C667" s="8" t="inlineStr">
        <is>
          <t>2ห่อ</t>
        </is>
      </c>
      <c r="D667" s="9" t="n">
        <v>38</v>
      </c>
      <c r="H667" s="9" t="n">
        <v>76</v>
      </c>
      <c r="I667" s="10" t="inlineStr">
        <is>
          <t>ไทวัสดุ</t>
        </is>
      </c>
      <c r="J667" s="161" t="n">
        <v>23539</v>
      </c>
      <c r="L667" s="18" t="inlineStr">
        <is>
          <t>อันละ 12.67 บาท</t>
        </is>
      </c>
    </row>
    <row r="668" ht="21" customHeight="1">
      <c r="B668" s="6" t="inlineStr">
        <is>
          <t>เข็มขัดเลสรัดคอปเปอร์ เบอร์ 00 13-19 มม. (ห่อละ3อัน)</t>
        </is>
      </c>
      <c r="C668" s="8" t="inlineStr">
        <is>
          <t>3ห่อ</t>
        </is>
      </c>
      <c r="D668" s="9" t="n">
        <v>38</v>
      </c>
      <c r="H668" s="9" t="n">
        <v>114</v>
      </c>
      <c r="I668" s="10" t="inlineStr">
        <is>
          <t>ไทวัสดุ</t>
        </is>
      </c>
      <c r="J668" s="161" t="n">
        <v>23812</v>
      </c>
      <c r="L668" s="18" t="inlineStr">
        <is>
          <t>อันละ 12.67 บาท</t>
        </is>
      </c>
    </row>
    <row r="669" ht="21" customHeight="1">
      <c r="B669" s="6" t="inlineStr">
        <is>
          <t xml:space="preserve">เข็มขัดเลสรัดคอปเปอร์ </t>
        </is>
      </c>
      <c r="C669" s="8" t="inlineStr">
        <is>
          <t>5อัน</t>
        </is>
      </c>
      <c r="D669" s="9" t="n">
        <v>10</v>
      </c>
      <c r="H669" s="9" t="n">
        <v>50</v>
      </c>
      <c r="I669" s="10" t="inlineStr">
        <is>
          <t>ร้านวัสดุก่อสร้าง</t>
        </is>
      </c>
      <c r="J669" s="161" t="n">
        <v>24530</v>
      </c>
    </row>
    <row r="670" ht="21" customHeight="1">
      <c r="B670" s="6" t="inlineStr">
        <is>
          <t xml:space="preserve">เข็มขัดเลสรัดคอปเปอร์ </t>
        </is>
      </c>
      <c r="C670" s="8" t="n">
        <v>8</v>
      </c>
      <c r="D670" s="9" t="n">
        <v>9.25</v>
      </c>
      <c r="H670" s="9">
        <f>SUM(D670*C670)</f>
        <v/>
      </c>
      <c r="I670" s="10" t="inlineStr">
        <is>
          <t>ไทวัสดุ</t>
        </is>
      </c>
      <c r="J670" s="161" t="n">
        <v>24759</v>
      </c>
    </row>
    <row r="671" ht="21" customHeight="1">
      <c r="B671" s="6" t="inlineStr">
        <is>
          <t xml:space="preserve">เข็มขัดเลสรัดคอปเปอร์ </t>
        </is>
      </c>
      <c r="C671" s="8" t="n">
        <v>10</v>
      </c>
      <c r="D671" s="9" t="n">
        <v>7</v>
      </c>
      <c r="H671" s="9">
        <f>SUM(D671*C671)</f>
        <v/>
      </c>
      <c r="I671" s="10" t="inlineStr">
        <is>
          <t>ร้านเทคนิค</t>
        </is>
      </c>
      <c r="J671" s="161" t="n">
        <v>25122</v>
      </c>
    </row>
    <row r="672" ht="21" customHeight="1">
      <c r="B672" s="6" t="inlineStr">
        <is>
          <t xml:space="preserve">เข็มขัดเลสรัดคอปเปอร์ </t>
        </is>
      </c>
      <c r="C672" s="8" t="n">
        <v>2</v>
      </c>
      <c r="D672" s="9" t="n">
        <v>16.82</v>
      </c>
      <c r="E672" s="9">
        <f>SUM(C672*D672)</f>
        <v/>
      </c>
      <c r="F672" s="8" t="inlineStr">
        <is>
          <t>รวมVAT=</t>
        </is>
      </c>
      <c r="G672" s="8" t="n">
        <v>1.07</v>
      </c>
      <c r="H672" s="9">
        <f>SUM(E672*G672)</f>
        <v/>
      </c>
      <c r="I672" s="10" t="inlineStr">
        <is>
          <t>ศรีสยาม</t>
        </is>
      </c>
      <c r="J672" s="161" t="n">
        <v>25210</v>
      </c>
    </row>
    <row r="674" ht="21" customHeight="1">
      <c r="A674" s="11" t="inlineStr">
        <is>
          <t>ปากกาเขียนเหล็ก</t>
        </is>
      </c>
      <c r="B674" s="6" t="inlineStr">
        <is>
          <t>ปากกาเขียนเหล็ก Unipaint PX-20 สีฟ้า -- มาย</t>
        </is>
      </c>
      <c r="C674" s="8" t="inlineStr">
        <is>
          <t xml:space="preserve">1แท่ง </t>
        </is>
      </c>
      <c r="D674" s="9" t="n">
        <v>60</v>
      </c>
      <c r="H674" s="9" t="n">
        <v>60</v>
      </c>
      <c r="I674" s="10" t="inlineStr">
        <is>
          <t>ศรีสยาม</t>
        </is>
      </c>
      <c r="J674" s="161" t="n">
        <v>23139</v>
      </c>
    </row>
    <row r="675" ht="21" customHeight="1">
      <c r="B675" s="6" t="inlineStr">
        <is>
          <t>ปากกาเขียนเหล็ก Unipaint PX-20 สีเหลือง -- ดาว</t>
        </is>
      </c>
      <c r="C675" s="8" t="inlineStr">
        <is>
          <t xml:space="preserve">1แท่ง </t>
        </is>
      </c>
      <c r="D675" s="9" t="n">
        <v>60</v>
      </c>
      <c r="H675" s="9" t="n">
        <v>60</v>
      </c>
      <c r="I675" s="10" t="inlineStr">
        <is>
          <t>ศรีสยาม</t>
        </is>
      </c>
      <c r="J675" s="161" t="n">
        <v>23180</v>
      </c>
    </row>
    <row r="676" ht="21" customHeight="1">
      <c r="B676" s="6" t="inlineStr">
        <is>
          <t>ปากกาเขียนเหล็ก มาสเตอร์ Magic ink pai  -- น้ำ</t>
        </is>
      </c>
      <c r="C676" s="8" t="inlineStr">
        <is>
          <t xml:space="preserve">1แท่ง </t>
        </is>
      </c>
      <c r="D676" s="9" t="n">
        <v>55</v>
      </c>
      <c r="H676" s="9" t="n">
        <v>55</v>
      </c>
      <c r="I676" s="10" t="inlineStr">
        <is>
          <t>จิตต์อะไหล่</t>
        </is>
      </c>
      <c r="J676" s="161" t="n">
        <v>23505</v>
      </c>
    </row>
    <row r="677" ht="21" customHeight="1">
      <c r="B677" s="6" t="inlineStr">
        <is>
          <t>ปากกาเขียนเหล็ก มาสเตอร์ Magic ink pai  -- น้ำ</t>
        </is>
      </c>
      <c r="C677" s="8" t="inlineStr">
        <is>
          <t xml:space="preserve">1แท่ง </t>
        </is>
      </c>
      <c r="D677" s="9" t="n">
        <v>55</v>
      </c>
      <c r="H677" s="9" t="n">
        <v>55</v>
      </c>
      <c r="I677" s="10" t="inlineStr">
        <is>
          <t>จิตต์อะไหล่</t>
        </is>
      </c>
      <c r="J677" s="161" t="n">
        <v>23596</v>
      </c>
    </row>
    <row r="678" ht="21" customHeight="1">
      <c r="B678" s="6" t="inlineStr">
        <is>
          <t>ปากกาเขียนเหล็ก Unipaint PX-20 สีเหลือง -- ดาว</t>
        </is>
      </c>
      <c r="C678" s="8" t="inlineStr">
        <is>
          <t xml:space="preserve">1แท่ง </t>
        </is>
      </c>
      <c r="D678" s="9" t="n">
        <v>60</v>
      </c>
      <c r="H678" s="9" t="n">
        <v>60</v>
      </c>
      <c r="I678" s="10" t="inlineStr">
        <is>
          <t>ศรีสยาม</t>
        </is>
      </c>
      <c r="J678" s="161" t="n">
        <v>23678</v>
      </c>
    </row>
    <row r="679" ht="21" customHeight="1">
      <c r="B679" s="6" t="inlineStr">
        <is>
          <t>ปากกาเขียนเหล็ก Unipaint PX-20 สีแดง -- น้ำ</t>
        </is>
      </c>
      <c r="C679" s="8" t="inlineStr">
        <is>
          <t xml:space="preserve">1แท่ง </t>
        </is>
      </c>
      <c r="D679" s="9" t="n">
        <v>60</v>
      </c>
      <c r="H679" s="9" t="n">
        <v>60</v>
      </c>
      <c r="I679" s="10" t="inlineStr">
        <is>
          <t>ศรีสยาม</t>
        </is>
      </c>
      <c r="J679" s="161" t="n">
        <v>23777</v>
      </c>
    </row>
    <row r="680" ht="21" customHeight="1">
      <c r="B680" s="6" t="inlineStr">
        <is>
          <t>ปากกาเขียนเหล็ก Unipaint PX-20 สีแดง -- น้ำ</t>
        </is>
      </c>
      <c r="C680" s="8" t="inlineStr">
        <is>
          <t xml:space="preserve">1แท่ง </t>
        </is>
      </c>
      <c r="D680" s="9" t="n">
        <v>60</v>
      </c>
      <c r="H680" s="9" t="n">
        <v>60</v>
      </c>
      <c r="I680" s="10" t="inlineStr">
        <is>
          <t>ศรีสยาม</t>
        </is>
      </c>
      <c r="J680" s="161" t="n">
        <v>24159</v>
      </c>
    </row>
    <row r="681" ht="21" customHeight="1">
      <c r="B681" s="6" t="inlineStr">
        <is>
          <t>ปากกาเขียนเหล็ก Unipaint PX-20 สีเหลือง -- ราญ</t>
        </is>
      </c>
      <c r="C681" s="8" t="inlineStr">
        <is>
          <t xml:space="preserve">1แท่ง </t>
        </is>
      </c>
      <c r="D681" s="9" t="n">
        <v>60</v>
      </c>
      <c r="H681" s="9" t="n">
        <v>60</v>
      </c>
      <c r="I681" s="10" t="inlineStr">
        <is>
          <t>ศรีสยาม</t>
        </is>
      </c>
      <c r="J681" s="161" t="n">
        <v>24159</v>
      </c>
    </row>
    <row r="682" ht="21" customHeight="1">
      <c r="B682" s="6" t="inlineStr">
        <is>
          <t>ปากกาเขียนเหล็ก Unipaint PX-20 สีแดง -- ดาว</t>
        </is>
      </c>
      <c r="C682" s="8" t="inlineStr">
        <is>
          <t xml:space="preserve">1แท่ง </t>
        </is>
      </c>
      <c r="D682" s="9" t="n">
        <v>60</v>
      </c>
      <c r="H682" s="9" t="n">
        <v>60</v>
      </c>
      <c r="I682" s="10" t="inlineStr">
        <is>
          <t>ศรีสยาม</t>
        </is>
      </c>
      <c r="J682" s="161" t="n">
        <v>24315</v>
      </c>
    </row>
    <row r="683" ht="21" customHeight="1">
      <c r="B683" s="6" t="inlineStr">
        <is>
          <t xml:space="preserve">ปากกาเขียนเหล็ก Unipaint PX-20 </t>
        </is>
      </c>
      <c r="C683" s="8" t="n">
        <v>5</v>
      </c>
      <c r="D683" s="9" t="n">
        <v>55</v>
      </c>
      <c r="H683" s="9">
        <f>SUM(D683*C683)</f>
        <v/>
      </c>
      <c r="I683" s="10" t="inlineStr">
        <is>
          <t>ร้านวัสดุก่อสร้าง</t>
        </is>
      </c>
      <c r="J683" s="161" t="n">
        <v>24401</v>
      </c>
      <c r="L683" s="18" t="inlineStr">
        <is>
          <t>พี่เอกซื้อ</t>
        </is>
      </c>
    </row>
    <row r="684" ht="21" customHeight="1">
      <c r="B684" s="6" t="inlineStr">
        <is>
          <t xml:space="preserve">ปากกาเขียนเหล็ก Unipaint PX-20 </t>
        </is>
      </c>
      <c r="C684" s="8" t="n">
        <v>2</v>
      </c>
      <c r="D684" s="9" t="n">
        <v>55</v>
      </c>
      <c r="H684" s="9">
        <f>SUM(D684*C684)</f>
        <v/>
      </c>
      <c r="I684" s="10" t="inlineStr">
        <is>
          <t>ร้านวัสดุก่อสร้าง</t>
        </is>
      </c>
      <c r="J684" s="161" t="n">
        <v>24718</v>
      </c>
      <c r="L684" s="18" t="inlineStr">
        <is>
          <t>พี่เอกซื้อ</t>
        </is>
      </c>
    </row>
    <row r="685" ht="21" customHeight="1">
      <c r="B685" s="6" t="inlineStr">
        <is>
          <t xml:space="preserve">ปากกาเขียนเหล็ก Unipaint PX-20 </t>
        </is>
      </c>
      <c r="C685" s="8" t="n">
        <v>2</v>
      </c>
      <c r="D685" s="9" t="n">
        <v>55</v>
      </c>
      <c r="H685" s="9">
        <f>SUM(D685*C685)</f>
        <v/>
      </c>
      <c r="I685" s="10" t="inlineStr">
        <is>
          <t>ร้านโรจน</t>
        </is>
      </c>
      <c r="J685" s="161" t="n">
        <v>24979</v>
      </c>
    </row>
    <row r="687" ht="21" customHeight="1">
      <c r="A687" s="11" t="inlineStr">
        <is>
          <t>สายน้ำมัน</t>
        </is>
      </c>
      <c r="B687" s="6" t="inlineStr">
        <is>
          <t>สายน้ำมันเป็นม้วน 7/16"</t>
        </is>
      </c>
      <c r="C687" s="8" t="inlineStr">
        <is>
          <t>2.3เมตร</t>
        </is>
      </c>
      <c r="D687" s="9" t="n">
        <v>80</v>
      </c>
      <c r="H687" s="9" t="n">
        <v>184</v>
      </c>
      <c r="I687" s="10" t="inlineStr">
        <is>
          <t>ศรีสยาม</t>
        </is>
      </c>
      <c r="J687" s="161" t="n">
        <v>23186</v>
      </c>
    </row>
    <row r="689" ht="21" customHeight="1">
      <c r="A689" s="11" t="inlineStr">
        <is>
          <t>กาวยาง</t>
        </is>
      </c>
      <c r="B689" s="6" t="inlineStr">
        <is>
          <t>กาวยาง ตราหมา (เล็ก) 200 ml.</t>
        </is>
      </c>
      <c r="C689" s="8" t="inlineStr">
        <is>
          <t>12กป.</t>
        </is>
      </c>
      <c r="D689" s="9" t="n">
        <v>38.33</v>
      </c>
      <c r="H689" s="9" t="n">
        <v>460</v>
      </c>
      <c r="I689" s="10" t="inlineStr">
        <is>
          <t>ศรีสยาม</t>
        </is>
      </c>
      <c r="J689" s="161" t="n">
        <v>23187</v>
      </c>
    </row>
    <row r="690" ht="21" customHeight="1">
      <c r="B690" s="6" t="inlineStr">
        <is>
          <t>กาวยาง ตราหมา (เล็ก) -- 1ลัง = 36 กป.</t>
        </is>
      </c>
      <c r="C690" s="8" t="inlineStr">
        <is>
          <t>1ลัง</t>
        </is>
      </c>
      <c r="D690" s="9" t="n">
        <v>35.56</v>
      </c>
      <c r="H690" s="9" t="n">
        <v>1280</v>
      </c>
      <c r="I690" s="10" t="inlineStr">
        <is>
          <t>ศรีสยาม</t>
        </is>
      </c>
      <c r="J690" s="161" t="n">
        <v>23271</v>
      </c>
    </row>
    <row r="691" ht="21" customHeight="1">
      <c r="B691" s="6" t="inlineStr">
        <is>
          <t>กาวยาง ตราหมา (เล็ก) 200 ml.</t>
        </is>
      </c>
      <c r="C691" s="8" t="inlineStr">
        <is>
          <t>12กป.</t>
        </is>
      </c>
      <c r="D691" s="9" t="n">
        <v>38.33</v>
      </c>
      <c r="H691" s="9" t="n">
        <v>460</v>
      </c>
      <c r="I691" s="10" t="inlineStr">
        <is>
          <t>ศรีสยาม</t>
        </is>
      </c>
      <c r="J691" s="161" t="n">
        <v>23572</v>
      </c>
    </row>
    <row r="692" ht="21" customHeight="1">
      <c r="B692" s="6" t="inlineStr">
        <is>
          <t>กาวยาง ตราหมา (เล็ก) 200 ml. -- 1ลัง = 36 กป.</t>
        </is>
      </c>
      <c r="C692" s="8" t="inlineStr">
        <is>
          <t>1ลัง</t>
        </is>
      </c>
      <c r="D692" s="9" t="n">
        <v>35.56</v>
      </c>
      <c r="H692" s="9" t="n">
        <v>1280</v>
      </c>
      <c r="I692" s="10" t="inlineStr">
        <is>
          <t>ศรีสยาม</t>
        </is>
      </c>
      <c r="J692" s="161" t="n">
        <v>23654</v>
      </c>
    </row>
    <row r="693" ht="21" customHeight="1">
      <c r="B693" s="6" t="inlineStr">
        <is>
          <t>กาวยาง ตราหมา (เล็ก) 200 ml. -- 1ลัง = 36 กป.</t>
        </is>
      </c>
      <c r="C693" s="8" t="inlineStr">
        <is>
          <t>1ลัง</t>
        </is>
      </c>
      <c r="D693" s="9" t="n">
        <v>41.11</v>
      </c>
      <c r="H693" s="9" t="n">
        <v>1480</v>
      </c>
      <c r="I693" s="10" t="inlineStr">
        <is>
          <t>ศรีสยาม</t>
        </is>
      </c>
      <c r="J693" s="161" t="n">
        <v>23928</v>
      </c>
    </row>
    <row r="694" ht="21" customHeight="1">
      <c r="B694" s="6" t="inlineStr">
        <is>
          <t xml:space="preserve">กาวยาง ตราหมา (เล็ก) 200 ml. </t>
        </is>
      </c>
      <c r="C694" s="8" t="inlineStr">
        <is>
          <t>12กป.</t>
        </is>
      </c>
      <c r="D694" s="9" t="n">
        <v>50</v>
      </c>
      <c r="H694" s="9" t="n">
        <v>600</v>
      </c>
      <c r="I694" s="10" t="inlineStr">
        <is>
          <t>ศรีสยาม</t>
        </is>
      </c>
      <c r="J694" s="161" t="n">
        <v>24216</v>
      </c>
      <c r="L694" s="43" t="inlineStr">
        <is>
          <t>ซื้อเป็น กป. ราคาเท่าซื้อเป็นลัง</t>
        </is>
      </c>
    </row>
    <row r="695" ht="21" customHeight="1">
      <c r="B695" s="6" t="inlineStr">
        <is>
          <t xml:space="preserve">กาวยาง ตราหมา (เล็ก) 200 ml. </t>
        </is>
      </c>
      <c r="C695" s="8" t="n">
        <v>12</v>
      </c>
      <c r="D695" s="9" t="n">
        <v>56</v>
      </c>
      <c r="H695" s="9">
        <f>SUM(D695*C695)</f>
        <v/>
      </c>
      <c r="I695" s="10" t="inlineStr">
        <is>
          <t>ทาเลนท์อินเตอร์เทรด</t>
        </is>
      </c>
      <c r="J695" s="161" t="n">
        <v>24334</v>
      </c>
      <c r="K695" s="161" t="inlineStr">
        <is>
          <t>IV2218115</t>
        </is>
      </c>
      <c r="L695" s="55" t="inlineStr">
        <is>
          <t>ราคายังไม่รวม VAT</t>
        </is>
      </c>
    </row>
    <row r="696" ht="21" customHeight="1">
      <c r="B696" s="6" t="inlineStr">
        <is>
          <t xml:space="preserve">กาวยาง BOSNY (เล็ก) 200 ml. </t>
        </is>
      </c>
      <c r="C696" s="8" t="n">
        <v>12</v>
      </c>
      <c r="D696" s="9" t="n">
        <v>48</v>
      </c>
      <c r="H696" s="9">
        <f>SUM(D696*C696)</f>
        <v/>
      </c>
      <c r="I696" s="10" t="inlineStr">
        <is>
          <t>ทาเลนท์อินเตอร์เทรด</t>
        </is>
      </c>
      <c r="J696" s="161" t="n">
        <v>24789</v>
      </c>
      <c r="K696" s="161" t="inlineStr">
        <is>
          <t>IV2223758</t>
        </is>
      </c>
      <c r="L696" s="55" t="inlineStr">
        <is>
          <t>ราคายังไม่รวม VAT</t>
        </is>
      </c>
    </row>
    <row r="697" ht="21" customFormat="1" customHeight="1" s="30">
      <c r="A697" s="29" t="n"/>
      <c r="B697" s="30" t="inlineStr">
        <is>
          <t>** เคยเทียบราคาร้านจิตต์ / ร้านศรีสยาม / Shopee แล้ว สรุปว่า ร้านทาเลนท์ถูกที่สุด (12/3/67)</t>
        </is>
      </c>
      <c r="C697" s="29" t="n"/>
      <c r="D697" s="31" t="n"/>
      <c r="E697" s="31" t="n"/>
      <c r="F697" s="29" t="n"/>
      <c r="G697" s="29" t="n"/>
      <c r="H697" s="31" t="n"/>
      <c r="I697" s="32" t="n"/>
      <c r="J697" s="165" t="n"/>
      <c r="K697" s="165" t="n"/>
      <c r="L697" s="14" t="n"/>
    </row>
    <row r="698" ht="21" customHeight="1">
      <c r="B698" s="6" t="inlineStr">
        <is>
          <t xml:space="preserve">กาวยาง BOSNY (เล็ก) 200 ml. </t>
        </is>
      </c>
      <c r="C698" s="8" t="n">
        <v>12</v>
      </c>
      <c r="D698" s="9" t="n">
        <v>48</v>
      </c>
      <c r="H698" s="9">
        <f>SUM(D698*C698)</f>
        <v/>
      </c>
      <c r="I698" s="10" t="inlineStr">
        <is>
          <t>ทาเลนท์อินเตอร์เทรด</t>
        </is>
      </c>
      <c r="J698" s="161" t="n">
        <v>24549</v>
      </c>
      <c r="K698" s="161" t="inlineStr">
        <is>
          <t>IV2230655</t>
        </is>
      </c>
      <c r="L698" s="55" t="inlineStr">
        <is>
          <t>ราคายังไม่รวม VAT</t>
        </is>
      </c>
    </row>
    <row r="699" ht="21" customHeight="1">
      <c r="B699" s="6" t="inlineStr">
        <is>
          <t xml:space="preserve">กาวยาง BOSNY (เล็ก) 200 ml. </t>
        </is>
      </c>
      <c r="C699" s="8" t="n">
        <v>12</v>
      </c>
      <c r="D699" s="9" t="n">
        <v>48</v>
      </c>
      <c r="H699" s="9">
        <f>SUM(D699*C699)</f>
        <v/>
      </c>
      <c r="I699" s="10" t="inlineStr">
        <is>
          <t>ทาเลนท์อินเตอร์เทรด</t>
        </is>
      </c>
      <c r="J699" s="161" t="n">
        <v>24657</v>
      </c>
      <c r="K699" s="161" t="inlineStr">
        <is>
          <t>IV2236517</t>
        </is>
      </c>
      <c r="L699" s="55" t="inlineStr">
        <is>
          <t>ราคายังไม่รวม VAT</t>
        </is>
      </c>
    </row>
    <row r="700" ht="21" customHeight="1">
      <c r="B700" s="6" t="inlineStr">
        <is>
          <t xml:space="preserve">กาวยาง BOSNY (เล็ก) 200 ml. </t>
        </is>
      </c>
      <c r="C700" s="8" t="n">
        <v>24</v>
      </c>
      <c r="D700" s="9" t="n">
        <v>48</v>
      </c>
      <c r="H700" s="9">
        <f>SUM(D700*C700)</f>
        <v/>
      </c>
      <c r="I700" s="10" t="inlineStr">
        <is>
          <t>ทาเลนท์อินเตอร์เทรด</t>
        </is>
      </c>
      <c r="J700" s="161" t="n">
        <v>24767</v>
      </c>
      <c r="K700" s="161" t="inlineStr">
        <is>
          <t>IV2242758</t>
        </is>
      </c>
      <c r="L700" s="55" t="inlineStr">
        <is>
          <t>ราคายังไม่รวม VAT</t>
        </is>
      </c>
    </row>
    <row r="701" ht="21" customHeight="1">
      <c r="B701" s="6" t="inlineStr">
        <is>
          <t xml:space="preserve">กาวยาง BOSNY (เล็ก) 200 ml. </t>
        </is>
      </c>
      <c r="C701" s="8" t="n">
        <v>24</v>
      </c>
      <c r="D701" s="9" t="n">
        <v>48</v>
      </c>
      <c r="H701" s="9">
        <f>SUM(D701*C701)</f>
        <v/>
      </c>
      <c r="I701" s="10" t="inlineStr">
        <is>
          <t>ทาเลนท์อินเตอร์เทรด</t>
        </is>
      </c>
      <c r="J701" s="161" t="n">
        <v>24991</v>
      </c>
      <c r="K701" s="161" t="inlineStr">
        <is>
          <t>IV6808617</t>
        </is>
      </c>
      <c r="L701" s="55" t="inlineStr">
        <is>
          <t>ราคายังไม่รวม VAT</t>
        </is>
      </c>
    </row>
    <row r="703" ht="21" customHeight="1">
      <c r="A703" s="11" t="inlineStr">
        <is>
          <t>ตะกั่วขด</t>
        </is>
      </c>
      <c r="B703" s="6" t="inlineStr">
        <is>
          <t>ตะกั่วขด 60/40 ขนาด 1.2 มม.  0.25 ปอนด์</t>
        </is>
      </c>
      <c r="C703" s="8" t="inlineStr">
        <is>
          <t>1ม้วน</t>
        </is>
      </c>
      <c r="D703" s="9" t="n">
        <v>238</v>
      </c>
      <c r="H703" s="9" t="n">
        <v>238</v>
      </c>
      <c r="I703" s="10" t="inlineStr">
        <is>
          <t>ไทวัสดุ</t>
        </is>
      </c>
      <c r="J703" s="161" t="n">
        <v>23236</v>
      </c>
    </row>
    <row r="704" ht="21" customHeight="1">
      <c r="B704" s="6" t="inlineStr">
        <is>
          <t>ตะกั่วขด 60/40 ขนาด 1.2 มม.  0.25 ปอนด์</t>
        </is>
      </c>
      <c r="C704" s="8" t="inlineStr">
        <is>
          <t>1ม้วน</t>
        </is>
      </c>
      <c r="D704" s="9" t="n">
        <v>238</v>
      </c>
      <c r="H704" s="9" t="n">
        <v>238</v>
      </c>
      <c r="I704" s="10" t="inlineStr">
        <is>
          <t>ไทวัสดุ</t>
        </is>
      </c>
      <c r="J704" s="161" t="n">
        <v>23501</v>
      </c>
    </row>
    <row r="706" ht="21" customHeight="1">
      <c r="A706" s="11" t="inlineStr">
        <is>
          <t>กาวประกอบเครื่อง</t>
        </is>
      </c>
      <c r="B706" s="6" t="inlineStr">
        <is>
          <t>กาว สีดำ LOCTITE</t>
        </is>
      </c>
      <c r="C706" s="8" t="inlineStr">
        <is>
          <t>1หลอด</t>
        </is>
      </c>
      <c r="D706" s="9" t="n">
        <v>100</v>
      </c>
      <c r="H706" s="9" t="n">
        <v>100</v>
      </c>
      <c r="I706" s="10" t="inlineStr">
        <is>
          <t>ศรีสยาม</t>
        </is>
      </c>
      <c r="J706" s="161" t="n">
        <v>23282</v>
      </c>
    </row>
    <row r="707" ht="21" customHeight="1">
      <c r="B707" s="6" t="inlineStr">
        <is>
          <t>กาว สีดำ LOCTITE</t>
        </is>
      </c>
      <c r="C707" s="8" t="inlineStr">
        <is>
          <t>1หลอด</t>
        </is>
      </c>
      <c r="D707" s="9" t="n">
        <v>100</v>
      </c>
      <c r="H707" s="9" t="n">
        <v>100</v>
      </c>
      <c r="I707" s="10" t="inlineStr">
        <is>
          <t>ศรีสยาม</t>
        </is>
      </c>
      <c r="J707" s="161" t="n">
        <v>23343</v>
      </c>
    </row>
    <row r="709" ht="21" customHeight="1">
      <c r="B709" s="6" t="inlineStr">
        <is>
          <t>กาว สีเทา LOCTITE</t>
        </is>
      </c>
      <c r="C709" s="8" t="inlineStr">
        <is>
          <t>1หลอด</t>
        </is>
      </c>
      <c r="D709" s="9" t="n">
        <v>120</v>
      </c>
      <c r="H709" s="9" t="n">
        <v>120</v>
      </c>
      <c r="I709" s="10" t="inlineStr">
        <is>
          <t>ศรีสยาม</t>
        </is>
      </c>
      <c r="J709" s="161" t="n">
        <v>23282</v>
      </c>
    </row>
    <row r="710" ht="21" customHeight="1">
      <c r="B710" s="6" t="inlineStr">
        <is>
          <t>กาว สีเทา LOCTITE</t>
        </is>
      </c>
      <c r="C710" s="8" t="inlineStr">
        <is>
          <t>1หลอด</t>
        </is>
      </c>
      <c r="D710" s="9" t="n">
        <v>120</v>
      </c>
      <c r="H710" s="9" t="n">
        <v>120</v>
      </c>
      <c r="I710" s="10" t="inlineStr">
        <is>
          <t>ศรีสยาม</t>
        </is>
      </c>
      <c r="J710" s="161" t="n">
        <v>23306</v>
      </c>
    </row>
    <row r="711" ht="21" customHeight="1">
      <c r="B711" s="6" t="inlineStr">
        <is>
          <t>กาว สีเทา LOCTITE</t>
        </is>
      </c>
      <c r="C711" s="8" t="inlineStr">
        <is>
          <t>1หลอด</t>
        </is>
      </c>
      <c r="D711" s="9" t="n">
        <v>120</v>
      </c>
      <c r="H711" s="9" t="n">
        <v>120</v>
      </c>
      <c r="I711" s="10" t="inlineStr">
        <is>
          <t>ศรีสยาม</t>
        </is>
      </c>
      <c r="J711" s="161" t="n">
        <v>23343</v>
      </c>
    </row>
    <row r="713" ht="21" customHeight="1">
      <c r="B713" s="6" t="inlineStr">
        <is>
          <t>กาว สีแดง VERSACHEM</t>
        </is>
      </c>
      <c r="C713" s="8" t="inlineStr">
        <is>
          <t>1หลอด</t>
        </is>
      </c>
      <c r="D713" s="9" t="n">
        <v>90</v>
      </c>
      <c r="H713" s="9" t="n">
        <v>90</v>
      </c>
      <c r="I713" s="10" t="inlineStr">
        <is>
          <t>ศรีสยาม</t>
        </is>
      </c>
      <c r="J713" s="161" t="n">
        <v>23282</v>
      </c>
    </row>
    <row r="715" ht="21" customHeight="1">
      <c r="A715" s="11" t="inlineStr">
        <is>
          <t>ฟิล์วเสียบ</t>
        </is>
      </c>
      <c r="B715" s="6" t="inlineStr">
        <is>
          <t>ฟิล์วเสียบ 10A</t>
        </is>
      </c>
      <c r="C715" s="8" t="inlineStr">
        <is>
          <t>10ตัว</t>
        </is>
      </c>
      <c r="D715" s="9" t="n">
        <v>2</v>
      </c>
      <c r="H715" s="9" t="n">
        <v>20</v>
      </c>
      <c r="I715" s="10" t="inlineStr">
        <is>
          <t>จิตต์อะไหล่</t>
        </is>
      </c>
      <c r="J715" s="161" t="n">
        <v>23340</v>
      </c>
    </row>
    <row r="717" ht="21" customHeight="1">
      <c r="B717" s="6" t="inlineStr">
        <is>
          <t>ฟิล์วเสียบ 15A</t>
        </is>
      </c>
      <c r="C717" s="8" t="inlineStr">
        <is>
          <t>10ตัว</t>
        </is>
      </c>
      <c r="D717" s="9" t="n">
        <v>2</v>
      </c>
      <c r="H717" s="9" t="n">
        <v>20</v>
      </c>
      <c r="I717" s="10" t="inlineStr">
        <is>
          <t>จิตต์อะไหล่</t>
        </is>
      </c>
      <c r="J717" s="161" t="n">
        <v>23340</v>
      </c>
    </row>
    <row r="719" ht="21" customHeight="1">
      <c r="B719" s="6" t="inlineStr">
        <is>
          <t>ฟิล์วเสียบ 20A</t>
        </is>
      </c>
      <c r="C719" s="8" t="inlineStr">
        <is>
          <t>10ตัว</t>
        </is>
      </c>
      <c r="D719" s="9" t="n">
        <v>2</v>
      </c>
      <c r="H719" s="9" t="n">
        <v>20</v>
      </c>
      <c r="I719" s="10" t="inlineStr">
        <is>
          <t>จิตต์อะไหล่</t>
        </is>
      </c>
      <c r="J719" s="161" t="n">
        <v>23340</v>
      </c>
    </row>
    <row r="721" ht="21" customHeight="1">
      <c r="B721" s="6" t="inlineStr">
        <is>
          <t>ฟิล์วเสียบ 25A</t>
        </is>
      </c>
      <c r="C721" s="8" t="inlineStr">
        <is>
          <t>10ตัว</t>
        </is>
      </c>
      <c r="D721" s="9" t="n">
        <v>2</v>
      </c>
      <c r="H721" s="9" t="n">
        <v>20</v>
      </c>
      <c r="I721" s="10" t="inlineStr">
        <is>
          <t>จิตต์อะไหล่</t>
        </is>
      </c>
      <c r="J721" s="161" t="n">
        <v>23340</v>
      </c>
    </row>
    <row r="724" ht="21" customHeight="1">
      <c r="A724" s="11" t="inlineStr">
        <is>
          <t>ถ่านไฟแช็ค จุดแก๊ส</t>
        </is>
      </c>
      <c r="B724" s="6" t="inlineStr">
        <is>
          <t>ถ่านไฟแช็ค จุดแก๊ส</t>
        </is>
      </c>
      <c r="C724" s="8" t="inlineStr">
        <is>
          <t>2แผง</t>
        </is>
      </c>
      <c r="D724" s="9" t="n">
        <v>25</v>
      </c>
      <c r="H724" s="9" t="n">
        <v>50</v>
      </c>
      <c r="I724" s="10" t="inlineStr">
        <is>
          <t>ศรีสยาม</t>
        </is>
      </c>
      <c r="J724" s="161" t="n">
        <v>23186</v>
      </c>
    </row>
    <row r="725" ht="21" customHeight="1">
      <c r="A725" s="6" t="n"/>
      <c r="B725" s="6" t="inlineStr">
        <is>
          <t>ถ่านไฟแช็ค จุดแก๊ส</t>
        </is>
      </c>
      <c r="C725" s="8" t="inlineStr">
        <is>
          <t>1แผง</t>
        </is>
      </c>
      <c r="D725" s="9" t="n">
        <v>14</v>
      </c>
      <c r="H725" s="9" t="n">
        <v>14</v>
      </c>
      <c r="I725" s="10" t="inlineStr">
        <is>
          <t>จิตต์อะไหล่</t>
        </is>
      </c>
      <c r="J725" s="161" t="n">
        <v>23356</v>
      </c>
    </row>
    <row r="726" ht="21" customHeight="1">
      <c r="A726" s="6" t="n"/>
      <c r="B726" s="6" t="inlineStr">
        <is>
          <t>ถ่านไฟแช็ค จุดแก๊ส</t>
        </is>
      </c>
      <c r="C726" s="8" t="inlineStr">
        <is>
          <t>1แผง</t>
        </is>
      </c>
      <c r="D726" s="9" t="n">
        <v>14</v>
      </c>
      <c r="H726" s="9" t="n">
        <v>14</v>
      </c>
      <c r="I726" s="10" t="inlineStr">
        <is>
          <t>จิตต์อะไหล่</t>
        </is>
      </c>
      <c r="J726" s="161" t="n">
        <v>24050</v>
      </c>
    </row>
    <row r="727" ht="21" customHeight="1">
      <c r="A727" s="58" t="inlineStr">
        <is>
          <t>14/8 ร้านจิตแจ้งว่าไม่มีของ</t>
        </is>
      </c>
      <c r="B727" s="6" t="inlineStr">
        <is>
          <t>ถ่านไฟแช็ค จุดแก๊ส</t>
        </is>
      </c>
      <c r="C727" s="8" t="inlineStr">
        <is>
          <t>1แผง</t>
        </is>
      </c>
      <c r="D727" s="9" t="n">
        <v>25</v>
      </c>
      <c r="H727" s="9" t="n">
        <v>25</v>
      </c>
      <c r="I727" s="10" t="inlineStr">
        <is>
          <t>ศรีสยาม</t>
        </is>
      </c>
      <c r="J727" s="161" t="n">
        <v>25064</v>
      </c>
    </row>
    <row r="729" ht="21" customHeight="1">
      <c r="A729" s="11" t="inlineStr">
        <is>
          <t>ปิ๊นกระป๋อง</t>
        </is>
      </c>
      <c r="B729" s="6" t="inlineStr">
        <is>
          <t xml:space="preserve">ปิ๊นกระป๋อง ทั่วไป BPS สีดำ </t>
        </is>
      </c>
      <c r="C729" s="8" t="inlineStr">
        <is>
          <t>1กระป๋อง</t>
        </is>
      </c>
      <c r="D729" s="9" t="n">
        <v>25</v>
      </c>
      <c r="H729" s="9" t="n">
        <v>25</v>
      </c>
      <c r="I729" s="10" t="inlineStr">
        <is>
          <t>ศรีสยาม</t>
        </is>
      </c>
      <c r="J729" s="161" t="n">
        <v>23170</v>
      </c>
    </row>
    <row r="730" ht="21" customHeight="1">
      <c r="A730" s="6" t="n"/>
      <c r="B730" s="6" t="inlineStr">
        <is>
          <t xml:space="preserve">ปิ๊นกระป๋อง ทั่วไป BPS สีดำ </t>
        </is>
      </c>
      <c r="C730" s="8" t="inlineStr">
        <is>
          <t>1กป.</t>
        </is>
      </c>
      <c r="D730" s="9" t="n">
        <v>23</v>
      </c>
      <c r="H730" s="9" t="n">
        <v>23</v>
      </c>
      <c r="I730" s="10" t="inlineStr">
        <is>
          <t>ศรีสยาม</t>
        </is>
      </c>
      <c r="J730" s="161" t="n">
        <v>23452</v>
      </c>
    </row>
    <row r="731" ht="21" customHeight="1">
      <c r="A731" s="6" t="n"/>
      <c r="B731" s="6" t="inlineStr">
        <is>
          <t xml:space="preserve">ปิ๊นกระป๋อง ทั่วไป BPS สีดำ </t>
        </is>
      </c>
      <c r="C731" s="8" t="inlineStr">
        <is>
          <t>1กป.</t>
        </is>
      </c>
      <c r="D731" s="9" t="n">
        <v>23</v>
      </c>
      <c r="H731" s="9" t="n">
        <v>23</v>
      </c>
      <c r="I731" s="10" t="inlineStr">
        <is>
          <t>ศรีสยาม</t>
        </is>
      </c>
      <c r="J731" s="161" t="n">
        <v>23794</v>
      </c>
    </row>
    <row r="732" ht="21" customHeight="1">
      <c r="A732" s="6" t="n"/>
      <c r="B732" s="6" t="inlineStr">
        <is>
          <t xml:space="preserve">ปิ๊นกระป๋อง ทั่วไป BPS สีดำ </t>
        </is>
      </c>
      <c r="C732" s="8" t="inlineStr">
        <is>
          <t>1กป.</t>
        </is>
      </c>
      <c r="D732" s="9" t="n">
        <v>25</v>
      </c>
      <c r="H732" s="9" t="n">
        <v>25</v>
      </c>
      <c r="I732" s="10" t="inlineStr">
        <is>
          <t>ศรีสยาม</t>
        </is>
      </c>
      <c r="J732" s="161" t="n">
        <v>24219</v>
      </c>
    </row>
    <row r="734" ht="21" customHeight="1">
      <c r="A734" s="11" t="inlineStr">
        <is>
          <t>ถ่านเครื่องขัดสี</t>
        </is>
      </c>
      <c r="B734" s="6" t="inlineStr">
        <is>
          <t>ถ่านหินเจียไฟฟ้า CB-100A Makita</t>
        </is>
      </c>
      <c r="C734" s="8" t="inlineStr">
        <is>
          <t>1กล่อง</t>
        </is>
      </c>
      <c r="D734" s="9" t="n">
        <v>65</v>
      </c>
      <c r="H734" s="9" t="n">
        <v>65</v>
      </c>
      <c r="I734" s="10" t="inlineStr">
        <is>
          <t>ศรีสยาม</t>
        </is>
      </c>
      <c r="J734" s="161" t="n">
        <v>23473</v>
      </c>
    </row>
    <row r="735" ht="21" customHeight="1">
      <c r="A735" s="8" t="inlineStr">
        <is>
          <t>(ถ่านหินเจียไฟฟ้า)</t>
        </is>
      </c>
      <c r="B735" s="6" t="inlineStr">
        <is>
          <t>ถ่านหินเจียไฟฟ้า CB-100A Makita</t>
        </is>
      </c>
      <c r="C735" s="8" t="inlineStr">
        <is>
          <t>4กล่อง</t>
        </is>
      </c>
      <c r="D735" s="9" t="n">
        <v>41.25</v>
      </c>
      <c r="H735" s="9" t="n">
        <v>165</v>
      </c>
      <c r="I735" s="10" t="inlineStr">
        <is>
          <t>เอกสั่งซื้อจาก Shopee</t>
        </is>
      </c>
      <c r="J735" s="161" t="n">
        <v>23691</v>
      </c>
      <c r="L735" s="18" t="inlineStr">
        <is>
          <t>ราคารวมค่าส่ง</t>
        </is>
      </c>
    </row>
    <row r="736" ht="21" customHeight="1">
      <c r="B736" s="6" t="inlineStr">
        <is>
          <t>ถ่านหินเครื่องขัดสี CB-100 (กล่องละ2อัน)</t>
        </is>
      </c>
      <c r="C736" s="8" t="n">
        <v>4</v>
      </c>
      <c r="D736" s="9" t="n">
        <v>34.5</v>
      </c>
      <c r="H736" s="9">
        <f>SUM(D736*C736)</f>
        <v/>
      </c>
      <c r="I736" s="10" t="inlineStr">
        <is>
          <t>เอกสั่งซื้อจาก Shopee</t>
        </is>
      </c>
      <c r="J736" s="161" t="n">
        <v>24706</v>
      </c>
    </row>
    <row r="738" ht="21" customHeight="1">
      <c r="B738" s="6" t="inlineStr">
        <is>
          <t>ถ่านหินเจียไฟฟ้า CB-411A Makita</t>
        </is>
      </c>
      <c r="C738" s="8" t="inlineStr">
        <is>
          <t>1กล่อง</t>
        </is>
      </c>
      <c r="D738" s="9" t="n">
        <v>65</v>
      </c>
      <c r="H738" s="9" t="n">
        <v>65</v>
      </c>
      <c r="I738" s="10" t="inlineStr">
        <is>
          <t>ศรีสยาม</t>
        </is>
      </c>
      <c r="J738" s="161" t="n">
        <v>23903</v>
      </c>
      <c r="L738" s="18" t="inlineStr">
        <is>
          <t>กล่องละ2อัน</t>
        </is>
      </c>
    </row>
    <row r="739" ht="21" customHeight="1">
      <c r="B739" s="6" t="inlineStr">
        <is>
          <t>ถ่านหินเจียไฟฟ้า CB-411A Makita</t>
        </is>
      </c>
      <c r="C739" s="8" t="inlineStr">
        <is>
          <t>2กล่อง</t>
        </is>
      </c>
      <c r="D739" s="9" t="n">
        <v>65</v>
      </c>
      <c r="H739" s="9" t="n">
        <v>130</v>
      </c>
      <c r="I739" s="10" t="inlineStr">
        <is>
          <t>ศรีสยาม</t>
        </is>
      </c>
      <c r="J739" s="161" t="n">
        <v>24151</v>
      </c>
      <c r="L739" s="18" t="inlineStr">
        <is>
          <t>กล่องละ2อัน</t>
        </is>
      </c>
    </row>
    <row r="740" ht="21" customHeight="1">
      <c r="B740" s="6" t="inlineStr">
        <is>
          <t>ถ่านหินเจียไฟฟ้า CB-411A Makita</t>
        </is>
      </c>
      <c r="C740" s="8" t="inlineStr">
        <is>
          <t>1กล่อง</t>
        </is>
      </c>
      <c r="D740" s="9" t="n">
        <v>70</v>
      </c>
      <c r="H740" s="9" t="n">
        <v>70</v>
      </c>
      <c r="I740" s="10" t="inlineStr">
        <is>
          <t>ศรีสยาม</t>
        </is>
      </c>
      <c r="J740" s="161" t="n">
        <v>24382</v>
      </c>
      <c r="L740" s="18" t="inlineStr">
        <is>
          <t>กล่องละ2อัน</t>
        </is>
      </c>
    </row>
    <row r="741" ht="21" customHeight="1">
      <c r="B741" s="6" t="inlineStr">
        <is>
          <t>ถ่านหินเจียไฟฟ้า CB-411A Makita</t>
        </is>
      </c>
      <c r="C741" s="8" t="inlineStr">
        <is>
          <t>3กล่อง</t>
        </is>
      </c>
      <c r="D741" s="9" t="n">
        <v>47.33</v>
      </c>
      <c r="H741" s="9" t="n">
        <v>142</v>
      </c>
      <c r="I741" s="10" t="inlineStr">
        <is>
          <t>Shopee</t>
        </is>
      </c>
      <c r="J741" s="161" t="n">
        <v>24820</v>
      </c>
      <c r="L741" s="18" t="inlineStr">
        <is>
          <t>ราคารวมค่าส่งแล้ว/พี่เอกสั่ง</t>
        </is>
      </c>
    </row>
    <row r="743" ht="21" customHeight="1">
      <c r="B743" s="6" t="inlineStr">
        <is>
          <t>ถ่านหินเจียไฟฟ้า CB-85A Makita</t>
        </is>
      </c>
      <c r="C743" s="8" t="inlineStr">
        <is>
          <t>2กล่อง</t>
        </is>
      </c>
      <c r="D743" s="9" t="n">
        <v>70</v>
      </c>
      <c r="H743" s="9" t="n">
        <v>140</v>
      </c>
      <c r="I743" s="10" t="inlineStr">
        <is>
          <t>ศรีสยาม</t>
        </is>
      </c>
      <c r="J743" s="161" t="n">
        <v>24156</v>
      </c>
      <c r="L743" s="18" t="inlineStr">
        <is>
          <t>กล่องละ2อัน</t>
        </is>
      </c>
    </row>
    <row r="745" ht="21" customHeight="1">
      <c r="B745" s="6" t="inlineStr">
        <is>
          <t>ถ่านหินเจียไฟฟ้า CB-64 Makita</t>
        </is>
      </c>
      <c r="C745" s="8" t="inlineStr">
        <is>
          <t>2กล่อง</t>
        </is>
      </c>
      <c r="D745" s="9" t="n">
        <v>75</v>
      </c>
      <c r="H745" s="9" t="n">
        <v>160.5</v>
      </c>
      <c r="I745" s="10" t="inlineStr">
        <is>
          <t>ศรีสยาม</t>
        </is>
      </c>
      <c r="J745" s="161" t="n">
        <v>24519</v>
      </c>
      <c r="L745" s="18" t="inlineStr">
        <is>
          <t>กล่องละ2อัน</t>
        </is>
      </c>
    </row>
    <row r="746" ht="21" customHeight="1">
      <c r="B746" s="6" t="inlineStr">
        <is>
          <t>ถ่านหินเจียไฟฟ้า CB-64 Makita</t>
        </is>
      </c>
      <c r="C746" s="8" t="inlineStr">
        <is>
          <t>1กล่อง</t>
        </is>
      </c>
      <c r="D746" s="9" t="n">
        <v>75</v>
      </c>
      <c r="H746" s="9" t="n">
        <v>75</v>
      </c>
      <c r="I746" s="10" t="inlineStr">
        <is>
          <t>ศรีสยาม</t>
        </is>
      </c>
      <c r="J746" s="161" t="n">
        <v>24648</v>
      </c>
      <c r="L746" s="18" t="inlineStr">
        <is>
          <t>กล่องละ2อัน</t>
        </is>
      </c>
    </row>
    <row r="748" ht="21" customHeight="1">
      <c r="B748" s="6" t="inlineStr">
        <is>
          <t>ถ่านหินเจียไฟฟ้า 06 127 NKT</t>
        </is>
      </c>
      <c r="C748" s="8" t="inlineStr">
        <is>
          <t>2กล่อง</t>
        </is>
      </c>
      <c r="D748" s="9" t="n">
        <v>70</v>
      </c>
      <c r="H748" s="9" t="n">
        <v>140</v>
      </c>
      <c r="I748" s="10" t="inlineStr">
        <is>
          <t>ศรีสยาม</t>
        </is>
      </c>
      <c r="J748" s="161" t="n">
        <v>24138</v>
      </c>
    </row>
    <row r="750" ht="21" customHeight="1">
      <c r="A750" s="11" t="inlineStr">
        <is>
          <t>เครื่องขัดสี</t>
        </is>
      </c>
      <c r="B750" s="6" t="inlineStr">
        <is>
          <t>เครื่องขัดสีไฟฟ้า Makita 9218B</t>
        </is>
      </c>
      <c r="C750" s="8" t="inlineStr">
        <is>
          <t>1เครื่อง</t>
        </is>
      </c>
      <c r="D750" s="9" t="n">
        <v>4990</v>
      </c>
      <c r="H750" s="9" t="n">
        <v>4990</v>
      </c>
      <c r="I750" s="10" t="inlineStr">
        <is>
          <t>ทาเลนท์อินเตอร์เทรด</t>
        </is>
      </c>
      <c r="J750" s="161" t="n">
        <v>23718</v>
      </c>
      <c r="K750" s="161" t="inlineStr">
        <is>
          <t>IV6416831</t>
        </is>
      </c>
    </row>
    <row r="751" ht="21" customHeight="1">
      <c r="B751" s="6" t="inlineStr">
        <is>
          <t>เครื่องขัดสีไฟฟ้า Makita 9218BL</t>
        </is>
      </c>
      <c r="C751" s="8" t="inlineStr">
        <is>
          <t>1เครื่อง</t>
        </is>
      </c>
      <c r="D751" s="9" t="n">
        <v>5990</v>
      </c>
      <c r="H751" s="9" t="n">
        <v>5990</v>
      </c>
      <c r="I751" s="10" t="inlineStr">
        <is>
          <t>ทาเลนท์อินเตอร์เทรด</t>
        </is>
      </c>
      <c r="J751" s="161" t="n">
        <v>23924</v>
      </c>
      <c r="K751" s="161" t="inlineStr">
        <is>
          <t>IB3003412</t>
        </is>
      </c>
    </row>
    <row r="753" ht="21" customHeight="1">
      <c r="A753" s="11" t="inlineStr">
        <is>
          <t>ถ่านหินเจียร์ไฟฟ้า</t>
        </is>
      </c>
      <c r="B753" s="6" t="inlineStr">
        <is>
          <t>ถ่านหินเจียร์ไฟฟ้า CB-411 Makita (1กล่องมี2อัน)</t>
        </is>
      </c>
      <c r="C753" s="8" t="inlineStr">
        <is>
          <t>1กล่อง</t>
        </is>
      </c>
      <c r="D753" s="9" t="n">
        <v>35</v>
      </c>
      <c r="H753" s="9" t="n">
        <v>35</v>
      </c>
      <c r="I753" s="10" t="inlineStr">
        <is>
          <t>ศรีสยาม</t>
        </is>
      </c>
      <c r="J753" s="161" t="n">
        <v>23517</v>
      </c>
    </row>
    <row r="755" ht="21" customHeight="1">
      <c r="A755" s="11" t="inlineStr">
        <is>
          <t>ถ่านสว่านไฟฟ้า</t>
        </is>
      </c>
      <c r="B755" s="6" t="inlineStr">
        <is>
          <t>ถ่านสว่านไฟฟ้า CB-51A Makita (1กล่องมี2อัน)</t>
        </is>
      </c>
      <c r="C755" s="8" t="inlineStr">
        <is>
          <t>1กล่อง</t>
        </is>
      </c>
      <c r="D755" s="9" t="n">
        <v>60</v>
      </c>
      <c r="H755" s="9" t="n">
        <v>60</v>
      </c>
      <c r="I755" s="10" t="inlineStr">
        <is>
          <t>ศรีสยาม</t>
        </is>
      </c>
      <c r="J755" s="161" t="n">
        <v>24013</v>
      </c>
    </row>
    <row r="757" ht="21" customHeight="1">
      <c r="B757" s="6" t="inlineStr">
        <is>
          <t>ถ่านสว่านไฟฟ้า CB-64 Makita (1กล่องมี2อัน) -- เครื่องพี่ปูใช้</t>
        </is>
      </c>
      <c r="C757" s="8" t="inlineStr">
        <is>
          <t>1กล่อง</t>
        </is>
      </c>
      <c r="D757" s="9" t="n">
        <v>70</v>
      </c>
      <c r="H757" s="9" t="n">
        <v>70</v>
      </c>
      <c r="I757" s="10" t="inlineStr">
        <is>
          <t>ศรีสยาม</t>
        </is>
      </c>
      <c r="J757" s="161" t="n">
        <v>24279</v>
      </c>
    </row>
    <row r="758" ht="21" customHeight="1">
      <c r="B758" s="6" t="inlineStr">
        <is>
          <t>ถ่านสว่านไฟฟ้า CB-64 Makita (1กล่องมี2อัน) -- เครื่องพี่ปูใช้</t>
        </is>
      </c>
      <c r="C758" s="8" t="inlineStr">
        <is>
          <t>2กล่อง</t>
        </is>
      </c>
      <c r="D758" s="9" t="n">
        <v>70</v>
      </c>
      <c r="H758" s="9" t="n">
        <v>140</v>
      </c>
      <c r="I758" s="10" t="inlineStr">
        <is>
          <t>ศรีสยาม</t>
        </is>
      </c>
      <c r="J758" s="161" t="n">
        <v>24442</v>
      </c>
    </row>
    <row r="759" ht="21" customHeight="1">
      <c r="B759" s="6" t="inlineStr">
        <is>
          <t>ถ่านสว่านไฟฟ้า CB-64 Makita (1กล่องมี2อัน) -- เครื่องพี่ปูใช้</t>
        </is>
      </c>
      <c r="C759" s="8" t="inlineStr">
        <is>
          <t>3กล่อง</t>
        </is>
      </c>
      <c r="D759" s="9" t="n">
        <v>47</v>
      </c>
      <c r="H759" s="9" t="n">
        <v>141</v>
      </c>
      <c r="I759" s="10" t="inlineStr">
        <is>
          <t>Shopee</t>
        </is>
      </c>
      <c r="J759" s="161" t="n">
        <v>24802</v>
      </c>
    </row>
    <row r="760" ht="21" customHeight="1">
      <c r="B760" s="6" t="inlineStr">
        <is>
          <t>ถ่านสว่านไฟฟ้า CB-64 Makita (1กล่องมี2อัน) -- เครื่องพี่ปูใช้</t>
        </is>
      </c>
      <c r="C760" s="8" t="n">
        <v>5</v>
      </c>
      <c r="D760" s="9" t="n">
        <v>33.2</v>
      </c>
      <c r="H760" s="9">
        <f>SUM(D760*C760)</f>
        <v/>
      </c>
      <c r="I760" s="10" t="inlineStr">
        <is>
          <t>Shopee</t>
        </is>
      </c>
      <c r="J760" s="161" t="n">
        <v>25216</v>
      </c>
    </row>
    <row r="762" ht="21" customHeight="1">
      <c r="B762" s="6" t="inlineStr">
        <is>
          <t>สว่านไฟฟ้า BOSCH GBM10RE 10MM 450W -- เครื่องพี่เพ็งใช้</t>
        </is>
      </c>
      <c r="C762" s="8" t="inlineStr">
        <is>
          <t>1กล่อง</t>
        </is>
      </c>
      <c r="D762" s="9" t="n">
        <v>98</v>
      </c>
      <c r="H762" s="9" t="n">
        <v>98</v>
      </c>
      <c r="I762" s="10" t="inlineStr">
        <is>
          <t>Shopee</t>
        </is>
      </c>
      <c r="J762" s="161" t="n">
        <v>24669</v>
      </c>
      <c r="L762" s="18" t="inlineStr">
        <is>
          <t>พี่เอกสั่ง</t>
        </is>
      </c>
    </row>
    <row r="764" ht="21" customHeight="1">
      <c r="B764" s="6" t="inlineStr">
        <is>
          <t>ถ่านสว่านไฟฟ้า NKT (1กล่องมี2อัน) -- เครื่องพี่ปูใช้</t>
        </is>
      </c>
      <c r="C764" s="8" t="inlineStr">
        <is>
          <t>2กล่อง</t>
        </is>
      </c>
      <c r="D764" s="9" t="n">
        <v>60</v>
      </c>
      <c r="H764" s="9" t="n">
        <v>120</v>
      </c>
      <c r="I764" s="10" t="inlineStr">
        <is>
          <t>ร้านวัสดุก่อสร้าง</t>
        </is>
      </c>
      <c r="J764" s="161" t="n">
        <v>24609</v>
      </c>
    </row>
    <row r="766" ht="21" customHeight="1">
      <c r="A766" s="11" t="inlineStr">
        <is>
          <t>หัวสว่านไฟฟ้า</t>
        </is>
      </c>
      <c r="B766" s="6" t="inlineStr">
        <is>
          <t>หัวสว่าน 3/8 *1/2*20NF  Phonix เกลียว</t>
        </is>
      </c>
      <c r="C766" s="8" t="n">
        <v>1</v>
      </c>
      <c r="D766" s="9" t="n">
        <v>130.01</v>
      </c>
      <c r="H766" s="9">
        <f>SUM(D766*C766)</f>
        <v/>
      </c>
      <c r="I766" s="10" t="inlineStr">
        <is>
          <t>ศรีสยาม</t>
        </is>
      </c>
      <c r="J766" s="161" t="n">
        <v>24602</v>
      </c>
    </row>
    <row r="768" ht="21" customHeight="1">
      <c r="A768" s="11" t="inlineStr">
        <is>
          <t>เหล็กรู</t>
        </is>
      </c>
      <c r="B768" s="6" t="inlineStr">
        <is>
          <t>เหล็กรู 17รู แบบหนา</t>
        </is>
      </c>
      <c r="C768" s="8" t="inlineStr">
        <is>
          <t>6เส้น</t>
        </is>
      </c>
      <c r="D768" s="9" t="n">
        <v>10</v>
      </c>
      <c r="H768" s="9" t="n">
        <v>60</v>
      </c>
      <c r="I768" s="10" t="inlineStr">
        <is>
          <t>ศรีสยาม</t>
        </is>
      </c>
      <c r="J768" s="161" t="n">
        <v>23501</v>
      </c>
    </row>
    <row r="769" ht="21" customHeight="1">
      <c r="B769" s="6" t="inlineStr">
        <is>
          <t>เหล็กรู 17รู แบบหนา</t>
        </is>
      </c>
      <c r="C769" s="8" t="inlineStr">
        <is>
          <t>5เส้น</t>
        </is>
      </c>
      <c r="D769" s="9" t="n">
        <v>10</v>
      </c>
      <c r="H769" s="9" t="n">
        <v>50</v>
      </c>
      <c r="I769" s="10" t="inlineStr">
        <is>
          <t>ศรีสยาม</t>
        </is>
      </c>
      <c r="J769" s="161" t="n">
        <v>23538</v>
      </c>
    </row>
    <row r="770" ht="21" customHeight="1">
      <c r="B770" s="6" t="inlineStr">
        <is>
          <t>เหล็กรู 17รู แบบหนา</t>
        </is>
      </c>
      <c r="C770" s="8" t="inlineStr">
        <is>
          <t>5เส้น</t>
        </is>
      </c>
      <c r="D770" s="9" t="n">
        <v>10</v>
      </c>
      <c r="H770" s="9" t="n">
        <v>50</v>
      </c>
      <c r="I770" s="10" t="inlineStr">
        <is>
          <t>ศรีสยาม</t>
        </is>
      </c>
      <c r="J770" s="161" t="n">
        <v>24249</v>
      </c>
    </row>
    <row r="772" ht="21" customHeight="1">
      <c r="A772" s="34" t="inlineStr">
        <is>
          <t>ใยสังเคราะห์ ใยกรองห้องอบ</t>
        </is>
      </c>
      <c r="B772" s="6" t="inlineStr">
        <is>
          <t>ใยสังเคราะห์ ใยกรองห้องอบ (เอามาเย็บถุงกรอง) -- หนา 5 มิล</t>
        </is>
      </c>
      <c r="C772" s="8" t="inlineStr">
        <is>
          <t>1ม้วน</t>
        </is>
      </c>
      <c r="D772" s="9" t="n">
        <v>1300</v>
      </c>
      <c r="H772" s="9" t="n">
        <v>1300</v>
      </c>
      <c r="I772" s="10" t="inlineStr">
        <is>
          <t>ร้านรามอินทรา 123</t>
        </is>
      </c>
      <c r="J772" s="161" t="n">
        <v>22696</v>
      </c>
      <c r="L772" s="18" t="inlineStr">
        <is>
          <t>1ม้วน ตัดและเย็บถุงได้ทั้งหมด 58 ถุง</t>
        </is>
      </c>
    </row>
    <row r="773" ht="21" customHeight="1">
      <c r="B773" s="6" t="inlineStr">
        <is>
          <t>ใยสังเคราะห์ ใยกรองห้องอบ (เอามาเย็บถุงกรอง) -- หนา 5 มิล</t>
        </is>
      </c>
      <c r="C773" s="8" t="inlineStr">
        <is>
          <t>1ม้วน</t>
        </is>
      </c>
      <c r="D773" s="9" t="n">
        <v>1300</v>
      </c>
      <c r="H773" s="9" t="n">
        <v>1300</v>
      </c>
      <c r="I773" s="10" t="inlineStr">
        <is>
          <t>ร้านรามอินทรา 123</t>
        </is>
      </c>
      <c r="J773" s="161" t="n">
        <v>22959</v>
      </c>
      <c r="L773" s="18" t="inlineStr">
        <is>
          <t>1ม้วน ตัดและเย็บถุงได้ทั้งหมด 58 ถุง</t>
        </is>
      </c>
    </row>
    <row r="774" ht="21" customHeight="1">
      <c r="B774" s="6" t="inlineStr">
        <is>
          <t>ใยสังเคราะห์ ใยกรองห้องอบ (เอามาเย็บถุงกรอง) -- หนา 5 มิล</t>
        </is>
      </c>
      <c r="C774" s="8" t="inlineStr">
        <is>
          <t>1ม้วน</t>
        </is>
      </c>
      <c r="D774" s="9" t="n">
        <v>1300</v>
      </c>
      <c r="H774" s="9" t="n">
        <v>1300</v>
      </c>
      <c r="I774" s="10" t="inlineStr">
        <is>
          <t>ร้านรามอินทรา 123</t>
        </is>
      </c>
      <c r="J774" s="161" t="n">
        <v>23121</v>
      </c>
      <c r="L774" s="18" t="inlineStr">
        <is>
          <t>1ม้วน ตัดและเย็บถุงได้ทั้งหมด 58 ถุง</t>
        </is>
      </c>
    </row>
    <row r="775" ht="21" customHeight="1">
      <c r="B775" s="6" t="inlineStr">
        <is>
          <t>ใยสังเคราะห์ ใยกรองห้องอบ (เอามาเย็บถุงกรอง) -- หนา 5 มิล</t>
        </is>
      </c>
      <c r="C775" s="8" t="inlineStr">
        <is>
          <t>1ม้วน</t>
        </is>
      </c>
      <c r="D775" s="9" t="n">
        <v>1300</v>
      </c>
      <c r="H775" s="9" t="n">
        <v>1300</v>
      </c>
      <c r="I775" s="10" t="inlineStr">
        <is>
          <t>ร้านรามอินทรา 123</t>
        </is>
      </c>
      <c r="J775" s="161" t="n">
        <v>23230</v>
      </c>
      <c r="L775" s="18" t="inlineStr">
        <is>
          <t>1ม้วน ตัดและเย็บถุงได้ทั้งหมด 58 ถุง</t>
        </is>
      </c>
    </row>
    <row r="776" ht="21" customHeight="1">
      <c r="B776" s="6" t="inlineStr">
        <is>
          <t>ใยสังเคราะห์ ใยกรองห้องอบ (เอามาเย็บถุงกรอง) -- หนา 5 มิล</t>
        </is>
      </c>
      <c r="C776" s="8" t="inlineStr">
        <is>
          <t>1ม้วน</t>
        </is>
      </c>
      <c r="D776" s="9" t="n">
        <v>1300</v>
      </c>
      <c r="H776" s="9" t="n">
        <v>1300</v>
      </c>
      <c r="I776" s="10" t="inlineStr">
        <is>
          <t>ร้านรามอินทรา 123</t>
        </is>
      </c>
      <c r="J776" s="161" t="n">
        <v>23430</v>
      </c>
      <c r="L776" s="18" t="inlineStr">
        <is>
          <t>1ม้วน ตัดและเย็บถุงได้ทั้งหมด 58 ถุง</t>
        </is>
      </c>
    </row>
    <row r="777" ht="21" customHeight="1">
      <c r="B777" s="6" t="inlineStr">
        <is>
          <t>ใยสังเคราะห์ ใยกรองห้องอบ (เอามาเย็บถุงกรอง) -- หนา 5 มิล</t>
        </is>
      </c>
      <c r="C777" s="8" t="inlineStr">
        <is>
          <t>1ม้วน</t>
        </is>
      </c>
      <c r="D777" s="9" t="n">
        <v>1300</v>
      </c>
      <c r="H777" s="9" t="n">
        <v>1300</v>
      </c>
      <c r="I777" s="10" t="inlineStr">
        <is>
          <t>ร้านรามอินทรา 123</t>
        </is>
      </c>
      <c r="J777" s="161" t="n">
        <v>23571</v>
      </c>
      <c r="L777" s="18" t="inlineStr">
        <is>
          <t>1ม้วน ตัดและเย็บถุงได้ทั้งหมด 58 ถุง</t>
        </is>
      </c>
    </row>
    <row r="778" ht="21" customHeight="1">
      <c r="B778" s="6" t="inlineStr">
        <is>
          <t>ใยสังเคราะห์ ใยกรองห้องอบ (เอามาเย็บถุงกรอง) -- หนา 5 มิล</t>
        </is>
      </c>
      <c r="C778" s="8" t="inlineStr">
        <is>
          <t>1ม้วน</t>
        </is>
      </c>
      <c r="D778" s="9" t="n">
        <v>1450</v>
      </c>
      <c r="H778" s="9" t="n">
        <v>1450</v>
      </c>
      <c r="I778" s="10" t="inlineStr">
        <is>
          <t>ร้านรามอินทรา 123</t>
        </is>
      </c>
      <c r="J778" s="161" t="n">
        <v>23748</v>
      </c>
      <c r="L778" s="18" t="inlineStr">
        <is>
          <t>1ม้วน ตัดและเย็บถุงได้ทั้งหมด 58 ถุง</t>
        </is>
      </c>
    </row>
    <row r="779" ht="21" customHeight="1">
      <c r="B779" s="6" t="inlineStr">
        <is>
          <t>ใยสังเคราะห์ ใยกรองห้องอบ (เอามาเย็บถุงกรอง) -- หนา 5 มิล</t>
        </is>
      </c>
      <c r="C779" s="8" t="inlineStr">
        <is>
          <t>1ม้วน</t>
        </is>
      </c>
      <c r="D779" s="9" t="n">
        <v>1450</v>
      </c>
      <c r="H779" s="9" t="n">
        <v>1450</v>
      </c>
      <c r="I779" s="10" t="inlineStr">
        <is>
          <t>ร้านรามอินทรา 123</t>
        </is>
      </c>
      <c r="J779" s="161" t="n">
        <v>23906</v>
      </c>
      <c r="L779" s="18" t="inlineStr">
        <is>
          <t>1ม้วน ตัดและเย็บถุงได้ทั้งหมด 58 ถุง</t>
        </is>
      </c>
    </row>
    <row r="780" ht="21" customHeight="1">
      <c r="B780" s="6" t="inlineStr">
        <is>
          <t>ใยสังเคราะห์ ใยกรองห้องอบ (เอามาเย็บถุงกรอง) -- หนา 5 มิล</t>
        </is>
      </c>
      <c r="C780" s="8" t="inlineStr">
        <is>
          <t>1ม้วน</t>
        </is>
      </c>
      <c r="D780" s="9" t="n">
        <v>1450</v>
      </c>
      <c r="H780" s="9" t="n">
        <v>1450</v>
      </c>
      <c r="I780" s="10" t="inlineStr">
        <is>
          <t>ร้านรามอินทรา 123</t>
        </is>
      </c>
      <c r="J780" s="161" t="n">
        <v>24026</v>
      </c>
      <c r="L780" s="18" t="inlineStr">
        <is>
          <t>1ม้วน ตัดและเย็บถุงได้ทั้งหมด 58 ถุง</t>
        </is>
      </c>
    </row>
    <row r="781" ht="21" customHeight="1">
      <c r="B781" s="6" t="inlineStr">
        <is>
          <t>ใยสังเคราะห์ ใยกรองห้องอบ (เอามาเย็บถุงกรอง) -- หนา 5 มิล</t>
        </is>
      </c>
      <c r="C781" s="8" t="inlineStr">
        <is>
          <t>1ม้วน</t>
        </is>
      </c>
      <c r="D781" s="9" t="n">
        <v>1450</v>
      </c>
      <c r="H781" s="9" t="n">
        <v>1450</v>
      </c>
      <c r="I781" s="10" t="inlineStr">
        <is>
          <t>ร้านรามอินทรา 123</t>
        </is>
      </c>
      <c r="J781" s="161" t="n">
        <v>24161</v>
      </c>
      <c r="L781" s="18" t="inlineStr">
        <is>
          <t>1ม้วน ตัดและเย็บถุงได้ทั้งหมด 58 ถุง</t>
        </is>
      </c>
    </row>
    <row r="782" ht="21" customHeight="1">
      <c r="B782" s="6" t="inlineStr">
        <is>
          <t>ใยสังเคราะห์ ใยกรองห้องอบ (เอามาเย็บถุงกรอง) -- หนา 5 มิล</t>
        </is>
      </c>
      <c r="C782" s="8" t="inlineStr">
        <is>
          <t>1ม้วน</t>
        </is>
      </c>
      <c r="D782" s="9" t="n">
        <v>1400</v>
      </c>
      <c r="H782" s="9" t="n">
        <v>1400</v>
      </c>
      <c r="I782" s="10" t="inlineStr">
        <is>
          <t>ร้านรามอินทรา 123</t>
        </is>
      </c>
      <c r="J782" s="161" t="n">
        <v>24282</v>
      </c>
      <c r="L782" s="18" t="inlineStr">
        <is>
          <t>1ม้วน ตัดและเย็บถุงได้ทั้งหมด 58 ถุง</t>
        </is>
      </c>
    </row>
    <row r="783" ht="21" customHeight="1">
      <c r="B783" s="6" t="inlineStr">
        <is>
          <t>ใยสังเคราะห์ ใยกรองห้องอบ (เอามาเย็บถุงกรอง) -- หนา 5 มิล</t>
        </is>
      </c>
      <c r="C783" s="8" t="inlineStr">
        <is>
          <t>1ม้วน</t>
        </is>
      </c>
      <c r="D783" s="9" t="n">
        <v>1450</v>
      </c>
      <c r="H783" s="9" t="n">
        <v>1450</v>
      </c>
      <c r="I783" s="10" t="inlineStr">
        <is>
          <t>ร้านรามอินทรา 123</t>
        </is>
      </c>
      <c r="J783" s="161" t="n">
        <v>24429</v>
      </c>
      <c r="L783" s="18" t="inlineStr">
        <is>
          <t>1ม้วน ตัดและเย็บถุงได้ทั้งหมด 58 ถุง</t>
        </is>
      </c>
    </row>
    <row r="784" ht="21" customHeight="1">
      <c r="B784" s="6" t="inlineStr">
        <is>
          <t>ใยสังเคราะห์ ใยกรองห้องอบ (เอามาเย็บถุงกรอง) -- หนา 5 มิล</t>
        </is>
      </c>
      <c r="C784" s="8" t="inlineStr">
        <is>
          <t>1ม้วน</t>
        </is>
      </c>
      <c r="D784" s="9" t="n">
        <v>1450</v>
      </c>
      <c r="H784" s="9" t="n">
        <v>1450</v>
      </c>
      <c r="I784" s="10" t="inlineStr">
        <is>
          <t>ร้านรามอินทรา 123</t>
        </is>
      </c>
      <c r="J784" s="161" t="n">
        <v>24904</v>
      </c>
      <c r="L784" s="18" t="inlineStr">
        <is>
          <t>1ม้วน ตัดและเย็บถุงได้ทั้งหมด 58 ถุง</t>
        </is>
      </c>
    </row>
    <row r="786" ht="21" customHeight="1">
      <c r="A786" s="34" t="inlineStr">
        <is>
          <t>ใยสังเคราะห์ ใยแก้วปูพื้นห้องอบ</t>
        </is>
      </c>
      <c r="B786" s="6" t="inlineStr">
        <is>
          <t>ฟิลเตอร์ใยกรองห้องพ่นสี (ปูพื้น)</t>
        </is>
      </c>
      <c r="C786" s="8" t="inlineStr">
        <is>
          <t>10ม้วน</t>
        </is>
      </c>
      <c r="D786" s="9" t="n">
        <v>930</v>
      </c>
      <c r="F786" s="8" t="inlineStr">
        <is>
          <t>ไม่มี</t>
        </is>
      </c>
      <c r="H786" s="9" t="n">
        <v>9951</v>
      </c>
      <c r="I786" s="62" t="inlineStr">
        <is>
          <t xml:space="preserve">พีซี แมชชีนเนอรี่ แอนด์ ทูลส์ </t>
        </is>
      </c>
      <c r="J786" s="161" t="n">
        <v>23430</v>
      </c>
      <c r="K786" s="6" t="n"/>
      <c r="L786" s="10" t="inlineStr">
        <is>
          <t>บังคับ VAT7%</t>
        </is>
      </c>
      <c r="M786" s="8" t="n"/>
    </row>
    <row r="787" ht="21" customHeight="1">
      <c r="B787" s="6" t="inlineStr">
        <is>
          <t>ฟิลเตอร์ใยกรองห้องพ่นสี (ปูพื้น)</t>
        </is>
      </c>
      <c r="C787" s="8" t="inlineStr">
        <is>
          <t>10ม้วน</t>
        </is>
      </c>
      <c r="D787" s="9" t="n">
        <v>930</v>
      </c>
      <c r="F787" s="8" t="inlineStr">
        <is>
          <t>ไม่มี</t>
        </is>
      </c>
      <c r="H787" s="9" t="n">
        <v>9951</v>
      </c>
      <c r="I787" s="62" t="inlineStr">
        <is>
          <t xml:space="preserve">พีซี แมชชีนเนอรี่ แอนด์ ทูลส์ </t>
        </is>
      </c>
      <c r="J787" s="161" t="n">
        <v>23489</v>
      </c>
      <c r="K787" s="6" t="n"/>
      <c r="L787" s="10" t="inlineStr">
        <is>
          <t>บังคับ VAT7%</t>
        </is>
      </c>
      <c r="M787" s="8" t="n"/>
    </row>
    <row r="788" ht="21" customHeight="1">
      <c r="B788" s="6" t="inlineStr">
        <is>
          <t>ฟิลเตอร์ใยกรองห้องพ่นสี (ปูพื้น)</t>
        </is>
      </c>
      <c r="C788" s="8" t="inlineStr">
        <is>
          <t>10ม้วน</t>
        </is>
      </c>
      <c r="D788" s="9" t="n">
        <v>930</v>
      </c>
      <c r="F788" s="8" t="inlineStr">
        <is>
          <t>ไม่มี</t>
        </is>
      </c>
      <c r="H788" s="9" t="n">
        <v>9951</v>
      </c>
      <c r="I788" s="62" t="inlineStr">
        <is>
          <t xml:space="preserve">พีซี แมชชีนเนอรี่ แอนด์ ทูลส์ </t>
        </is>
      </c>
      <c r="J788" s="161" t="n">
        <v>23731</v>
      </c>
      <c r="K788" s="6" t="n"/>
      <c r="L788" s="10" t="inlineStr">
        <is>
          <t>บังคับ VAT7%</t>
        </is>
      </c>
      <c r="M788" s="8" t="n"/>
    </row>
    <row r="789" ht="21" customHeight="1">
      <c r="K789" s="6" t="n"/>
      <c r="L789" s="10" t="n"/>
      <c r="M789" s="8" t="n"/>
    </row>
    <row r="790" ht="21" customHeight="1">
      <c r="B790" s="6" t="inlineStr">
        <is>
          <t xml:space="preserve">ฟิลเตอร์ใยกรองห้องพ่นสี (เพดาน) (9,500*2ม้วน)+VAT 7%  -- ขนาด 2.0M*20M*(T)20MM  </t>
        </is>
      </c>
      <c r="C790" s="8" t="inlineStr">
        <is>
          <t>2ม้วน</t>
        </is>
      </c>
      <c r="D790" s="9" t="n">
        <v>9500</v>
      </c>
      <c r="F790" s="8" t="inlineStr">
        <is>
          <t>ไม่มี</t>
        </is>
      </c>
      <c r="H790" s="9" t="n">
        <v>20330</v>
      </c>
      <c r="I790" s="62" t="inlineStr">
        <is>
          <t>พีซี แมชชีนเนอรี่ แอนด์ ทูลส์</t>
        </is>
      </c>
      <c r="J790" s="161" t="n">
        <v>24425</v>
      </c>
      <c r="K790" s="6" t="n"/>
      <c r="L790" s="10" t="inlineStr">
        <is>
          <t>บังคับ VAT7%</t>
        </is>
      </c>
      <c r="M790" s="8" t="n"/>
    </row>
    <row r="791" ht="21" customHeight="1">
      <c r="B791" s="42" t="inlineStr">
        <is>
          <t xml:space="preserve"> -- แถมใยแก้วกรองพื้น 2ม้วน ขนาด 0.75M*20M*(T)70MM</t>
        </is>
      </c>
      <c r="I791" s="62" t="inlineStr">
        <is>
          <t>พีซี แมชชีนเนอรี่ แอนด์ ทูลส์</t>
        </is>
      </c>
      <c r="J791" s="161" t="n">
        <v>24425</v>
      </c>
      <c r="K791" s="6" t="n"/>
      <c r="L791" s="8" t="n"/>
      <c r="M791" s="8" t="n"/>
    </row>
    <row r="792" ht="21" customHeight="1">
      <c r="B792" s="6" t="inlineStr">
        <is>
          <t>ใยสังเคราะห์ ใยแก้วปูพื้นห้องอบ TG 75ซม. (2ม้วน)</t>
        </is>
      </c>
      <c r="C792" s="8" t="inlineStr">
        <is>
          <t>5กล่อง</t>
        </is>
      </c>
      <c r="D792" s="9" t="n">
        <v>2940</v>
      </c>
      <c r="F792" s="17" t="n">
        <v>0.45</v>
      </c>
      <c r="G792" s="17" t="n"/>
      <c r="H792" s="9" t="n">
        <v>8085</v>
      </c>
      <c r="I792" s="10" t="inlineStr">
        <is>
          <t>ออโต้เทรด มาร์เก็ตติ้ง</t>
        </is>
      </c>
      <c r="J792" s="161" t="n">
        <v>24089</v>
      </c>
      <c r="K792" s="161" t="inlineStr">
        <is>
          <t>IV1425317</t>
        </is>
      </c>
    </row>
    <row r="793" ht="21" customHeight="1">
      <c r="A793" s="53" t="inlineStr">
        <is>
          <t>โปรซื้อ5แพ็คแถมฟรี5แพ็ค</t>
        </is>
      </c>
      <c r="B793" s="6" t="inlineStr">
        <is>
          <t>ใยสังเคราะห์ ใยแก้วปูพื้นห้องอบ TG 75ซม. (2ม้วน)</t>
        </is>
      </c>
      <c r="C793" s="8" t="n">
        <v>5</v>
      </c>
      <c r="D793" s="9" t="n">
        <v>3160</v>
      </c>
      <c r="H793" s="9">
        <f>SUM(D793*C793)</f>
        <v/>
      </c>
      <c r="I793" s="10" t="inlineStr">
        <is>
          <t>ออโต้เทรด มาร์เก็ตติ้ง</t>
        </is>
      </c>
      <c r="J793" s="161" t="n">
        <v>24327</v>
      </c>
      <c r="K793" s="161" t="inlineStr">
        <is>
          <t>IV1436009</t>
        </is>
      </c>
      <c r="L793" s="18" t="inlineStr">
        <is>
          <t>ราคายังไม่รวม VAT</t>
        </is>
      </c>
    </row>
    <row r="794" ht="21" customHeight="1">
      <c r="B794" s="6" t="inlineStr">
        <is>
          <t>ใยสังเคราะห์ ใยแก้วปูพื้นห้องอบ TG 75ซม. (2ม้วน) -- แถมฟรี</t>
        </is>
      </c>
      <c r="C794" s="8" t="n">
        <v>5</v>
      </c>
      <c r="I794" s="10" t="inlineStr">
        <is>
          <t>ออโต้เทรด มาร์เก็ตติ้ง</t>
        </is>
      </c>
      <c r="J794" s="161" t="n">
        <v>24327</v>
      </c>
      <c r="K794" s="161" t="inlineStr">
        <is>
          <t>IV1436009</t>
        </is>
      </c>
      <c r="L794" s="18" t="inlineStr">
        <is>
          <t>ราคายังไม่รวม VAT</t>
        </is>
      </c>
    </row>
    <row r="795" ht="21" customHeight="1">
      <c r="B795" s="6" t="inlineStr">
        <is>
          <t>ใยสังเคราะห์ ใยแก้วปูพื้นห้องอบ ขนาด 0.75 m *20 m * (T) 70 mm</t>
        </is>
      </c>
      <c r="C795" s="8" t="n">
        <v>20</v>
      </c>
      <c r="D795" s="9" t="n">
        <v>890</v>
      </c>
      <c r="H795" s="9">
        <f>SUM(D795*C795)</f>
        <v/>
      </c>
      <c r="I795" s="62" t="inlineStr">
        <is>
          <t xml:space="preserve">พีซี แมชชีนเนอรี่ แอนด์ ทูลส์ </t>
        </is>
      </c>
      <c r="J795" s="161" t="n">
        <v>24530</v>
      </c>
      <c r="L795" s="18" t="inlineStr">
        <is>
          <t>ราคายังไม่รวม VAT</t>
        </is>
      </c>
    </row>
    <row r="797" ht="21" customHeight="1">
      <c r="A797" s="34" t="inlineStr">
        <is>
          <t>ใยสังเคราะห์ ใยแก้วกรองเพดาน</t>
        </is>
      </c>
      <c r="B797" s="6" t="inlineStr">
        <is>
          <t>ฟิลเตอร์ใยสังเคราะห์กรองเพดานห้องอบ / พีซี แมชชีนเนอรี่ แอนด์ ทูลส์ ขนาด 2.0M*20M*(T)20MM  แถมใยแก้วกรองพื้น 2ม้วน ขนาด 0.75M*20M*(T)70MM</t>
        </is>
      </c>
      <c r="C797" s="8" t="n">
        <v>2</v>
      </c>
      <c r="D797" s="9" t="n">
        <v>9500</v>
      </c>
      <c r="H797" s="9">
        <f>SUM(D797*C797)</f>
        <v/>
      </c>
      <c r="I797" s="62" t="inlineStr">
        <is>
          <t xml:space="preserve">พีซี แมชชีนเนอรี่ แอนด์ ทูลส์ </t>
        </is>
      </c>
      <c r="J797" s="161" t="n">
        <v>24425</v>
      </c>
      <c r="L797" s="18" t="inlineStr">
        <is>
          <t>ราคายังไม่รวม VAT</t>
        </is>
      </c>
    </row>
    <row r="798" ht="21" customHeight="1">
      <c r="B798" s="6" t="inlineStr">
        <is>
          <t>ฟิลเตอร์ใยสังเคราะห์กรองเพดานห้องอบ / พีซี แมชชีนเนอรี่ แอนด์ ทูลส์ ขนาด 2.0M*20M*(T)20MM  แถมใยแก้วกรองพื้น 2ม้วน ขนาด 0.75M*20M*(T)70MM</t>
        </is>
      </c>
      <c r="C798" s="8" t="n">
        <v>2</v>
      </c>
      <c r="D798" s="9" t="n">
        <v>9800</v>
      </c>
      <c r="H798" s="9">
        <f>SUM(D798*C798)</f>
        <v/>
      </c>
      <c r="I798" s="62" t="inlineStr">
        <is>
          <t xml:space="preserve">พีซี แมชชีนเนอรี่ แอนด์ ทูลส์ </t>
        </is>
      </c>
      <c r="J798" s="161" t="n">
        <v>24841</v>
      </c>
      <c r="L798" s="18" t="inlineStr">
        <is>
          <t>ราคายังไม่รวม VAT</t>
        </is>
      </c>
    </row>
    <row r="800" ht="21" customHeight="1">
      <c r="A800" s="11" t="inlineStr">
        <is>
          <t>ชุดล้อประตูบานเลื่อน</t>
        </is>
      </c>
      <c r="B800" s="6" t="inlineStr">
        <is>
          <t xml:space="preserve">ชุดล้อเหล็กประตูบานเลื่อน (ร่องฉาก) 3นิ้ว </t>
        </is>
      </c>
      <c r="C800" s="8" t="inlineStr">
        <is>
          <t>2ชุด</t>
        </is>
      </c>
      <c r="D800" s="9" t="n">
        <v>548</v>
      </c>
      <c r="H800" s="9" t="n">
        <v>1096</v>
      </c>
      <c r="I800" s="10" t="inlineStr">
        <is>
          <t>ไทวัสดุ</t>
        </is>
      </c>
      <c r="J800" s="161" t="n">
        <v>23608</v>
      </c>
    </row>
    <row r="802" ht="21" customHeight="1">
      <c r="A802" s="11" t="inlineStr">
        <is>
          <t>สายยางน้ำ</t>
        </is>
      </c>
      <c r="B802" s="6" t="inlineStr">
        <is>
          <t xml:space="preserve">สายยางน้ำ PVC ม้วนแบบใส 5/8"*20m </t>
        </is>
      </c>
      <c r="C802" s="8" t="inlineStr">
        <is>
          <t>1เส้น</t>
        </is>
      </c>
      <c r="D802" s="9" t="n">
        <v>349</v>
      </c>
      <c r="H802" s="9" t="n">
        <v>349</v>
      </c>
      <c r="I802" s="10" t="inlineStr">
        <is>
          <t>โฮมโปร</t>
        </is>
      </c>
      <c r="J802" s="161" t="n">
        <v>23767</v>
      </c>
    </row>
    <row r="804" ht="21" customHeight="1">
      <c r="A804" s="11" t="inlineStr">
        <is>
          <t>ปลั๊กไฟตัวเมีย (รางคู่)</t>
        </is>
      </c>
      <c r="B804" s="6" t="inlineStr">
        <is>
          <t>ปลั๊กไฟตัวเมีย (รางคู่) 2ช่องเสียบ</t>
        </is>
      </c>
      <c r="C804" s="8" t="inlineStr">
        <is>
          <t>4อัน</t>
        </is>
      </c>
      <c r="D804" s="9" t="n">
        <v>98</v>
      </c>
      <c r="H804" s="9" t="n">
        <v>392</v>
      </c>
      <c r="I804" s="10" t="inlineStr">
        <is>
          <t>ไทวัสดุ</t>
        </is>
      </c>
      <c r="J804" s="161" t="n">
        <v>23812</v>
      </c>
      <c r="L804" s="18" t="inlineStr">
        <is>
          <t>ราคายังไม่รวม VAT</t>
        </is>
      </c>
    </row>
    <row r="806" ht="21" customHeight="1">
      <c r="A806" s="11" t="inlineStr">
        <is>
          <t>กาวร้อน</t>
        </is>
      </c>
      <c r="B806" s="6" t="inlineStr">
        <is>
          <t>กาวร้อน E-ZBOND 20กรัม</t>
        </is>
      </c>
      <c r="C806" s="8" t="inlineStr">
        <is>
          <t>3ขวด</t>
        </is>
      </c>
      <c r="D806" s="9" t="n">
        <v>23</v>
      </c>
      <c r="H806" s="9" t="n">
        <v>69</v>
      </c>
      <c r="I806" s="10" t="inlineStr">
        <is>
          <t>ศรีสยาม</t>
        </is>
      </c>
      <c r="J806" s="161" t="n">
        <v>23824</v>
      </c>
    </row>
    <row r="807" ht="21" customHeight="1">
      <c r="B807" s="6" t="inlineStr">
        <is>
          <t>กาวร้อน EFS เล็ก 20กรัม (กล่องละ 10ขวด) -- 1กล่อง</t>
        </is>
      </c>
      <c r="C807" s="8" t="n">
        <v>10</v>
      </c>
      <c r="D807" s="9">
        <f>SUM(H807/C807)</f>
        <v/>
      </c>
      <c r="H807" s="9" t="n">
        <v>195</v>
      </c>
      <c r="I807" s="10" t="inlineStr">
        <is>
          <t>แม็คโคร</t>
        </is>
      </c>
      <c r="J807" s="161" t="n">
        <v>24231</v>
      </c>
    </row>
    <row r="808" ht="21" customHeight="1">
      <c r="B808" s="6" t="inlineStr">
        <is>
          <t>กาวร้อน CT</t>
        </is>
      </c>
      <c r="C808" s="8" t="n">
        <v>10</v>
      </c>
      <c r="D808" s="9" t="n">
        <v>20</v>
      </c>
      <c r="H808" s="9">
        <f>SUM(C808*D808)</f>
        <v/>
      </c>
      <c r="I808" s="10" t="inlineStr">
        <is>
          <t>ร้านเพิ่มเจริญ</t>
        </is>
      </c>
      <c r="J808" s="161" t="n">
        <v>24296</v>
      </c>
    </row>
    <row r="809" ht="21" customHeight="1">
      <c r="B809" s="6" t="inlineStr">
        <is>
          <t>กาวร้อน CT</t>
        </is>
      </c>
      <c r="C809" s="8" t="n">
        <v>6</v>
      </c>
      <c r="D809" s="9" t="n">
        <v>20</v>
      </c>
      <c r="H809" s="9">
        <f>SUM(C809*D809)</f>
        <v/>
      </c>
      <c r="I809" s="10" t="inlineStr">
        <is>
          <t>ร้านเพิ่มเจริญ</t>
        </is>
      </c>
      <c r="J809" s="161" t="n">
        <v>24338</v>
      </c>
    </row>
    <row r="810" ht="21" customHeight="1">
      <c r="B810" s="6" t="inlineStr">
        <is>
          <t>กาวร้อน Anybond</t>
        </is>
      </c>
      <c r="C810" s="8" t="n">
        <v>6</v>
      </c>
      <c r="D810" s="9" t="n">
        <v>20</v>
      </c>
      <c r="H810" s="9">
        <f>SUM(C810*D810)</f>
        <v/>
      </c>
      <c r="I810" s="10" t="inlineStr">
        <is>
          <t>ร้านธงชัยคอนกรีต</t>
        </is>
      </c>
      <c r="J810" s="161" t="n">
        <v>24420</v>
      </c>
    </row>
    <row r="811" ht="21" customHeight="1">
      <c r="B811" s="6" t="inlineStr">
        <is>
          <t>กาวร้อน Anybond</t>
        </is>
      </c>
      <c r="C811" s="8" t="n">
        <v>10</v>
      </c>
      <c r="D811" s="9" t="n">
        <v>20</v>
      </c>
      <c r="H811" s="9">
        <f>SUM(C811*D811)</f>
        <v/>
      </c>
      <c r="I811" s="10" t="inlineStr">
        <is>
          <t>ร้านธงชัยคอนกรีต</t>
        </is>
      </c>
      <c r="J811" s="161" t="n">
        <v>24530</v>
      </c>
    </row>
    <row r="812" ht="21" customHeight="1">
      <c r="B812" s="6" t="inlineStr">
        <is>
          <t>กาวร้อน PM</t>
        </is>
      </c>
      <c r="C812" s="8" t="n">
        <v>6</v>
      </c>
      <c r="D812" s="9" t="n">
        <v>20</v>
      </c>
      <c r="H812" s="9">
        <f>SUM(C812*D812)</f>
        <v/>
      </c>
      <c r="I812" s="10" t="inlineStr">
        <is>
          <t>ร้านธงชัยคอนกรีต</t>
        </is>
      </c>
      <c r="J812" s="161" t="n">
        <v>24636</v>
      </c>
    </row>
    <row r="813" ht="21" customHeight="1">
      <c r="B813" s="6" t="inlineStr">
        <is>
          <t>กาวร้อน PM</t>
        </is>
      </c>
      <c r="C813" s="8" t="n">
        <v>6</v>
      </c>
      <c r="D813" s="9" t="n">
        <v>20</v>
      </c>
      <c r="H813" s="9">
        <f>SUM(C813*D813)</f>
        <v/>
      </c>
      <c r="I813" s="10" t="inlineStr">
        <is>
          <t>ร้านธงชัยคอนกรีต</t>
        </is>
      </c>
      <c r="J813" s="161" t="n">
        <v>24686</v>
      </c>
    </row>
    <row r="814" ht="21" customHeight="1">
      <c r="B814" s="6" t="inlineStr">
        <is>
          <t>กาวร้อน PM</t>
        </is>
      </c>
      <c r="C814" s="8" t="n">
        <v>3</v>
      </c>
      <c r="D814" s="9" t="n">
        <v>20</v>
      </c>
      <c r="H814" s="9">
        <f>SUM(C814*D814)</f>
        <v/>
      </c>
      <c r="I814" s="10" t="inlineStr">
        <is>
          <t>ร้านธงชัยคอนกรีต</t>
        </is>
      </c>
      <c r="J814" s="161" t="n">
        <v>24713</v>
      </c>
    </row>
    <row r="815" ht="21" customHeight="1">
      <c r="B815" s="6" t="inlineStr">
        <is>
          <t>กาวร้อน PM</t>
        </is>
      </c>
      <c r="C815" s="8" t="n">
        <v>6</v>
      </c>
      <c r="D815" s="9" t="n">
        <v>20</v>
      </c>
      <c r="H815" s="9">
        <f>SUM(C815*D815)</f>
        <v/>
      </c>
      <c r="I815" s="10" t="inlineStr">
        <is>
          <t>ร้านธงชัยคอนกรีต</t>
        </is>
      </c>
      <c r="J815" s="161" t="n">
        <v>24746</v>
      </c>
    </row>
    <row r="816" ht="21" customHeight="1">
      <c r="B816" s="6" t="inlineStr">
        <is>
          <t>กาวร้อน PM ตราช้างสีส้ม</t>
        </is>
      </c>
      <c r="C816" s="8" t="n">
        <v>12</v>
      </c>
      <c r="D816" s="9" t="n">
        <v>16.667</v>
      </c>
      <c r="H816" s="9">
        <f>SUM(C816*D816)</f>
        <v/>
      </c>
      <c r="I816" s="10" t="inlineStr">
        <is>
          <t>ร้านโรจน</t>
        </is>
      </c>
      <c r="J816" s="161" t="n">
        <v>24868</v>
      </c>
    </row>
    <row r="818" ht="21" customHeight="1">
      <c r="A818" s="11" t="inlineStr">
        <is>
          <t>น้ำยาล้างหัวเชื่อม</t>
        </is>
      </c>
      <c r="B818" s="6" t="inlineStr">
        <is>
          <t>น้ำยาล้างหัวเชื่อม KOVET</t>
        </is>
      </c>
      <c r="C818" s="8" t="inlineStr">
        <is>
          <t>1กป.</t>
        </is>
      </c>
      <c r="D818" s="9" t="n">
        <v>200</v>
      </c>
      <c r="H818" s="9" t="n">
        <v>200</v>
      </c>
      <c r="I818" s="10" t="inlineStr">
        <is>
          <t>ศรีสยาม</t>
        </is>
      </c>
      <c r="J818" s="161" t="n">
        <v>24005</v>
      </c>
    </row>
    <row r="820" ht="21" customHeight="1">
      <c r="A820" s="11" t="inlineStr">
        <is>
          <t>ยาขัดโลหะ วีนอล</t>
        </is>
      </c>
      <c r="B820" s="6" t="inlineStr">
        <is>
          <t>ยาขัดโลหะ วีนอล</t>
        </is>
      </c>
      <c r="C820" s="8" t="inlineStr">
        <is>
          <t>1หลอด</t>
        </is>
      </c>
      <c r="D820" s="9" t="n">
        <v>110</v>
      </c>
      <c r="H820" s="9" t="n">
        <v>110</v>
      </c>
      <c r="I820" s="10" t="inlineStr">
        <is>
          <t>จิตต์อะไหล่</t>
        </is>
      </c>
      <c r="J820" s="161" t="n">
        <v>24044</v>
      </c>
    </row>
    <row r="822" ht="21" customHeight="1">
      <c r="A822" s="11" t="inlineStr">
        <is>
          <t>โฟมล้างรถ</t>
        </is>
      </c>
      <c r="B822" s="6" t="inlineStr">
        <is>
          <t>ค่าโฟมล้างรถ</t>
        </is>
      </c>
      <c r="C822" s="8" t="n">
        <v>10</v>
      </c>
      <c r="D822" s="9" t="n">
        <v>800</v>
      </c>
      <c r="H822" s="9">
        <f>SUM(D822*C822)</f>
        <v/>
      </c>
      <c r="I822" s="10" t="inlineStr">
        <is>
          <t>ร้าน K-Newtech</t>
        </is>
      </c>
      <c r="J822" s="161" t="n">
        <v>23767</v>
      </c>
      <c r="L822" s="18" t="inlineStr">
        <is>
          <t>พี่เอก สั่งซื้อทางเน็ต</t>
        </is>
      </c>
    </row>
    <row r="823" ht="21" customHeight="1">
      <c r="A823" s="6" t="n"/>
      <c r="B823" s="6" t="inlineStr">
        <is>
          <t>โฟมล้างรถ 30ลิตร เกรดเอ</t>
        </is>
      </c>
      <c r="C823" s="8" t="inlineStr">
        <is>
          <t>2ถัง</t>
        </is>
      </c>
      <c r="D823" s="9" t="n">
        <v>550</v>
      </c>
      <c r="H823" s="9" t="n">
        <v>1100</v>
      </c>
      <c r="I823" s="10" t="inlineStr">
        <is>
          <t>ทาเลนท์</t>
        </is>
      </c>
      <c r="J823" s="161" t="n">
        <v>24126</v>
      </c>
      <c r="K823" s="161" t="inlineStr">
        <is>
          <t>IB3005285</t>
        </is>
      </c>
    </row>
    <row r="824" ht="21" customHeight="1">
      <c r="B824" s="6" t="inlineStr">
        <is>
          <t>ค่าโฟมล้างรถ</t>
        </is>
      </c>
      <c r="C824" s="8" t="n">
        <v>10</v>
      </c>
      <c r="D824" s="9" t="n">
        <v>850</v>
      </c>
      <c r="H824" s="9">
        <f>SUM(D824*C824)</f>
        <v/>
      </c>
      <c r="I824" s="10" t="inlineStr">
        <is>
          <t>ร้าน K-Newtech</t>
        </is>
      </c>
      <c r="J824" s="161" t="n">
        <v>24194</v>
      </c>
      <c r="L824" s="18" t="inlineStr">
        <is>
          <t>พี่เอก สั่งซื้อทางเน็ต</t>
        </is>
      </c>
    </row>
    <row r="825" ht="21" customHeight="1">
      <c r="B825" s="6" t="inlineStr">
        <is>
          <t>ค่าโฟมล้างรถ</t>
        </is>
      </c>
      <c r="C825" s="8" t="n">
        <v>10</v>
      </c>
      <c r="D825" s="9" t="n">
        <v>850</v>
      </c>
      <c r="H825" s="9">
        <f>SUM(D825*C825)</f>
        <v/>
      </c>
      <c r="I825" s="10" t="inlineStr">
        <is>
          <t>ร้าน K-Newtech</t>
        </is>
      </c>
      <c r="J825" s="161" t="n">
        <v>24513</v>
      </c>
      <c r="L825" s="18" t="inlineStr">
        <is>
          <t>พี่เอก สั่งซื้อทางเน็ต</t>
        </is>
      </c>
    </row>
    <row r="826" ht="21" customHeight="1">
      <c r="B826" s="6" t="inlineStr">
        <is>
          <t>ค่าโฟมล้างรถ -- ร้านให้ส่วนลดถังละ 50บาท</t>
        </is>
      </c>
      <c r="C826" s="8" t="n">
        <v>10</v>
      </c>
      <c r="D826" s="9" t="n">
        <v>800</v>
      </c>
      <c r="H826" s="9">
        <f>SUM(D826*C826)</f>
        <v/>
      </c>
      <c r="I826" s="10" t="inlineStr">
        <is>
          <t>ร้าน K-Newtech</t>
        </is>
      </c>
      <c r="J826" s="161" t="n">
        <v>24817</v>
      </c>
      <c r="L826" s="18" t="inlineStr">
        <is>
          <t>พี่เอก สั่งซื้อทางเน็ต</t>
        </is>
      </c>
    </row>
    <row r="827" ht="21" customHeight="1">
      <c r="B827" s="42" t="inlineStr">
        <is>
          <t>** เมื่อ 8/5/68 วาทีแจ้งว่า มีขาย ถังละ 600 บาท (30ลิตร) เมื่อ 26/6/68 ถามถิงแล้ว บอกว่าโดนน้ำยาแล้วมีอาการแสบคัน</t>
        </is>
      </c>
    </row>
    <row r="828" ht="21" customHeight="1">
      <c r="B828" s="6" t="inlineStr">
        <is>
          <t>ค่าโฟมล้างรถ</t>
        </is>
      </c>
      <c r="C828" s="8" t="n">
        <v>10</v>
      </c>
      <c r="D828" s="9" t="n">
        <v>850</v>
      </c>
      <c r="H828" s="9">
        <f>SUM(D828*C828)</f>
        <v/>
      </c>
      <c r="I828" s="10" t="inlineStr">
        <is>
          <t>ร้าน K-Newtech</t>
        </is>
      </c>
      <c r="J828" s="161" t="n">
        <v>25119</v>
      </c>
      <c r="L828" s="18" t="inlineStr">
        <is>
          <t>พี่เอก สั่งซื้อทางเน็ต</t>
        </is>
      </c>
    </row>
    <row r="830" ht="21" customHeight="1">
      <c r="A830" s="11" t="inlineStr">
        <is>
          <t>ต๊าบเกลียว</t>
        </is>
      </c>
      <c r="B830" s="6" t="inlineStr">
        <is>
          <t>ดอกต๊าบซ่อมเกลียว 5*0.8 ฟีนิกซ์</t>
        </is>
      </c>
      <c r="C830" s="8" t="inlineStr">
        <is>
          <t>1ตัว</t>
        </is>
      </c>
      <c r="D830" s="9" t="n">
        <v>120</v>
      </c>
      <c r="H830" s="9" t="n">
        <v>120</v>
      </c>
      <c r="I830" s="10" t="inlineStr">
        <is>
          <t>ศรีสยาม</t>
        </is>
      </c>
      <c r="J830" s="161" t="n">
        <v>24259</v>
      </c>
    </row>
    <row r="831" ht="21" customHeight="1">
      <c r="B831" s="6" t="inlineStr">
        <is>
          <t>ต๊าบเกลียวแท่ง 6*1 APEX (ชุดละ 3ตัว)</t>
        </is>
      </c>
      <c r="C831" s="8" t="inlineStr">
        <is>
          <t>1ชุด</t>
        </is>
      </c>
      <c r="D831" s="9" t="n">
        <v>840</v>
      </c>
      <c r="H831" s="9" t="n">
        <v>840</v>
      </c>
      <c r="I831" s="10" t="inlineStr">
        <is>
          <t>ศรีสยาม</t>
        </is>
      </c>
      <c r="J831" s="161" t="n">
        <v>25112</v>
      </c>
    </row>
    <row r="833" ht="21" customHeight="1">
      <c r="A833" s="11" t="inlineStr">
        <is>
          <t>เกียงโป๊วสี</t>
        </is>
      </c>
      <c r="B833" s="6" t="inlineStr">
        <is>
          <t>เกียงโป๊วสี กังหัน 6นิ้ว</t>
        </is>
      </c>
      <c r="C833" s="8" t="inlineStr">
        <is>
          <t>3อัน</t>
        </is>
      </c>
      <c r="D833" s="9" t="n">
        <v>80</v>
      </c>
      <c r="H833" s="9" t="n">
        <v>240</v>
      </c>
      <c r="I833" s="10" t="inlineStr">
        <is>
          <t>ทาเลนท์</t>
        </is>
      </c>
      <c r="J833" s="161" t="n">
        <v>24251</v>
      </c>
      <c r="K833" s="161" t="inlineStr">
        <is>
          <t>IV2212728</t>
        </is>
      </c>
    </row>
    <row r="835" ht="21" customHeight="1">
      <c r="B835" s="6" t="inlineStr">
        <is>
          <t>เกียงโป๊วสี กังหัน 4นิ้ว</t>
        </is>
      </c>
      <c r="C835" s="8" t="inlineStr">
        <is>
          <t>3อัน</t>
        </is>
      </c>
      <c r="D835" s="9" t="n">
        <v>58</v>
      </c>
      <c r="H835" s="9" t="n">
        <v>174</v>
      </c>
      <c r="I835" s="10" t="inlineStr">
        <is>
          <t>ทาเลนท์</t>
        </is>
      </c>
      <c r="J835" s="161" t="n">
        <v>24251</v>
      </c>
      <c r="K835" s="161" t="inlineStr">
        <is>
          <t>IV2212728</t>
        </is>
      </c>
    </row>
    <row r="837" ht="21" customHeight="1">
      <c r="A837" s="66" t="inlineStr">
        <is>
          <t>เครื่องขัดกระดาษทรายกลม</t>
        </is>
      </c>
      <c r="B837" s="6" t="inlineStr">
        <is>
          <t>เครื่องขัดกระดาษทรายกลม 6" Okura</t>
        </is>
      </c>
      <c r="C837" s="8" t="inlineStr">
        <is>
          <t>6เครื่อง</t>
        </is>
      </c>
      <c r="D837" s="9" t="n">
        <v>790</v>
      </c>
      <c r="G837" s="10" t="n"/>
      <c r="H837" s="9" t="n">
        <v>4740</v>
      </c>
      <c r="I837" s="10" t="inlineStr">
        <is>
          <t>ทาเลนท์</t>
        </is>
      </c>
      <c r="J837" s="161" t="n">
        <v>23131</v>
      </c>
      <c r="K837" s="8" t="n"/>
      <c r="L837" s="8" t="inlineStr">
        <is>
          <t>ราคาที่ลง ยังไม่รวมภาษี</t>
        </is>
      </c>
    </row>
    <row r="838" ht="21" customHeight="1">
      <c r="A838" s="67" t="n"/>
      <c r="B838" s="6" t="inlineStr">
        <is>
          <t>เครื่องขัดกระดาษทรายกลม 6" Okura</t>
        </is>
      </c>
      <c r="C838" s="8" t="inlineStr">
        <is>
          <t>6เครื่อง</t>
        </is>
      </c>
      <c r="D838" s="9" t="n">
        <v>790</v>
      </c>
      <c r="G838" s="10" t="n"/>
      <c r="H838" s="9" t="n">
        <v>4740</v>
      </c>
      <c r="I838" s="10" t="inlineStr">
        <is>
          <t>ทาเลนท์</t>
        </is>
      </c>
      <c r="J838" s="161" t="n">
        <v>23354</v>
      </c>
      <c r="K838" s="8" t="n"/>
      <c r="L838" s="8" t="inlineStr">
        <is>
          <t>ราคาที่ลง ยังไม่รวมภาษี</t>
        </is>
      </c>
    </row>
    <row r="839" ht="21" customHeight="1">
      <c r="A839" s="67" t="n"/>
      <c r="B839" s="6" t="inlineStr">
        <is>
          <t>เครื่องขัดกระดาษทรายกลม 6" Okura</t>
        </is>
      </c>
      <c r="C839" s="8" t="inlineStr">
        <is>
          <t>5เครื่อง</t>
        </is>
      </c>
      <c r="D839" s="9" t="n">
        <v>790</v>
      </c>
      <c r="G839" s="10" t="n"/>
      <c r="H839" s="9" t="n">
        <v>3950</v>
      </c>
      <c r="I839" s="10" t="inlineStr">
        <is>
          <t>ทาเลนท์</t>
        </is>
      </c>
      <c r="J839" s="161" t="n">
        <v>23429</v>
      </c>
      <c r="K839" s="8" t="n"/>
      <c r="L839" s="8" t="inlineStr">
        <is>
          <t>ราคาที่ลง ยังไม่รวมภาษี</t>
        </is>
      </c>
    </row>
    <row r="840" ht="21" customHeight="1">
      <c r="A840" s="67" t="n"/>
      <c r="B840" s="6" t="inlineStr">
        <is>
          <t>เครื่องขัดกระดาษทรายกลม 6" Okura</t>
        </is>
      </c>
      <c r="C840" s="8" t="inlineStr">
        <is>
          <t>3เครื่อง</t>
        </is>
      </c>
      <c r="D840" s="9" t="n">
        <v>790</v>
      </c>
      <c r="G840" s="10" t="n"/>
      <c r="H840" s="9" t="n">
        <v>2370</v>
      </c>
      <c r="I840" s="10" t="inlineStr">
        <is>
          <t>ทาเลนท์</t>
        </is>
      </c>
      <c r="J840" s="161" t="n">
        <v>23500</v>
      </c>
      <c r="K840" s="8" t="n"/>
      <c r="L840" s="8" t="inlineStr">
        <is>
          <t>ราคาที่ลง ยังไม่รวมภาษี</t>
        </is>
      </c>
    </row>
    <row r="841" ht="21" customHeight="1">
      <c r="A841" s="67" t="n"/>
      <c r="B841" s="6" t="inlineStr">
        <is>
          <t>เครื่องขัดกระดาษทรายกลม 6" Okura</t>
        </is>
      </c>
      <c r="C841" s="8" t="inlineStr">
        <is>
          <t>6เครื่อง</t>
        </is>
      </c>
      <c r="D841" s="9" t="n">
        <v>790</v>
      </c>
      <c r="G841" s="10" t="n"/>
      <c r="H841" s="9" t="n">
        <v>4740</v>
      </c>
      <c r="I841" s="10" t="inlineStr">
        <is>
          <t>ทาเลนท์</t>
        </is>
      </c>
      <c r="J841" s="161" t="n">
        <v>23545</v>
      </c>
      <c r="K841" s="8" t="inlineStr">
        <is>
          <t>IV6406631</t>
        </is>
      </c>
      <c r="L841" s="8" t="inlineStr">
        <is>
          <t>ราคาที่ลง ยังไม่รวมภาษี</t>
        </is>
      </c>
    </row>
    <row r="842" ht="21" customHeight="1">
      <c r="A842" s="67" t="n"/>
      <c r="B842" s="6" t="inlineStr">
        <is>
          <t>เครื่องขัดกระดาษทรายกลม 6" Okura</t>
        </is>
      </c>
      <c r="C842" s="8" t="inlineStr">
        <is>
          <t>4เครื่อง</t>
        </is>
      </c>
      <c r="D842" s="9" t="n">
        <v>790</v>
      </c>
      <c r="G842" s="10" t="n"/>
      <c r="H842" s="9" t="n">
        <v>3160</v>
      </c>
      <c r="I842" s="10" t="inlineStr">
        <is>
          <t>ทาเลนท์</t>
        </is>
      </c>
      <c r="J842" s="161" t="n">
        <v>23900</v>
      </c>
      <c r="K842" s="8" t="inlineStr">
        <is>
          <t>IB3002119</t>
        </is>
      </c>
      <c r="L842" s="8" t="inlineStr">
        <is>
          <t>ราคาที่ลง ยังไม่รวมภาษี</t>
        </is>
      </c>
    </row>
    <row r="843" ht="21" customHeight="1">
      <c r="A843" s="67" t="n"/>
      <c r="B843" s="6" t="inlineStr">
        <is>
          <t>เครื่องขัดกระดาษทรายกลม 6" Okura</t>
        </is>
      </c>
      <c r="C843" s="8" t="inlineStr">
        <is>
          <t>6เครื่อง</t>
        </is>
      </c>
      <c r="D843" s="9" t="n">
        <v>790</v>
      </c>
      <c r="G843" s="10" t="n"/>
      <c r="H843" s="9" t="n">
        <v>4740</v>
      </c>
      <c r="I843" s="10" t="inlineStr">
        <is>
          <t>ทาเลนท์</t>
        </is>
      </c>
      <c r="J843" s="161" t="n">
        <v>24058</v>
      </c>
      <c r="K843" s="8" t="inlineStr">
        <is>
          <t>IV2206487</t>
        </is>
      </c>
      <c r="L843" s="8" t="inlineStr">
        <is>
          <t>ราคาที่ลง ยังไม่รวมภาษี</t>
        </is>
      </c>
    </row>
    <row r="844" ht="21" customHeight="1">
      <c r="A844" s="67" t="n"/>
      <c r="B844" s="6" t="inlineStr">
        <is>
          <t>เครื่องขัดกระดาษทรายกลม 6นิ้ว OKURA</t>
        </is>
      </c>
      <c r="C844" s="8" t="inlineStr">
        <is>
          <t>2เครื่อง</t>
        </is>
      </c>
      <c r="D844" s="9" t="n">
        <v>790</v>
      </c>
      <c r="H844" s="9" t="n">
        <v>1580</v>
      </c>
      <c r="I844" s="10" t="inlineStr">
        <is>
          <t>ทาเลนท์</t>
        </is>
      </c>
      <c r="J844" s="161" t="n">
        <v>24251</v>
      </c>
      <c r="K844" s="161" t="inlineStr">
        <is>
          <t>IV2212728</t>
        </is>
      </c>
    </row>
    <row r="845" ht="21" customHeight="1">
      <c r="A845" s="67" t="n"/>
      <c r="B845" s="6" t="inlineStr">
        <is>
          <t>เครื่องขัดกระดาษทรายกลม 6" Okura</t>
        </is>
      </c>
      <c r="C845" s="8" t="n">
        <v>3</v>
      </c>
      <c r="D845" s="9" t="n">
        <v>790</v>
      </c>
      <c r="G845" s="10" t="n"/>
      <c r="H845" s="9">
        <f>SUM(D845*C845)</f>
        <v/>
      </c>
      <c r="I845" s="10" t="inlineStr">
        <is>
          <t>ทาเลนท์</t>
        </is>
      </c>
      <c r="J845" s="161" t="n">
        <v>24371</v>
      </c>
      <c r="K845" s="8" t="inlineStr">
        <is>
          <t>IV2220473</t>
        </is>
      </c>
      <c r="L845" s="8" t="inlineStr">
        <is>
          <t>ราคาที่ลง ยังไม่รวมภาษี</t>
        </is>
      </c>
    </row>
    <row r="846" ht="21" customHeight="1">
      <c r="B846" s="6" t="inlineStr">
        <is>
          <t>เครื่องขัดกระดาษทรายกลม 6นิ้ว OKURA</t>
        </is>
      </c>
      <c r="C846" s="8" t="n">
        <v>3</v>
      </c>
      <c r="D846" s="9" t="n">
        <v>790</v>
      </c>
      <c r="H846" s="9">
        <f>SUM(D846*C846)</f>
        <v/>
      </c>
      <c r="I846" s="10" t="inlineStr">
        <is>
          <t>ทาเลนท์</t>
        </is>
      </c>
      <c r="J846" s="161" t="n">
        <v>24396</v>
      </c>
      <c r="K846" s="161" t="inlineStr">
        <is>
          <t>IV2222022</t>
        </is>
      </c>
    </row>
    <row r="847" ht="21" customHeight="1">
      <c r="B847" s="6" t="inlineStr">
        <is>
          <t>เครื่องขัดกระดาษทรายกลม 6นิ้ว OKURA</t>
        </is>
      </c>
      <c r="C847" s="8" t="n">
        <v>3</v>
      </c>
      <c r="D847" s="9" t="n">
        <v>790</v>
      </c>
      <c r="E847" s="9">
        <f>SUM(C847*D847)</f>
        <v/>
      </c>
      <c r="G847" s="9" t="inlineStr">
        <is>
          <t>ยอดรวม VAT =</t>
        </is>
      </c>
      <c r="H847" s="10">
        <f>SUM(E847*O847/N847)</f>
        <v/>
      </c>
      <c r="I847" s="10" t="inlineStr">
        <is>
          <t>ทาเลนท์</t>
        </is>
      </c>
      <c r="J847" s="161" t="n">
        <v>25098</v>
      </c>
      <c r="K847" s="8" t="inlineStr">
        <is>
          <t>IV6815079</t>
        </is>
      </c>
      <c r="L847" s="8" t="n"/>
      <c r="N847" s="6" t="n">
        <v>100</v>
      </c>
      <c r="O847" s="6" t="n">
        <v>107</v>
      </c>
    </row>
    <row r="848" ht="21" customHeight="1">
      <c r="G848" s="9" t="n"/>
      <c r="H848" s="10" t="n"/>
      <c r="K848" s="8" t="n"/>
      <c r="L848" s="8" t="n"/>
    </row>
    <row r="849">
      <c r="A849" s="78" t="inlineStr">
        <is>
          <t>แป้นจับเครื่องขัดกระดาษทราย</t>
        </is>
      </c>
      <c r="B849" s="6" t="inlineStr">
        <is>
          <t>แป้นจับเครื่องขัดกระดาษทรายกลม 6" หลายรู (พิเศษ)</t>
        </is>
      </c>
      <c r="C849" s="8" t="inlineStr">
        <is>
          <t>3อัน</t>
        </is>
      </c>
      <c r="D849" s="9" t="n">
        <v>400</v>
      </c>
      <c r="G849" s="10" t="n"/>
      <c r="H849" s="9" t="n">
        <v>1200</v>
      </c>
      <c r="I849" s="10" t="inlineStr">
        <is>
          <t>เบรนเวิร์ค</t>
        </is>
      </c>
      <c r="J849" s="161" t="n">
        <v>22901</v>
      </c>
      <c r="K849" s="8" t="n"/>
      <c r="L849" s="8" t="inlineStr">
        <is>
          <t>ราคาที่ลง ยังไม่รวมภาษี</t>
        </is>
      </c>
    </row>
    <row r="850">
      <c r="A850" s="67" t="n"/>
      <c r="B850" s="6" t="inlineStr">
        <is>
          <t>แป้นจับเครื่องขัดกระดาษทรายกลม 6"  6รู -- แถมฟรี</t>
        </is>
      </c>
      <c r="C850" s="8" t="inlineStr">
        <is>
          <t>4อัน</t>
        </is>
      </c>
      <c r="G850" s="10" t="n"/>
      <c r="I850" s="10" t="inlineStr">
        <is>
          <t>ทาเลนท์</t>
        </is>
      </c>
      <c r="J850" s="161" t="n">
        <v>24229</v>
      </c>
      <c r="K850" s="8" t="inlineStr">
        <is>
          <t>IV2211226</t>
        </is>
      </c>
      <c r="L850" s="8" t="inlineStr">
        <is>
          <t>ราคาที่ลง ยังไม่รวมภาษี</t>
        </is>
      </c>
    </row>
    <row r="851" ht="21" customHeight="1">
      <c r="B851" s="6" t="inlineStr">
        <is>
          <t>แป้นจับเครื่องขัดกระดาษทรายกลม 6"  6รู</t>
        </is>
      </c>
      <c r="C851" s="8" t="n">
        <v>3</v>
      </c>
      <c r="D851" s="9" t="n">
        <v>290</v>
      </c>
      <c r="E851" s="9">
        <f>SUM(C851*D851)</f>
        <v/>
      </c>
      <c r="G851" s="9" t="inlineStr">
        <is>
          <t>ยอดรวม VAT =</t>
        </is>
      </c>
      <c r="H851" s="10">
        <f>SUM(E851*O851/N851)</f>
        <v/>
      </c>
      <c r="I851" s="10" t="inlineStr">
        <is>
          <t>ทาเลนท์</t>
        </is>
      </c>
      <c r="J851" s="161" t="n">
        <v>25098</v>
      </c>
      <c r="K851" s="8" t="inlineStr">
        <is>
          <t>IV6815079</t>
        </is>
      </c>
      <c r="L851" s="8" t="n"/>
      <c r="N851" s="6" t="n">
        <v>100</v>
      </c>
      <c r="O851" s="6" t="n">
        <v>107</v>
      </c>
    </row>
    <row r="852" ht="21" customHeight="1">
      <c r="B852" s="6" t="inlineStr">
        <is>
          <t>แป้นจับเครื่องขัดกระดาษทรายกลม 6"  6รู</t>
        </is>
      </c>
      <c r="C852" s="8" t="n">
        <v>4</v>
      </c>
      <c r="D852" s="9" t="n">
        <v>290</v>
      </c>
      <c r="E852" s="9">
        <f>SUM(C852*D852)</f>
        <v/>
      </c>
      <c r="G852" s="9" t="inlineStr">
        <is>
          <t>ยอดรวม VAT =</t>
        </is>
      </c>
      <c r="H852" s="10">
        <f>SUM(E852*O852/N852)</f>
        <v/>
      </c>
      <c r="I852" s="10" t="inlineStr">
        <is>
          <t>ทาเลนท์</t>
        </is>
      </c>
      <c r="J852" s="161" t="n">
        <v>25169</v>
      </c>
      <c r="K852" s="8" t="inlineStr">
        <is>
          <t>IV6819334</t>
        </is>
      </c>
      <c r="L852" s="8" t="n"/>
      <c r="N852" s="6" t="n">
        <v>100</v>
      </c>
      <c r="O852" s="6" t="n">
        <v>107</v>
      </c>
    </row>
    <row r="853" ht="21" customHeight="1">
      <c r="G853" s="9" t="n"/>
      <c r="H853" s="10" t="n"/>
      <c r="K853" s="8" t="n"/>
      <c r="L853" s="8" t="n"/>
    </row>
    <row r="854">
      <c r="A854" s="66" t="inlineStr">
        <is>
          <t>แผ่นขัดฟองน้ำ</t>
        </is>
      </c>
      <c r="B854" s="6" t="inlineStr">
        <is>
          <t>ฟองน้ำรองขัดกระดาษทรายกลม  3M 5777</t>
        </is>
      </c>
      <c r="C854" s="8" t="inlineStr">
        <is>
          <t>2อัน</t>
        </is>
      </c>
      <c r="D854" s="9" t="n">
        <v>372</v>
      </c>
      <c r="G854" s="10" t="n"/>
      <c r="H854" s="9" t="n">
        <v>744</v>
      </c>
      <c r="I854" s="10" t="inlineStr">
        <is>
          <t>ทาเลนท์</t>
        </is>
      </c>
      <c r="J854" s="161" t="n">
        <v>22453</v>
      </c>
      <c r="K854" s="8" t="n"/>
      <c r="L854" s="8" t="inlineStr">
        <is>
          <t>ราคาที่ลง ยังไม่รวมภาษี</t>
        </is>
      </c>
    </row>
    <row r="855">
      <c r="A855" s="67" t="n"/>
      <c r="B855" s="6" t="inlineStr">
        <is>
          <t>ฟองน้ำรองขัดกระดาษทรายกลม  3M 5777</t>
        </is>
      </c>
      <c r="C855" s="8" t="inlineStr">
        <is>
          <t>3อัน</t>
        </is>
      </c>
      <c r="D855" s="9" t="n">
        <v>372</v>
      </c>
      <c r="G855" s="10" t="n"/>
      <c r="H855" s="9" t="n">
        <v>1116</v>
      </c>
      <c r="I855" s="10" t="inlineStr">
        <is>
          <t>ทาเลนท์</t>
        </is>
      </c>
      <c r="J855" s="161" t="n">
        <v>23062</v>
      </c>
      <c r="K855" s="8" t="n"/>
      <c r="L855" s="8" t="inlineStr">
        <is>
          <t>ราคาที่ลง ยังไม่รวมภาษี</t>
        </is>
      </c>
    </row>
    <row r="856">
      <c r="A856" s="67" t="n"/>
      <c r="B856" s="6" t="inlineStr">
        <is>
          <t>ฟองน้ำรองขัดกระดาษทรายกลม  3M 5777</t>
        </is>
      </c>
      <c r="C856" s="8" t="inlineStr">
        <is>
          <t>3อัน</t>
        </is>
      </c>
      <c r="D856" s="9" t="n">
        <v>372</v>
      </c>
      <c r="G856" s="10" t="n"/>
      <c r="H856" s="9" t="n">
        <v>1116</v>
      </c>
      <c r="I856" s="10" t="inlineStr">
        <is>
          <t>ทาเลนท์</t>
        </is>
      </c>
      <c r="J856" s="161" t="n">
        <v>23094</v>
      </c>
      <c r="K856" s="8" t="n"/>
      <c r="L856" s="8" t="inlineStr">
        <is>
          <t>ราคาที่ลง ยังไม่รวมภาษี</t>
        </is>
      </c>
    </row>
    <row r="857">
      <c r="A857" s="67" t="n"/>
      <c r="G857" s="10" t="n"/>
      <c r="K857" s="8" t="n"/>
      <c r="L857" s="8" t="n"/>
    </row>
    <row r="858">
      <c r="A858" s="67" t="n"/>
      <c r="B858" s="6" t="inlineStr">
        <is>
          <t>ฟองน้ำรองขัดกระดาษทรายกลม 6นิ้ว SUMO</t>
        </is>
      </c>
      <c r="C858" s="8" t="inlineStr">
        <is>
          <t>4อัน</t>
        </is>
      </c>
      <c r="D858" s="9" t="n">
        <v>200</v>
      </c>
      <c r="G858" s="10" t="n"/>
      <c r="H858" s="9" t="n">
        <v>800</v>
      </c>
      <c r="I858" s="10" t="inlineStr">
        <is>
          <t>ทาเลนท์</t>
        </is>
      </c>
      <c r="J858" s="161" t="n">
        <v>23125</v>
      </c>
      <c r="K858" s="8" t="n"/>
      <c r="L858" s="8" t="inlineStr">
        <is>
          <t>ราคาที่ลง ยังไม่รวมภาษี</t>
        </is>
      </c>
    </row>
    <row r="859">
      <c r="A859" s="67" t="n"/>
      <c r="B859" s="6" t="inlineStr">
        <is>
          <t>ฟองน้ำรองขัดกระดาษทรายกลม 6นิ้ว SUMO</t>
        </is>
      </c>
      <c r="C859" s="8" t="inlineStr">
        <is>
          <t>4อัน</t>
        </is>
      </c>
      <c r="D859" s="9" t="n">
        <v>200</v>
      </c>
      <c r="G859" s="10" t="n"/>
      <c r="H859" s="9" t="n">
        <v>800</v>
      </c>
      <c r="I859" s="10" t="inlineStr">
        <is>
          <t>ทาเลนท์</t>
        </is>
      </c>
      <c r="J859" s="161" t="n">
        <v>23164</v>
      </c>
      <c r="K859" s="8" t="n"/>
      <c r="L859" s="8" t="inlineStr">
        <is>
          <t>ราคาที่ลง ยังไม่รวมภาษี</t>
        </is>
      </c>
    </row>
    <row r="860">
      <c r="A860" s="67" t="n"/>
      <c r="B860" s="6" t="inlineStr">
        <is>
          <t>ฟองน้ำรองขัดกระดาษทรายกลม 6นิ้ว SUMO</t>
        </is>
      </c>
      <c r="C860" s="8" t="inlineStr">
        <is>
          <t>4อัน</t>
        </is>
      </c>
      <c r="D860" s="9" t="n">
        <v>200</v>
      </c>
      <c r="G860" s="10" t="n"/>
      <c r="H860" s="9" t="n">
        <v>800</v>
      </c>
      <c r="I860" s="10" t="inlineStr">
        <is>
          <t>ทาเลนท์</t>
        </is>
      </c>
      <c r="J860" s="161" t="n">
        <v>23331</v>
      </c>
      <c r="K860" s="8" t="n"/>
      <c r="L860" s="8" t="inlineStr">
        <is>
          <t>ราคาที่ลง ยังไม่รวมภาษี</t>
        </is>
      </c>
    </row>
    <row r="861">
      <c r="A861" s="67" t="n"/>
      <c r="B861" s="6" t="inlineStr">
        <is>
          <t>ฟองน้ำรองขัดกระดาษทรายกลม 6นิ้ว SUMO</t>
        </is>
      </c>
      <c r="C861" s="8" t="inlineStr">
        <is>
          <t>3อัน</t>
        </is>
      </c>
      <c r="D861" s="9" t="n">
        <v>200</v>
      </c>
      <c r="G861" s="10" t="n"/>
      <c r="H861" s="9" t="n">
        <v>600</v>
      </c>
      <c r="I861" s="10" t="inlineStr">
        <is>
          <t>ทาเลนท์</t>
        </is>
      </c>
      <c r="J861" s="161" t="n">
        <v>23392</v>
      </c>
      <c r="K861" s="8" t="n"/>
      <c r="L861" s="8" t="inlineStr">
        <is>
          <t>ราคาที่ลง ยังไม่รวมภาษี</t>
        </is>
      </c>
    </row>
    <row r="862">
      <c r="A862" s="67" t="n"/>
      <c r="B862" s="6" t="inlineStr">
        <is>
          <t>ฟองน้ำรองขัดกระดาษทรายกลม 6นิ้ว SUMO</t>
        </is>
      </c>
      <c r="C862" s="8" t="inlineStr">
        <is>
          <t>6อัน</t>
        </is>
      </c>
      <c r="D862" s="9" t="n">
        <v>200</v>
      </c>
      <c r="G862" s="10" t="n"/>
      <c r="H862" s="9" t="n">
        <v>1200</v>
      </c>
      <c r="I862" s="10" t="inlineStr">
        <is>
          <t>ทาเลนท์</t>
        </is>
      </c>
      <c r="J862" s="161" t="n">
        <v>23665</v>
      </c>
      <c r="K862" s="8" t="n"/>
      <c r="L862" s="8" t="inlineStr">
        <is>
          <t>ราคาที่ลง ยังไม่รวมภาษี</t>
        </is>
      </c>
    </row>
    <row r="863">
      <c r="A863" s="67" t="n"/>
      <c r="B863" s="6" t="inlineStr">
        <is>
          <t>ฟองน้ำรองขัดกระดาษทรายกลม 6นิ้ว SUMO</t>
        </is>
      </c>
      <c r="C863" s="8" t="inlineStr">
        <is>
          <t>4อัน</t>
        </is>
      </c>
      <c r="D863" s="9" t="n">
        <v>200</v>
      </c>
      <c r="G863" s="10" t="n"/>
      <c r="H863" s="9" t="n">
        <v>800</v>
      </c>
      <c r="I863" s="10" t="inlineStr">
        <is>
          <t>ทาเลนท์</t>
        </is>
      </c>
      <c r="J863" s="161" t="n">
        <v>24148</v>
      </c>
      <c r="K863" s="8" t="inlineStr">
        <is>
          <t>IB3006698</t>
        </is>
      </c>
      <c r="L863" s="8" t="inlineStr">
        <is>
          <t>ราคาที่ลง ยังไม่รวมภาษี</t>
        </is>
      </c>
    </row>
    <row r="864">
      <c r="A864" s="67" t="n"/>
      <c r="B864" s="6" t="inlineStr">
        <is>
          <t>ฟองน้ำรองขัดกระดาษทรายกลม 6นิ้ว SUMO</t>
        </is>
      </c>
      <c r="C864" s="8" t="inlineStr">
        <is>
          <t>4อัน</t>
        </is>
      </c>
      <c r="D864" s="9" t="n">
        <v>200</v>
      </c>
      <c r="G864" s="10" t="n"/>
      <c r="H864" s="9" t="n">
        <v>800</v>
      </c>
      <c r="I864" s="10" t="inlineStr">
        <is>
          <t>ทาเลนท์</t>
        </is>
      </c>
      <c r="J864" s="161" t="n">
        <v>24184</v>
      </c>
      <c r="K864" s="8" t="inlineStr">
        <is>
          <t>IB3008935</t>
        </is>
      </c>
      <c r="L864" s="8" t="inlineStr">
        <is>
          <t>ราคาที่ลง ยังไม่รวมภาษี</t>
        </is>
      </c>
    </row>
    <row r="865">
      <c r="A865" s="67" t="n"/>
      <c r="B865" s="6" t="inlineStr">
        <is>
          <t>ฟองน้ำรองขัดกระดาษทรายกลม 6นิ้ว SUMO</t>
        </is>
      </c>
      <c r="C865" s="8" t="inlineStr">
        <is>
          <t>4อัน</t>
        </is>
      </c>
      <c r="D865" s="9" t="n">
        <v>200</v>
      </c>
      <c r="G865" s="10" t="n"/>
      <c r="H865" s="9" t="n">
        <v>800</v>
      </c>
      <c r="I865" s="10" t="inlineStr">
        <is>
          <t>ทาเลนท์</t>
        </is>
      </c>
      <c r="J865" s="161" t="n">
        <v>24372</v>
      </c>
      <c r="K865" s="8" t="inlineStr">
        <is>
          <t>IV2220530</t>
        </is>
      </c>
      <c r="L865" s="8" t="inlineStr">
        <is>
          <t>ราคาที่ลง ยังไม่รวมภาษี</t>
        </is>
      </c>
    </row>
    <row r="866">
      <c r="A866" s="67" t="n"/>
      <c r="B866" s="6" t="inlineStr">
        <is>
          <t>ฟองน้ำรองขัดกระดาษทรายกลม 6นิ้ว SUMO</t>
        </is>
      </c>
      <c r="C866" s="8" t="n">
        <v>6</v>
      </c>
      <c r="D866" s="9" t="n">
        <v>214</v>
      </c>
      <c r="G866" s="10" t="n"/>
      <c r="H866" s="9">
        <f>SUM(D866*C866)</f>
        <v/>
      </c>
      <c r="I866" s="10" t="inlineStr">
        <is>
          <t>ทาเลนท์</t>
        </is>
      </c>
      <c r="J866" s="161" t="n">
        <v>24930</v>
      </c>
      <c r="K866" s="8" t="inlineStr">
        <is>
          <t>IV6805480</t>
        </is>
      </c>
      <c r="L866" s="8" t="inlineStr">
        <is>
          <t>ราคารวม VAT แล้ว</t>
        </is>
      </c>
    </row>
    <row r="867">
      <c r="A867" s="67" t="n"/>
      <c r="G867" s="10" t="n"/>
      <c r="K867" s="8" t="n"/>
      <c r="L867" s="8" t="n"/>
    </row>
    <row r="868">
      <c r="A868" s="67" t="n"/>
      <c r="B868" s="6" t="inlineStr">
        <is>
          <t>ฟองน้ำรองขัดกระดาษทราย</t>
        </is>
      </c>
      <c r="C868" s="8" t="inlineStr">
        <is>
          <t>6อัน</t>
        </is>
      </c>
      <c r="D868" s="9" t="n">
        <v>250</v>
      </c>
      <c r="G868" s="10" t="n"/>
      <c r="H868" s="9" t="n">
        <v>1500</v>
      </c>
      <c r="I868" s="10" t="inlineStr">
        <is>
          <t>เบรนเวิร์ค</t>
        </is>
      </c>
      <c r="J868" s="161" t="n">
        <v>22901</v>
      </c>
      <c r="K868" s="8" t="n"/>
      <c r="L868" s="8" t="inlineStr">
        <is>
          <t>ราคาที่ลง ยังไม่รวมภาษี</t>
        </is>
      </c>
    </row>
    <row r="869">
      <c r="A869" s="67" t="n"/>
      <c r="G869" s="10" t="n"/>
      <c r="K869" s="8" t="n"/>
      <c r="L869" s="8" t="n"/>
    </row>
    <row r="870">
      <c r="A870" s="67" t="n"/>
      <c r="B870" s="6" t="inlineStr">
        <is>
          <t>ฟองน้ำรองขัดกระดาษทราย (สี่เหลี่ยมผืนผ้า/สีเขียว)</t>
        </is>
      </c>
      <c r="C870" s="8" t="inlineStr">
        <is>
          <t>5อัน</t>
        </is>
      </c>
      <c r="D870" s="9" t="n">
        <v>10</v>
      </c>
      <c r="G870" s="10" t="n"/>
      <c r="H870" s="9" t="n">
        <v>50</v>
      </c>
      <c r="I870" s="10" t="inlineStr">
        <is>
          <t>ศรีโสธร</t>
        </is>
      </c>
      <c r="J870" s="161" t="n">
        <v>23139</v>
      </c>
      <c r="K870" s="8" t="n"/>
      <c r="L870" s="8" t="n"/>
    </row>
    <row r="871">
      <c r="A871" s="67" t="n"/>
      <c r="B871" s="6" t="inlineStr">
        <is>
          <t>ฟองน้ำรองขัดกระดาษทราย (สี่เหลี่ยมผืนผ้า/สีเขียว)</t>
        </is>
      </c>
      <c r="C871" s="8" t="inlineStr">
        <is>
          <t>10อัน</t>
        </is>
      </c>
      <c r="D871" s="9" t="n">
        <v>10</v>
      </c>
      <c r="G871" s="10" t="n"/>
      <c r="H871" s="9" t="n">
        <v>100</v>
      </c>
      <c r="I871" s="10" t="inlineStr">
        <is>
          <t>ศรีโสธร</t>
        </is>
      </c>
      <c r="J871" s="161" t="n">
        <v>23157</v>
      </c>
      <c r="K871" s="8" t="n"/>
      <c r="L871" s="8" t="n"/>
    </row>
    <row r="872">
      <c r="A872" s="67" t="n"/>
      <c r="B872" s="6" t="inlineStr">
        <is>
          <t>ฟองน้ำรองขัดกระดาษทราย TOA</t>
        </is>
      </c>
      <c r="C872" s="8" t="inlineStr">
        <is>
          <t>10อัน</t>
        </is>
      </c>
      <c r="D872" s="9" t="n">
        <v>18</v>
      </c>
      <c r="G872" s="10" t="n"/>
      <c r="H872" s="9" t="n">
        <v>180</v>
      </c>
      <c r="I872" s="10" t="inlineStr">
        <is>
          <t>ทาเลนท์</t>
        </is>
      </c>
      <c r="J872" s="161" t="n">
        <v>23878</v>
      </c>
      <c r="K872" s="8" t="inlineStr">
        <is>
          <t>IB3000910</t>
        </is>
      </c>
      <c r="L872" s="8" t="inlineStr">
        <is>
          <t>ราคาที่ลง ยังไม่รวมภาษี</t>
        </is>
      </c>
    </row>
    <row r="873">
      <c r="A873" s="67" t="n"/>
      <c r="G873" s="10" t="n"/>
      <c r="K873" s="8" t="n"/>
      <c r="L873" s="8" t="n"/>
    </row>
    <row r="874">
      <c r="A874" s="67" t="n"/>
      <c r="G874" s="10" t="n"/>
      <c r="K874" s="8" t="n"/>
      <c r="L874" s="8" t="n"/>
    </row>
    <row r="875">
      <c r="A875" s="66" t="inlineStr">
        <is>
          <t>ไฟเบอร์/อคิลิครองขัดสี</t>
        </is>
      </c>
      <c r="B875" s="6" t="inlineStr">
        <is>
          <t>ไฟเบอร์/อคิลิครองขัดสี (แบบบาง)</t>
        </is>
      </c>
      <c r="C875" s="8" t="inlineStr">
        <is>
          <t>2อัน</t>
        </is>
      </c>
      <c r="D875" s="9" t="n">
        <v>70</v>
      </c>
      <c r="G875" s="10" t="n"/>
      <c r="H875" s="9" t="n">
        <v>140</v>
      </c>
      <c r="I875" s="10" t="inlineStr">
        <is>
          <t>ศรีโสธร</t>
        </is>
      </c>
      <c r="J875" s="161" t="n">
        <v>23157</v>
      </c>
      <c r="K875" s="8" t="n"/>
      <c r="L875" s="8" t="n"/>
    </row>
    <row r="876">
      <c r="A876" s="67" t="n"/>
      <c r="G876" s="10" t="n"/>
      <c r="K876" s="8" t="n"/>
      <c r="L876" s="8" t="n"/>
    </row>
    <row r="877">
      <c r="A877" s="67" t="n"/>
      <c r="B877" s="6" t="inlineStr">
        <is>
          <t>ไฟเบอร์/อคิลิครองขัดสี (แบบหนา) -- แผ่นใหญ่เอามาตัดแบ่งได้4อัน(10mm.*30cm*30cm)</t>
        </is>
      </c>
      <c r="C877" s="8" t="inlineStr">
        <is>
          <t>1อัน</t>
        </is>
      </c>
      <c r="D877" s="9" t="n">
        <v>263</v>
      </c>
      <c r="G877" s="10" t="n"/>
      <c r="H877" s="9" t="n">
        <v>263</v>
      </c>
      <c r="I877" s="10" t="inlineStr">
        <is>
          <t>Shopee</t>
        </is>
      </c>
      <c r="J877" s="161" t="n">
        <v>24613</v>
      </c>
      <c r="K877" s="8" t="n"/>
      <c r="L877" s="8" t="inlineStr">
        <is>
          <t>ราคารวมค่าขนส่ง</t>
        </is>
      </c>
    </row>
    <row r="878">
      <c r="A878" s="67" t="n"/>
      <c r="G878" s="10" t="n"/>
      <c r="K878" s="8" t="n"/>
      <c r="L878" s="8" t="n"/>
    </row>
    <row r="879">
      <c r="A879" s="66" t="inlineStr">
        <is>
          <t xml:space="preserve">ฟองน้ำรองขัดสีโป๊ว </t>
        </is>
      </c>
      <c r="B879" s="6" t="inlineStr">
        <is>
          <t xml:space="preserve">ฟองน้ำรองขัดสีโป๊ว </t>
        </is>
      </c>
      <c r="C879" s="8" t="inlineStr">
        <is>
          <t>5อัน</t>
        </is>
      </c>
      <c r="D879" s="9" t="n">
        <v>20</v>
      </c>
      <c r="G879" s="10" t="n"/>
      <c r="H879" s="9" t="n">
        <v>100</v>
      </c>
      <c r="I879" s="10" t="inlineStr">
        <is>
          <t>ออโต้ สมาร์ทเทค</t>
        </is>
      </c>
      <c r="J879" s="161" t="n">
        <v>23868</v>
      </c>
      <c r="K879" s="8" t="n"/>
      <c r="L879" s="8" t="inlineStr">
        <is>
          <t>ไม่ได้เอา VAT</t>
        </is>
      </c>
    </row>
    <row r="880">
      <c r="A880" s="67" t="n"/>
      <c r="G880" s="10" t="n"/>
      <c r="K880" s="8" t="n"/>
      <c r="L880" s="8" t="n"/>
    </row>
    <row r="881">
      <c r="A881" s="77" t="inlineStr">
        <is>
          <t>แป้นจับฟองน้ำดำลงเงารังไข่</t>
        </is>
      </c>
      <c r="B881" s="6" t="inlineStr">
        <is>
          <t>แป้นจับฟองน้ำดำลงเงารังไข่ 7" ไต้หวัน  Solar</t>
        </is>
      </c>
      <c r="C881" s="8" t="inlineStr">
        <is>
          <t>1อัน</t>
        </is>
      </c>
      <c r="D881" s="9" t="n">
        <v>490</v>
      </c>
      <c r="G881" s="10" t="n"/>
      <c r="H881" s="9" t="n">
        <v>490</v>
      </c>
      <c r="I881" s="10" t="inlineStr">
        <is>
          <t>ทาเลนท์</t>
        </is>
      </c>
      <c r="J881" s="161" t="n">
        <v>23125</v>
      </c>
      <c r="K881" s="8" t="n"/>
      <c r="L881" s="8" t="inlineStr">
        <is>
          <t>ราคาที่ลง ยังไม่รวมภาษี</t>
        </is>
      </c>
    </row>
    <row r="882">
      <c r="A882" s="67" t="n"/>
      <c r="B882" s="6" t="inlineStr">
        <is>
          <t>แป้นจับฟองน้ำดำลงเงารังไข่ 7" ไต้หวัน  Solar</t>
        </is>
      </c>
      <c r="C882" s="8" t="inlineStr">
        <is>
          <t>1อัน</t>
        </is>
      </c>
      <c r="D882" s="9" t="n">
        <v>490</v>
      </c>
      <c r="G882" s="10" t="n"/>
      <c r="H882" s="9" t="n">
        <v>490</v>
      </c>
      <c r="I882" s="10" t="inlineStr">
        <is>
          <t>ทาเลนท์</t>
        </is>
      </c>
      <c r="J882" s="161" t="n">
        <v>23129</v>
      </c>
      <c r="K882" s="8" t="n"/>
      <c r="L882" s="8" t="inlineStr">
        <is>
          <t>ราคาที่ลง ยังไม่รวมภาษี</t>
        </is>
      </c>
    </row>
    <row r="883">
      <c r="A883" s="67" t="n"/>
      <c r="B883" s="6" t="inlineStr">
        <is>
          <t>แป้นจับฟองน้ำดำลงเงารังไข่ 7" Hammer</t>
        </is>
      </c>
      <c r="C883" s="8" t="n">
        <v>2</v>
      </c>
      <c r="D883" s="9" t="n">
        <v>390</v>
      </c>
      <c r="G883" s="10" t="n"/>
      <c r="H883" s="9">
        <f>SUM(D883*C883)</f>
        <v/>
      </c>
      <c r="I883" s="10" t="inlineStr">
        <is>
          <t>ทาเลนท์</t>
        </is>
      </c>
      <c r="J883" s="161" t="n">
        <v>24320</v>
      </c>
      <c r="K883" s="8" t="inlineStr">
        <is>
          <t>IV2217111</t>
        </is>
      </c>
      <c r="L883" s="8" t="inlineStr">
        <is>
          <t>ราคาที่ลง ยังไม่รวมภาษี</t>
        </is>
      </c>
    </row>
    <row r="884">
      <c r="A884" s="69" t="n"/>
      <c r="B884" s="6" t="inlineStr">
        <is>
          <t>แป้นจับฟองน้ำดำลงเงารังไข่ 7" Hammer</t>
        </is>
      </c>
      <c r="C884" s="8" t="n">
        <v>2</v>
      </c>
      <c r="D884" s="9" t="n">
        <v>390</v>
      </c>
      <c r="E884" s="9">
        <f>SUM(C884*D884)</f>
        <v/>
      </c>
      <c r="G884" s="10" t="inlineStr">
        <is>
          <t>ราคารวมVAT =</t>
        </is>
      </c>
      <c r="H884" s="9">
        <f>SUM(E884*O884/N884)</f>
        <v/>
      </c>
      <c r="I884" s="10" t="inlineStr">
        <is>
          <t>ทาเลนท์</t>
        </is>
      </c>
      <c r="J884" s="161" t="n">
        <v>25052</v>
      </c>
      <c r="K884" s="8" t="inlineStr">
        <is>
          <t>IV6812358</t>
        </is>
      </c>
      <c r="L884" s="8" t="inlineStr">
        <is>
          <t>ราคารวม VAT แล้ว</t>
        </is>
      </c>
      <c r="N884" s="6" t="n">
        <v>100</v>
      </c>
      <c r="O884" s="6" t="n">
        <v>107</v>
      </c>
    </row>
    <row r="885">
      <c r="A885" s="67" t="n"/>
      <c r="G885" s="10" t="n"/>
      <c r="K885" s="8" t="n"/>
      <c r="L885" s="8" t="n"/>
    </row>
    <row r="886">
      <c r="A886" s="67" t="n"/>
      <c r="G886" s="10" t="n"/>
      <c r="K886" s="8" t="n"/>
      <c r="L886" s="8" t="n"/>
    </row>
    <row r="887">
      <c r="A887" s="66" t="inlineStr">
        <is>
          <t>ฟองน้ำดำลงเงารังไข่</t>
        </is>
      </c>
      <c r="B887" s="6" t="inlineStr">
        <is>
          <t>ฟองน้ำดำลงเงารังไข่ 3M -- สำหรับขัดเคลือบสี</t>
        </is>
      </c>
      <c r="C887" s="8" t="inlineStr">
        <is>
          <t>1คู่</t>
        </is>
      </c>
      <c r="D887" s="9" t="n">
        <v>540</v>
      </c>
      <c r="G887" s="10" t="n"/>
      <c r="H887" s="9" t="n">
        <v>540</v>
      </c>
      <c r="I887" s="10" t="inlineStr">
        <is>
          <t>ทาเลนท์</t>
        </is>
      </c>
      <c r="J887" s="161" t="n">
        <v>22451</v>
      </c>
      <c r="K887" s="8" t="n"/>
      <c r="L887" s="8" t="inlineStr">
        <is>
          <t>ราคาที่ลง ยังไม่รวมภาษี</t>
        </is>
      </c>
    </row>
    <row r="888">
      <c r="A888" s="67" t="n"/>
      <c r="B888" s="6" t="inlineStr">
        <is>
          <t>ฟองน้ำดำลงเงารังไข่ 3M -- สำหรับขัดเคลือบสี</t>
        </is>
      </c>
      <c r="C888" s="8" t="inlineStr">
        <is>
          <t>1คู่</t>
        </is>
      </c>
      <c r="D888" s="9" t="n">
        <v>540</v>
      </c>
      <c r="G888" s="10" t="n"/>
      <c r="H888" s="9" t="n">
        <v>540</v>
      </c>
      <c r="I888" s="10" t="inlineStr">
        <is>
          <t>ทาเลนท์</t>
        </is>
      </c>
      <c r="J888" s="161" t="n">
        <v>23094</v>
      </c>
      <c r="K888" s="8" t="n"/>
      <c r="L888" s="8" t="inlineStr">
        <is>
          <t>ราคาที่ลง ยังไม่รวมภาษี</t>
        </is>
      </c>
    </row>
    <row r="889">
      <c r="A889" s="67" t="n"/>
      <c r="B889" s="6" t="inlineStr">
        <is>
          <t>ฟองน้ำดำลงเงารังไข่ 3M -- สำหรับขัดเคลือบสี</t>
        </is>
      </c>
      <c r="C889" s="8" t="inlineStr">
        <is>
          <t>1คู่</t>
        </is>
      </c>
      <c r="D889" s="9" t="n">
        <v>540</v>
      </c>
      <c r="G889" s="10" t="n"/>
      <c r="H889" s="9" t="n">
        <v>540</v>
      </c>
      <c r="I889" s="10" t="inlineStr">
        <is>
          <t>ทาเลนท์</t>
        </is>
      </c>
      <c r="J889" s="161" t="n">
        <v>23164</v>
      </c>
      <c r="K889" s="8" t="n"/>
      <c r="L889" s="8" t="inlineStr">
        <is>
          <t>ราคาที่ลง ยังไม่รวมภาษี</t>
        </is>
      </c>
    </row>
    <row r="890">
      <c r="A890" s="67" t="n"/>
      <c r="B890" s="6" t="inlineStr">
        <is>
          <t>ฟองน้ำดำลงเงารังไข่ 3M -- สำหรับขัดเคลือบสี</t>
        </is>
      </c>
      <c r="C890" s="8" t="inlineStr">
        <is>
          <t>3คู่</t>
        </is>
      </c>
      <c r="D890" s="9" t="n">
        <v>540</v>
      </c>
      <c r="G890" s="10" t="n"/>
      <c r="H890" s="9" t="n">
        <v>1620</v>
      </c>
      <c r="I890" s="10" t="inlineStr">
        <is>
          <t>ทาเลนท์</t>
        </is>
      </c>
      <c r="J890" s="161" t="n">
        <v>23331</v>
      </c>
      <c r="K890" s="8" t="n"/>
      <c r="L890" s="8" t="inlineStr">
        <is>
          <t>ราคาที่ลง ยังไม่รวมภาษี</t>
        </is>
      </c>
    </row>
    <row r="891">
      <c r="A891" s="67" t="n"/>
      <c r="B891" s="6" t="inlineStr">
        <is>
          <t>ฟองน้ำดำลงเงารังไข่ 3M -- สำหรับขัดเคลือบสี</t>
        </is>
      </c>
      <c r="C891" s="8" t="inlineStr">
        <is>
          <t>2คู่</t>
        </is>
      </c>
      <c r="D891" s="9" t="n">
        <v>650</v>
      </c>
      <c r="G891" s="10" t="n"/>
      <c r="H891" s="9" t="n">
        <v>1300</v>
      </c>
      <c r="I891" s="10" t="inlineStr">
        <is>
          <t>ทาเลนท์</t>
        </is>
      </c>
      <c r="J891" s="161" t="n">
        <v>23994</v>
      </c>
      <c r="K891" s="8" t="inlineStr">
        <is>
          <t>IV2203571</t>
        </is>
      </c>
      <c r="L891" s="8" t="inlineStr">
        <is>
          <t>ราคาที่ลง ยังไม่รวมภาษี</t>
        </is>
      </c>
    </row>
    <row r="892">
      <c r="A892" s="67" t="n"/>
      <c r="B892" s="6" t="inlineStr">
        <is>
          <t>ฟองน้ำดำลงเงารังไข่ 3M -- สำหรับขัดเคลือบสี</t>
        </is>
      </c>
      <c r="C892" s="8" t="inlineStr">
        <is>
          <t>2คู่</t>
        </is>
      </c>
      <c r="D892" s="9" t="n">
        <v>650</v>
      </c>
      <c r="G892" s="10" t="n"/>
      <c r="H892" s="9" t="n">
        <v>1300</v>
      </c>
      <c r="I892" s="10" t="inlineStr">
        <is>
          <t>ทาเลนท์</t>
        </is>
      </c>
      <c r="J892" s="161" t="n">
        <v>24110</v>
      </c>
      <c r="K892" s="8" t="inlineStr">
        <is>
          <t>IV2209110</t>
        </is>
      </c>
      <c r="L892" s="8" t="inlineStr">
        <is>
          <t>ราคาที่ลง ยังไม่รวมภาษี</t>
        </is>
      </c>
    </row>
    <row r="893">
      <c r="A893" s="67" t="n"/>
      <c r="B893" s="6" t="inlineStr">
        <is>
          <t>ฟองน้ำดำลงเงารังไข่ 3M -- สำหรับขัดเคลือบสี 5725 (ราคาต่อ1คู่)</t>
        </is>
      </c>
      <c r="C893" s="8" t="n">
        <v>3</v>
      </c>
      <c r="D893" s="9" t="n">
        <v>650</v>
      </c>
      <c r="G893" s="10" t="n"/>
      <c r="H893" s="9">
        <f>SUM(C893*D893)</f>
        <v/>
      </c>
      <c r="I893" s="10" t="inlineStr">
        <is>
          <t>ทาเลนท์</t>
        </is>
      </c>
      <c r="J893" s="161" t="n">
        <v>24460</v>
      </c>
      <c r="K893" s="8" t="inlineStr">
        <is>
          <t>IV2225888</t>
        </is>
      </c>
      <c r="L893" s="8" t="inlineStr">
        <is>
          <t>ราคาที่ลง ยังไม่รวมภาษี</t>
        </is>
      </c>
    </row>
    <row r="894">
      <c r="A894" s="67" t="n"/>
      <c r="G894" s="10" t="n"/>
      <c r="K894" s="8" t="n"/>
      <c r="L894" s="8" t="n"/>
    </row>
    <row r="895">
      <c r="A895" s="67" t="n"/>
      <c r="B895" s="6" t="inlineStr">
        <is>
          <t xml:space="preserve">ฟองน้ำอันใหญ่ (ล้างรถ) </t>
        </is>
      </c>
      <c r="C895" s="8" t="inlineStr">
        <is>
          <t>12อัน</t>
        </is>
      </c>
      <c r="D895" s="9" t="n">
        <v>13.33</v>
      </c>
      <c r="G895" s="10" t="n"/>
      <c r="H895" s="9" t="n">
        <v>160</v>
      </c>
      <c r="I895" s="10" t="inlineStr">
        <is>
          <t>จิตต์อะไหล่</t>
        </is>
      </c>
      <c r="J895" s="161" t="n">
        <v>23074</v>
      </c>
      <c r="K895" s="8" t="n"/>
      <c r="L895" s="8" t="n"/>
    </row>
    <row r="896">
      <c r="A896" s="67" t="n"/>
      <c r="B896" s="6" t="inlineStr">
        <is>
          <t xml:space="preserve">ฟองน้ำอันใหญ่ (ล้างรถ) </t>
        </is>
      </c>
      <c r="C896" s="8" t="inlineStr">
        <is>
          <t>12อัน</t>
        </is>
      </c>
      <c r="D896" s="9" t="n">
        <v>13.75</v>
      </c>
      <c r="G896" s="10" t="n"/>
      <c r="H896" s="9" t="n">
        <v>165</v>
      </c>
      <c r="I896" s="10" t="inlineStr">
        <is>
          <t>จิตต์อะไหล่</t>
        </is>
      </c>
      <c r="J896" s="161" t="n">
        <v>23126</v>
      </c>
      <c r="K896" s="8" t="n"/>
      <c r="L896" s="8" t="n"/>
    </row>
    <row r="897">
      <c r="A897" s="67" t="n"/>
      <c r="B897" s="6" t="inlineStr">
        <is>
          <t xml:space="preserve">ฟองน้ำอันใหญ่ (ล้างรถ) </t>
        </is>
      </c>
      <c r="C897" s="8" t="inlineStr">
        <is>
          <t>12อัน</t>
        </is>
      </c>
      <c r="D897" s="9" t="n">
        <v>15.83</v>
      </c>
      <c r="G897" s="10" t="n"/>
      <c r="H897" s="9" t="n">
        <v>190</v>
      </c>
      <c r="I897" s="10" t="inlineStr">
        <is>
          <t>ศรีสยาม</t>
        </is>
      </c>
      <c r="J897" s="161" t="n">
        <v>23163</v>
      </c>
      <c r="K897" s="8" t="n"/>
      <c r="L897" s="8" t="n"/>
    </row>
    <row r="898">
      <c r="A898" s="67" t="n"/>
      <c r="B898" s="6" t="inlineStr">
        <is>
          <t xml:space="preserve">ฟองน้ำอันใหญ่ (ล้างรถ) </t>
        </is>
      </c>
      <c r="C898" s="8" t="inlineStr">
        <is>
          <t>24อัน</t>
        </is>
      </c>
      <c r="D898" s="9" t="n">
        <v>13.75</v>
      </c>
      <c r="G898" s="10" t="n"/>
      <c r="H898" s="9" t="n">
        <v>330</v>
      </c>
      <c r="I898" s="10" t="inlineStr">
        <is>
          <t>จิตต์อะไหล่</t>
        </is>
      </c>
      <c r="J898" s="161" t="n">
        <v>23164</v>
      </c>
      <c r="K898" s="8" t="n"/>
      <c r="L898" s="8" t="n"/>
    </row>
    <row r="899">
      <c r="A899" s="67" t="n"/>
      <c r="B899" s="6" t="inlineStr">
        <is>
          <t xml:space="preserve">ฟองน้ำอันใหญ่ (ล้างรถ) </t>
        </is>
      </c>
      <c r="C899" s="8" t="inlineStr">
        <is>
          <t>12อัน</t>
        </is>
      </c>
      <c r="D899" s="9" t="n">
        <v>13.75</v>
      </c>
      <c r="G899" s="10" t="n"/>
      <c r="H899" s="9" t="n">
        <v>165</v>
      </c>
      <c r="I899" s="10" t="inlineStr">
        <is>
          <t>จิตต์อะไหล่</t>
        </is>
      </c>
      <c r="J899" s="161" t="n">
        <v>23251</v>
      </c>
      <c r="K899" s="8" t="n"/>
      <c r="L899" s="8" t="n"/>
    </row>
    <row r="900">
      <c r="A900" s="67" t="n"/>
      <c r="B900" s="6" t="inlineStr">
        <is>
          <t xml:space="preserve">ฟองน้ำอันใหญ่ (ล้างรถ) </t>
        </is>
      </c>
      <c r="C900" s="8" t="inlineStr">
        <is>
          <t>12อัน</t>
        </is>
      </c>
      <c r="D900" s="9" t="n">
        <v>13.75</v>
      </c>
      <c r="G900" s="10" t="n"/>
      <c r="H900" s="9" t="n">
        <v>165</v>
      </c>
      <c r="I900" s="10" t="inlineStr">
        <is>
          <t>จิตต์อะไหล่</t>
        </is>
      </c>
      <c r="J900" s="161" t="n">
        <v>23299</v>
      </c>
      <c r="K900" s="8" t="n"/>
      <c r="L900" s="8" t="n"/>
    </row>
    <row r="901">
      <c r="A901" s="67" t="n"/>
      <c r="B901" s="6" t="inlineStr">
        <is>
          <t xml:space="preserve">ฟองน้ำอันใหญ่ (ล้างรถ) </t>
        </is>
      </c>
      <c r="C901" s="8" t="inlineStr">
        <is>
          <t>12อัน</t>
        </is>
      </c>
      <c r="D901" s="9" t="n">
        <v>13.75</v>
      </c>
      <c r="G901" s="10" t="n"/>
      <c r="H901" s="9" t="n">
        <v>165</v>
      </c>
      <c r="I901" s="10" t="inlineStr">
        <is>
          <t>จิตต์อะไหล่</t>
        </is>
      </c>
      <c r="J901" s="161" t="n">
        <v>23320</v>
      </c>
      <c r="K901" s="8" t="n"/>
      <c r="L901" s="8" t="n"/>
    </row>
    <row r="902">
      <c r="A902" s="67" t="n"/>
      <c r="B902" s="6" t="inlineStr">
        <is>
          <t xml:space="preserve">ฟองน้ำอันใหญ่ (ล้างรถ) </t>
        </is>
      </c>
      <c r="C902" s="8" t="inlineStr">
        <is>
          <t>12อัน</t>
        </is>
      </c>
      <c r="D902" s="9" t="n">
        <v>13.75</v>
      </c>
      <c r="G902" s="10" t="n"/>
      <c r="H902" s="9" t="n">
        <v>165</v>
      </c>
      <c r="I902" s="10" t="inlineStr">
        <is>
          <t>จิตต์อะไหล่</t>
        </is>
      </c>
      <c r="J902" s="161" t="n">
        <v>23389</v>
      </c>
      <c r="K902" s="8" t="n"/>
      <c r="L902" s="8" t="n"/>
    </row>
    <row r="903">
      <c r="A903" s="67" t="n"/>
      <c r="B903" s="6" t="inlineStr">
        <is>
          <t xml:space="preserve">ฟองน้ำอันใหญ่ (ล้างรถ) </t>
        </is>
      </c>
      <c r="C903" s="8" t="inlineStr">
        <is>
          <t>12อัน</t>
        </is>
      </c>
      <c r="D903" s="9" t="n">
        <v>13.75</v>
      </c>
      <c r="G903" s="10" t="n"/>
      <c r="H903" s="9" t="n">
        <v>165</v>
      </c>
      <c r="I903" s="10" t="inlineStr">
        <is>
          <t>จิตต์อะไหล่</t>
        </is>
      </c>
      <c r="J903" s="161" t="n">
        <v>23404</v>
      </c>
      <c r="K903" s="8" t="n"/>
      <c r="L903" s="8" t="n"/>
    </row>
    <row r="904">
      <c r="A904" s="67" t="n"/>
      <c r="B904" s="6" t="inlineStr">
        <is>
          <t xml:space="preserve">ฟองน้ำอันใหญ่ (ล้างรถ) </t>
        </is>
      </c>
      <c r="C904" s="8" t="inlineStr">
        <is>
          <t>12อัน</t>
        </is>
      </c>
      <c r="D904" s="9" t="n">
        <v>13.75</v>
      </c>
      <c r="G904" s="10" t="n"/>
      <c r="H904" s="9" t="n">
        <v>165</v>
      </c>
      <c r="I904" s="10" t="inlineStr">
        <is>
          <t>จิตต์อะไหล่</t>
        </is>
      </c>
      <c r="J904" s="161" t="n">
        <v>23431</v>
      </c>
      <c r="K904" s="8" t="n"/>
      <c r="L904" s="8" t="n"/>
    </row>
    <row r="905">
      <c r="A905" s="67" t="n"/>
      <c r="B905" s="6" t="inlineStr">
        <is>
          <t xml:space="preserve">ฟองน้ำอันใหญ่ (ล้างรถ) </t>
        </is>
      </c>
      <c r="C905" s="8" t="inlineStr">
        <is>
          <t>12อัน</t>
        </is>
      </c>
      <c r="D905" s="9" t="n">
        <v>13.75</v>
      </c>
      <c r="G905" s="10" t="n"/>
      <c r="H905" s="9" t="n">
        <v>165</v>
      </c>
      <c r="I905" s="10" t="inlineStr">
        <is>
          <t>จิตต์อะไหล่</t>
        </is>
      </c>
      <c r="J905" s="161" t="n">
        <v>23465</v>
      </c>
      <c r="K905" s="8" t="n"/>
      <c r="L905" s="8" t="n"/>
    </row>
    <row r="906">
      <c r="A906" s="67" t="n"/>
      <c r="B906" s="6" t="inlineStr">
        <is>
          <t xml:space="preserve">ฟองน้ำอันใหญ่ (ล้างรถ) </t>
        </is>
      </c>
      <c r="C906" s="8" t="inlineStr">
        <is>
          <t>12อัน</t>
        </is>
      </c>
      <c r="D906" s="9" t="n">
        <v>13.75</v>
      </c>
      <c r="G906" s="10" t="n"/>
      <c r="H906" s="9" t="n">
        <v>165</v>
      </c>
      <c r="I906" s="10" t="inlineStr">
        <is>
          <t>จิตต์อะไหล่</t>
        </is>
      </c>
      <c r="J906" s="161" t="n">
        <v>23505</v>
      </c>
      <c r="K906" s="8" t="n"/>
      <c r="L906" s="8" t="n"/>
    </row>
    <row r="907">
      <c r="A907" s="67" t="n"/>
      <c r="B907" s="6" t="inlineStr">
        <is>
          <t xml:space="preserve">ฟองน้ำอันใหญ่ (ล้างรถ) </t>
        </is>
      </c>
      <c r="C907" s="8" t="inlineStr">
        <is>
          <t>12อัน</t>
        </is>
      </c>
      <c r="D907" s="9" t="n">
        <v>13.75</v>
      </c>
      <c r="G907" s="10" t="n"/>
      <c r="H907" s="9" t="n">
        <v>165</v>
      </c>
      <c r="I907" s="10" t="inlineStr">
        <is>
          <t>จิตต์อะไหล่</t>
        </is>
      </c>
      <c r="J907" s="161" t="n">
        <v>23560</v>
      </c>
      <c r="K907" s="8" t="n"/>
      <c r="L907" s="8" t="n"/>
    </row>
    <row r="908">
      <c r="A908" s="67" t="n"/>
      <c r="B908" s="6" t="inlineStr">
        <is>
          <t xml:space="preserve">ฟองน้ำอันใหญ่ (ล้างรถ) </t>
        </is>
      </c>
      <c r="C908" s="8" t="inlineStr">
        <is>
          <t>12อัน</t>
        </is>
      </c>
      <c r="D908" s="9" t="n">
        <v>13.75</v>
      </c>
      <c r="G908" s="10" t="n"/>
      <c r="H908" s="9" t="n">
        <v>165</v>
      </c>
      <c r="I908" s="10" t="inlineStr">
        <is>
          <t>จิตต์อะไหล่</t>
        </is>
      </c>
      <c r="J908" s="161" t="n">
        <v>23581</v>
      </c>
      <c r="K908" s="8" t="n"/>
      <c r="L908" s="8" t="n"/>
    </row>
    <row r="909">
      <c r="A909" s="67" t="n"/>
      <c r="B909" s="6" t="inlineStr">
        <is>
          <t xml:space="preserve">ฟองน้ำอันใหญ่ (ล้างรถ) </t>
        </is>
      </c>
      <c r="C909" s="8" t="inlineStr">
        <is>
          <t>12อัน</t>
        </is>
      </c>
      <c r="D909" s="9" t="n">
        <v>13.75</v>
      </c>
      <c r="G909" s="10" t="n"/>
      <c r="H909" s="9" t="n">
        <v>165</v>
      </c>
      <c r="I909" s="10" t="inlineStr">
        <is>
          <t>จิตต์อะไหล่</t>
        </is>
      </c>
      <c r="J909" s="161" t="n">
        <v>23645</v>
      </c>
      <c r="K909" s="8" t="n"/>
      <c r="L909" s="8" t="n"/>
    </row>
    <row r="910">
      <c r="A910" s="67" t="n"/>
      <c r="B910" s="6" t="inlineStr">
        <is>
          <t xml:space="preserve">ฟองน้ำอันใหญ่ (ล้างรถ) </t>
        </is>
      </c>
      <c r="C910" s="8" t="inlineStr">
        <is>
          <t>12อัน</t>
        </is>
      </c>
      <c r="D910" s="9" t="n">
        <v>13.75</v>
      </c>
      <c r="G910" s="10" t="n"/>
      <c r="H910" s="9" t="n">
        <v>165</v>
      </c>
      <c r="I910" s="10" t="inlineStr">
        <is>
          <t>จิตต์อะไหล่</t>
        </is>
      </c>
      <c r="J910" s="161" t="n">
        <v>23670</v>
      </c>
      <c r="K910" s="8" t="n"/>
      <c r="L910" s="8" t="n"/>
    </row>
    <row r="911">
      <c r="A911" s="67" t="n"/>
      <c r="B911" s="6" t="inlineStr">
        <is>
          <t xml:space="preserve">ฟองน้ำอันใหญ่ (ล้างรถ) </t>
        </is>
      </c>
      <c r="C911" s="8" t="inlineStr">
        <is>
          <t>12อัน</t>
        </is>
      </c>
      <c r="D911" s="9" t="n">
        <v>13.75</v>
      </c>
      <c r="G911" s="10" t="n"/>
      <c r="H911" s="9" t="n">
        <v>165</v>
      </c>
      <c r="I911" s="10" t="inlineStr">
        <is>
          <t>จิตต์อะไหล่</t>
        </is>
      </c>
      <c r="J911" s="161" t="n">
        <v>23692</v>
      </c>
      <c r="K911" s="8" t="n"/>
      <c r="L911" s="8" t="n"/>
    </row>
    <row r="912">
      <c r="A912" s="67" t="n"/>
      <c r="B912" s="6" t="inlineStr">
        <is>
          <t xml:space="preserve">ฟองน้ำอันใหญ่ (ล้างรถ) </t>
        </is>
      </c>
      <c r="C912" s="8" t="inlineStr">
        <is>
          <t>12อัน</t>
        </is>
      </c>
      <c r="D912" s="9" t="n">
        <v>13.75</v>
      </c>
      <c r="G912" s="10" t="n"/>
      <c r="H912" s="9" t="n">
        <v>165</v>
      </c>
      <c r="I912" s="10" t="inlineStr">
        <is>
          <t>จิตต์อะไหล่</t>
        </is>
      </c>
      <c r="J912" s="161" t="n">
        <v>23757</v>
      </c>
      <c r="K912" s="8" t="n"/>
      <c r="L912" s="8" t="n"/>
    </row>
    <row r="913">
      <c r="A913" s="67" t="n"/>
      <c r="B913" s="6" t="inlineStr">
        <is>
          <t xml:space="preserve">ฟองน้ำอันใหญ่ (ล้างรถ) </t>
        </is>
      </c>
      <c r="C913" s="8" t="inlineStr">
        <is>
          <t>12อัน</t>
        </is>
      </c>
      <c r="D913" s="9" t="n">
        <v>13.75</v>
      </c>
      <c r="G913" s="10" t="n"/>
      <c r="H913" s="9" t="n">
        <v>165</v>
      </c>
      <c r="I913" s="10" t="inlineStr">
        <is>
          <t>จิตต์อะไหล่</t>
        </is>
      </c>
      <c r="J913" s="161" t="n">
        <v>23777</v>
      </c>
      <c r="K913" s="8" t="n"/>
      <c r="L913" s="8" t="n"/>
    </row>
    <row r="914">
      <c r="A914" s="67" t="n"/>
      <c r="B914" s="6" t="inlineStr">
        <is>
          <t xml:space="preserve">ฟองน้ำอันใหญ่ (ล้างรถ) </t>
        </is>
      </c>
      <c r="C914" s="8" t="inlineStr">
        <is>
          <t>12อัน</t>
        </is>
      </c>
      <c r="D914" s="9" t="n">
        <v>13.75</v>
      </c>
      <c r="G914" s="10" t="n"/>
      <c r="H914" s="9" t="n">
        <v>165</v>
      </c>
      <c r="I914" s="10" t="inlineStr">
        <is>
          <t>จิตต์อะไหล่</t>
        </is>
      </c>
      <c r="J914" s="161" t="n">
        <v>23824</v>
      </c>
      <c r="K914" s="8" t="n"/>
      <c r="L914" s="8" t="n"/>
    </row>
    <row r="915">
      <c r="A915" s="67" t="n"/>
      <c r="B915" s="6" t="inlineStr">
        <is>
          <t>ฟองน้ำอันใหญ่ (ล้างรถ) -- ยี่ห้อปลาโลมา</t>
        </is>
      </c>
      <c r="C915" s="8" t="inlineStr">
        <is>
          <t>12อัน</t>
        </is>
      </c>
      <c r="D915" s="9" t="n">
        <v>15.833</v>
      </c>
      <c r="G915" s="10" t="n"/>
      <c r="H915" s="9" t="n">
        <v>190</v>
      </c>
      <c r="I915" s="10" t="inlineStr">
        <is>
          <t>ศรีสยาม</t>
        </is>
      </c>
      <c r="J915" s="161" t="n">
        <v>23874</v>
      </c>
      <c r="K915" s="8" t="n"/>
      <c r="L915" s="8" t="n"/>
    </row>
    <row r="916">
      <c r="A916" s="67" t="n"/>
      <c r="B916" s="6" t="inlineStr">
        <is>
          <t>ฟองน้ำอันใหญ่ (ล้างรถ) -- ยี่ห้อปลาโลมา</t>
        </is>
      </c>
      <c r="C916" s="8" t="inlineStr">
        <is>
          <t>12อัน</t>
        </is>
      </c>
      <c r="D916" s="9" t="n">
        <v>14.58</v>
      </c>
      <c r="G916" s="10" t="n"/>
      <c r="H916" s="9" t="n">
        <v>175</v>
      </c>
      <c r="I916" s="10" t="inlineStr">
        <is>
          <t>จิตต์อะไหล่</t>
        </is>
      </c>
      <c r="J916" s="161" t="n">
        <v>23973</v>
      </c>
      <c r="K916" s="8" t="n"/>
      <c r="L916" s="8" t="n"/>
    </row>
    <row r="917">
      <c r="A917" s="67" t="n"/>
      <c r="B917" s="6" t="inlineStr">
        <is>
          <t>ฟองน้ำอันใหญ่ (ล้างรถ) -- ยี่ห้อปลาโลมา</t>
        </is>
      </c>
      <c r="C917" s="8" t="inlineStr">
        <is>
          <t>12อัน</t>
        </is>
      </c>
      <c r="D917" s="9" t="n">
        <v>14.58</v>
      </c>
      <c r="G917" s="10" t="n"/>
      <c r="H917" s="9" t="n">
        <v>175</v>
      </c>
      <c r="I917" s="10" t="inlineStr">
        <is>
          <t>จิตต์อะไหล่</t>
        </is>
      </c>
      <c r="J917" s="161" t="n">
        <v>24033</v>
      </c>
      <c r="K917" s="8" t="n"/>
      <c r="L917" s="8" t="n"/>
    </row>
    <row r="918">
      <c r="A918" s="67" t="n"/>
      <c r="B918" s="6" t="inlineStr">
        <is>
          <t>ฟองน้ำอันใหญ่ (ล้างรถ) -- ยี่ห้อปลาโลมา</t>
        </is>
      </c>
      <c r="C918" s="8" t="inlineStr">
        <is>
          <t>12อัน</t>
        </is>
      </c>
      <c r="D918" s="9" t="n">
        <v>15</v>
      </c>
      <c r="G918" s="10" t="n"/>
      <c r="H918" s="9" t="n">
        <v>180</v>
      </c>
      <c r="I918" s="10" t="inlineStr">
        <is>
          <t>จิตต์อะไหล่</t>
        </is>
      </c>
      <c r="J918" s="161" t="n">
        <v>24068</v>
      </c>
      <c r="K918" s="8" t="n"/>
      <c r="L918" s="8" t="n"/>
    </row>
    <row r="919">
      <c r="A919" s="67" t="n"/>
      <c r="B919" s="6" t="inlineStr">
        <is>
          <t>ฟองน้ำอันใหญ่ (ล้างรถ) -- ยี่ห้อปลาโลมา</t>
        </is>
      </c>
      <c r="C919" s="8" t="inlineStr">
        <is>
          <t>12อัน</t>
        </is>
      </c>
      <c r="D919" s="9" t="n">
        <v>15</v>
      </c>
      <c r="G919" s="10" t="n"/>
      <c r="H919" s="9" t="n">
        <v>180</v>
      </c>
      <c r="I919" s="10" t="inlineStr">
        <is>
          <t>จิตต์อะไหล่</t>
        </is>
      </c>
      <c r="J919" s="161" t="n">
        <v>24092</v>
      </c>
      <c r="K919" s="8" t="n"/>
      <c r="L919" s="8" t="n"/>
    </row>
    <row r="920">
      <c r="A920" s="67" t="n"/>
      <c r="B920" s="6" t="inlineStr">
        <is>
          <t>ฟองน้ำอันใหญ่ (ล้างรถ) -- ยี่ห้อปลาโลมา</t>
        </is>
      </c>
      <c r="C920" s="8" t="inlineStr">
        <is>
          <t>12อัน</t>
        </is>
      </c>
      <c r="D920" s="9" t="n">
        <v>15</v>
      </c>
      <c r="G920" s="10" t="n"/>
      <c r="H920" s="9" t="n">
        <v>180</v>
      </c>
      <c r="I920" s="10" t="inlineStr">
        <is>
          <t>จิตต์อะไหล่</t>
        </is>
      </c>
      <c r="J920" s="161" t="n">
        <v>24124</v>
      </c>
      <c r="K920" s="8" t="n"/>
      <c r="L920" s="8" t="n"/>
    </row>
    <row r="921">
      <c r="A921" s="67" t="n"/>
      <c r="B921" s="6" t="inlineStr">
        <is>
          <t>ฟองน้ำอันใหญ่ (ล้างรถ) -- ยี่ห้อปลาโลมา</t>
        </is>
      </c>
      <c r="C921" s="8" t="inlineStr">
        <is>
          <t>12อัน</t>
        </is>
      </c>
      <c r="D921" s="9" t="n">
        <v>15</v>
      </c>
      <c r="G921" s="10" t="n"/>
      <c r="H921" s="9" t="n">
        <v>180</v>
      </c>
      <c r="I921" s="10" t="inlineStr">
        <is>
          <t>จิตต์อะไหล่</t>
        </is>
      </c>
      <c r="J921" s="161" t="n">
        <v>24144</v>
      </c>
      <c r="K921" s="8" t="n"/>
      <c r="L921" s="8" t="n"/>
    </row>
    <row r="922">
      <c r="A922" s="67" t="n"/>
      <c r="B922" s="6" t="inlineStr">
        <is>
          <t>ฟองน้ำอันใหญ่ (ล้างรถ) -- ยี่ห้อปลาโลมา</t>
        </is>
      </c>
      <c r="C922" s="8" t="inlineStr">
        <is>
          <t>12อัน</t>
        </is>
      </c>
      <c r="D922" s="9" t="n">
        <v>15</v>
      </c>
      <c r="G922" s="10" t="n"/>
      <c r="H922" s="9" t="n">
        <v>180</v>
      </c>
      <c r="I922" s="10" t="inlineStr">
        <is>
          <t>จิตต์อะไหล่</t>
        </is>
      </c>
      <c r="J922" s="161" t="n">
        <v>24268</v>
      </c>
      <c r="K922" s="8" t="n"/>
      <c r="L922" s="8" t="n"/>
    </row>
    <row r="923">
      <c r="A923" s="67" t="n"/>
      <c r="B923" s="6" t="inlineStr">
        <is>
          <t>ฟองน้ำอันใหญ่ (ล้างรถ) -- ยี่ห้อปลาโลมา</t>
        </is>
      </c>
      <c r="C923" s="8" t="inlineStr">
        <is>
          <t>12อัน</t>
        </is>
      </c>
      <c r="D923" s="9" t="n">
        <v>14.58</v>
      </c>
      <c r="G923" s="10" t="n"/>
      <c r="H923" s="9" t="n">
        <v>175</v>
      </c>
      <c r="I923" s="10" t="inlineStr">
        <is>
          <t>จิตต์อะไหล่</t>
        </is>
      </c>
      <c r="J923" s="161" t="n">
        <v>24436</v>
      </c>
      <c r="K923" s="8" t="n"/>
      <c r="L923" s="8" t="n"/>
    </row>
    <row r="924">
      <c r="A924" s="67" t="n"/>
      <c r="G924" s="10" t="n"/>
      <c r="K924" s="8" t="n"/>
      <c r="L924" s="8" t="n"/>
    </row>
    <row r="925">
      <c r="A925" s="67" t="n"/>
      <c r="B925" s="6" t="inlineStr">
        <is>
          <t>ฟองน้ำสีฟ้าล้างรถ</t>
        </is>
      </c>
      <c r="C925" s="8" t="inlineStr">
        <is>
          <t>20ก้อน</t>
        </is>
      </c>
      <c r="D925" s="9" t="n">
        <v>35</v>
      </c>
      <c r="F925" s="17" t="n">
        <v>0.2</v>
      </c>
      <c r="G925" s="10" t="n"/>
      <c r="H925" s="9" t="n">
        <v>560</v>
      </c>
      <c r="I925" s="10" t="inlineStr">
        <is>
          <t>ออโต้เทรด</t>
        </is>
      </c>
      <c r="J925" s="161" t="n">
        <v>24244</v>
      </c>
      <c r="K925" s="8" t="inlineStr">
        <is>
          <t>IV1432054</t>
        </is>
      </c>
      <c r="L925" s="8" t="inlineStr">
        <is>
          <t>ราคาที่ลง ยังไม่รวมภาษี</t>
        </is>
      </c>
    </row>
    <row r="926">
      <c r="A926" s="67" t="n"/>
      <c r="B926" s="6" t="inlineStr">
        <is>
          <t>ฟองน้ำสีฟ้าล้างรถ</t>
        </is>
      </c>
      <c r="C926" s="8" t="n">
        <v>50</v>
      </c>
      <c r="D926" s="9" t="n">
        <v>24.8</v>
      </c>
      <c r="F926" s="17" t="n">
        <v>0.1</v>
      </c>
      <c r="G926" s="10" t="n"/>
      <c r="H926" s="9">
        <f>SUM(D926*C926*0.9)</f>
        <v/>
      </c>
      <c r="I926" s="10" t="inlineStr">
        <is>
          <t>ออโต้เทรด</t>
        </is>
      </c>
      <c r="J926" s="161" t="n">
        <v>24525</v>
      </c>
      <c r="K926" s="8" t="inlineStr">
        <is>
          <t>IV1444960</t>
        </is>
      </c>
      <c r="L926" s="8" t="inlineStr">
        <is>
          <t>ราคาที่ลง ยังไม่รวมภาษี</t>
        </is>
      </c>
    </row>
    <row r="927">
      <c r="A927" s="67" t="n"/>
      <c r="G927" s="10" t="n"/>
      <c r="K927" s="8" t="n"/>
      <c r="L927" s="8" t="n"/>
    </row>
    <row r="928">
      <c r="A928" s="66" t="inlineStr">
        <is>
          <t>พลาสติกโป้วสี</t>
        </is>
      </c>
      <c r="B928" s="6" t="inlineStr">
        <is>
          <t>พลาสติกโป้วสี</t>
        </is>
      </c>
      <c r="C928" s="8" t="inlineStr">
        <is>
          <t>10แผ่น</t>
        </is>
      </c>
      <c r="D928" s="9" t="n">
        <v>7</v>
      </c>
      <c r="G928" s="10" t="n"/>
      <c r="H928" s="9" t="n">
        <v>70</v>
      </c>
      <c r="I928" s="10" t="inlineStr">
        <is>
          <t>ทาเลนท์</t>
        </is>
      </c>
      <c r="J928" s="161" t="n">
        <v>22991</v>
      </c>
      <c r="K928" s="8" t="n"/>
      <c r="L928" s="8" t="inlineStr">
        <is>
          <t>ราคาที่ลง ยังไม่รวมภาษี</t>
        </is>
      </c>
    </row>
    <row r="929">
      <c r="A929" s="67" t="n"/>
      <c r="B929" s="6" t="inlineStr">
        <is>
          <t>พลาสติกโป้วสี</t>
        </is>
      </c>
      <c r="C929" s="8" t="inlineStr">
        <is>
          <t>10แผ่น</t>
        </is>
      </c>
      <c r="D929" s="9" t="n">
        <v>7</v>
      </c>
      <c r="G929" s="10" t="n"/>
      <c r="H929" s="9" t="n">
        <v>70</v>
      </c>
      <c r="I929" s="10" t="inlineStr">
        <is>
          <t>ทาเลนท์</t>
        </is>
      </c>
      <c r="J929" s="161" t="n">
        <v>23158</v>
      </c>
      <c r="K929" s="8" t="n"/>
      <c r="L929" s="8" t="inlineStr">
        <is>
          <t>ราคาที่ลง ยังไม่รวมภาษี</t>
        </is>
      </c>
    </row>
    <row r="930">
      <c r="A930" s="67" t="n"/>
      <c r="B930" s="6" t="inlineStr">
        <is>
          <t>พลาสติกโป้วสี</t>
        </is>
      </c>
      <c r="C930" s="8" t="inlineStr">
        <is>
          <t>10แผ่น</t>
        </is>
      </c>
      <c r="D930" s="9" t="n">
        <v>7</v>
      </c>
      <c r="G930" s="10" t="n"/>
      <c r="H930" s="9" t="n">
        <v>70</v>
      </c>
      <c r="I930" s="10" t="inlineStr">
        <is>
          <t>ทาเลนท์</t>
        </is>
      </c>
      <c r="J930" s="161" t="n">
        <v>23392</v>
      </c>
      <c r="K930" s="8" t="n"/>
      <c r="L930" s="8" t="inlineStr">
        <is>
          <t>ราคาที่ลง ยังไม่รวมภาษี</t>
        </is>
      </c>
    </row>
    <row r="931">
      <c r="A931" s="67" t="n"/>
      <c r="G931" s="10" t="n"/>
      <c r="K931" s="8" t="n"/>
      <c r="L931" s="8" t="n"/>
    </row>
    <row r="932">
      <c r="A932" s="66" t="inlineStr">
        <is>
          <t>เกียงโป้วสี</t>
        </is>
      </c>
      <c r="B932" s="6" t="inlineStr">
        <is>
          <t>เกียงโป้วสี  4 นิ้ว</t>
        </is>
      </c>
      <c r="C932" s="8" t="inlineStr">
        <is>
          <t>3อัน</t>
        </is>
      </c>
      <c r="D932" s="9" t="n">
        <v>45</v>
      </c>
      <c r="G932" s="10" t="n"/>
      <c r="H932" s="9" t="n">
        <v>135</v>
      </c>
      <c r="I932" s="10" t="inlineStr">
        <is>
          <t>ทาเลนท์</t>
        </is>
      </c>
      <c r="J932" s="161" t="n">
        <v>22977</v>
      </c>
      <c r="K932" s="8" t="n"/>
      <c r="L932" s="8" t="inlineStr">
        <is>
          <t>ราคาที่ลง ยังไม่รวมภาษี</t>
        </is>
      </c>
    </row>
    <row r="933">
      <c r="A933" s="67" t="n"/>
      <c r="B933" s="6" t="inlineStr">
        <is>
          <t>เกียงโป้วสี  4 นิ้ว</t>
        </is>
      </c>
      <c r="C933" s="8" t="inlineStr">
        <is>
          <t>5อัน</t>
        </is>
      </c>
      <c r="D933" s="9" t="n">
        <v>45</v>
      </c>
      <c r="G933" s="10" t="n"/>
      <c r="H933" s="9" t="n">
        <v>225</v>
      </c>
      <c r="I933" s="10" t="inlineStr">
        <is>
          <t>ทาเลนท์</t>
        </is>
      </c>
      <c r="J933" s="161" t="n">
        <v>23158</v>
      </c>
      <c r="K933" s="8" t="n"/>
      <c r="L933" s="8" t="inlineStr">
        <is>
          <t>ราคาที่ลง ยังไม่รวมภาษี</t>
        </is>
      </c>
    </row>
    <row r="934">
      <c r="A934" s="67" t="n"/>
      <c r="G934" s="10" t="n"/>
      <c r="K934" s="8" t="n"/>
      <c r="L934" s="8" t="n"/>
    </row>
    <row r="935">
      <c r="A935" s="67" t="n"/>
      <c r="B935" s="6" t="inlineStr">
        <is>
          <t>เกียงโป้วสี  6 นิ้ว</t>
        </is>
      </c>
      <c r="C935" s="8" t="inlineStr">
        <is>
          <t>3อัน</t>
        </is>
      </c>
      <c r="D935" s="9" t="n">
        <v>80</v>
      </c>
      <c r="G935" s="10" t="n"/>
      <c r="H935" s="9" t="n">
        <v>240</v>
      </c>
      <c r="I935" s="10" t="inlineStr">
        <is>
          <t>ทาเลนท์</t>
        </is>
      </c>
      <c r="J935" s="161" t="n">
        <v>22977</v>
      </c>
      <c r="K935" s="8" t="n"/>
      <c r="L935" s="8" t="inlineStr">
        <is>
          <t>ราคาที่ลง ยังไม่รวมภาษี</t>
        </is>
      </c>
    </row>
    <row r="936">
      <c r="A936" s="67" t="n"/>
      <c r="B936" s="6" t="inlineStr">
        <is>
          <t>เกียงโป้วสี  6 นิ้ว</t>
        </is>
      </c>
      <c r="C936" s="8" t="inlineStr">
        <is>
          <t>4อัน</t>
        </is>
      </c>
      <c r="D936" s="9" t="n">
        <v>80</v>
      </c>
      <c r="G936" s="10" t="n"/>
      <c r="H936" s="9" t="n">
        <v>320</v>
      </c>
      <c r="I936" s="10" t="inlineStr">
        <is>
          <t>ทาเลนท์</t>
        </is>
      </c>
      <c r="J936" s="161" t="n">
        <v>23158</v>
      </c>
      <c r="K936" s="8" t="n"/>
      <c r="L936" s="8" t="inlineStr">
        <is>
          <t>ราคาที่ลง ยังไม่รวมภาษี</t>
        </is>
      </c>
    </row>
    <row r="937">
      <c r="A937" s="67" t="n"/>
      <c r="G937" s="10" t="n"/>
      <c r="K937" s="8" t="n"/>
      <c r="L937" s="8" t="n"/>
    </row>
    <row r="938">
      <c r="A938" s="67" t="n"/>
      <c r="G938" s="10" t="n"/>
      <c r="K938" s="8" t="n"/>
      <c r="L938" s="8" t="n"/>
    </row>
    <row r="939">
      <c r="A939" s="66" t="inlineStr">
        <is>
          <t>ผ้าสำลี</t>
        </is>
      </c>
      <c r="B939" s="6" t="inlineStr">
        <is>
          <t>ผ้าสำลี</t>
        </is>
      </c>
      <c r="C939" s="8" t="inlineStr">
        <is>
          <t>40หลา</t>
        </is>
      </c>
      <c r="D939" s="9" t="n">
        <v>30</v>
      </c>
      <c r="G939" s="10" t="n"/>
      <c r="H939" s="9" t="n">
        <v>1200</v>
      </c>
      <c r="I939" s="10" t="inlineStr">
        <is>
          <t>ไทยนคร</t>
        </is>
      </c>
      <c r="J939" s="161" t="n">
        <v>22415</v>
      </c>
      <c r="K939" s="8" t="n"/>
      <c r="L939" s="8" t="n"/>
    </row>
    <row r="940">
      <c r="A940" s="67" t="n"/>
      <c r="B940" s="6" t="inlineStr">
        <is>
          <t>ผ้าสำลี</t>
        </is>
      </c>
      <c r="C940" s="8" t="inlineStr">
        <is>
          <t>40หลา</t>
        </is>
      </c>
      <c r="D940" s="9" t="n">
        <v>30</v>
      </c>
      <c r="G940" s="10" t="n"/>
      <c r="H940" s="9" t="n">
        <v>1200</v>
      </c>
      <c r="I940" s="10" t="inlineStr">
        <is>
          <t>ไทยนคร</t>
        </is>
      </c>
      <c r="J940" s="161" t="n">
        <v>22782</v>
      </c>
      <c r="K940" s="8" t="n"/>
      <c r="L940" s="8" t="n"/>
    </row>
    <row r="941">
      <c r="A941" s="67" t="n"/>
      <c r="B941" s="6" t="inlineStr">
        <is>
          <t>ผ้าสำลี</t>
        </is>
      </c>
      <c r="C941" s="8" t="inlineStr">
        <is>
          <t>40หลา</t>
        </is>
      </c>
      <c r="D941" s="9" t="n">
        <v>30</v>
      </c>
      <c r="G941" s="10" t="n"/>
      <c r="H941" s="9" t="n">
        <v>1200</v>
      </c>
      <c r="I941" s="10" t="inlineStr">
        <is>
          <t>ไทยนคร</t>
        </is>
      </c>
      <c r="J941" s="161" t="n">
        <v>23179</v>
      </c>
      <c r="K941" s="8" t="n"/>
      <c r="L941" s="8" t="n"/>
    </row>
    <row r="942">
      <c r="A942" s="67" t="n"/>
      <c r="B942" s="6" t="inlineStr">
        <is>
          <t>ผ้าสำลี</t>
        </is>
      </c>
      <c r="C942" s="8" t="inlineStr">
        <is>
          <t>40หลา</t>
        </is>
      </c>
      <c r="D942" s="9" t="n">
        <v>30</v>
      </c>
      <c r="G942" s="10" t="n"/>
      <c r="H942" s="9" t="n">
        <v>1200</v>
      </c>
      <c r="I942" s="10" t="inlineStr">
        <is>
          <t>ไทยนคร</t>
        </is>
      </c>
      <c r="J942" s="161" t="n">
        <v>23262</v>
      </c>
      <c r="K942" s="8" t="n"/>
      <c r="L942" s="8" t="n"/>
    </row>
    <row r="943">
      <c r="A943" s="67" t="n"/>
      <c r="B943" s="6" t="inlineStr">
        <is>
          <t>ผ้าสำลี</t>
        </is>
      </c>
      <c r="C943" s="8" t="inlineStr">
        <is>
          <t>40หลา</t>
        </is>
      </c>
      <c r="D943" s="9" t="n">
        <v>30</v>
      </c>
      <c r="G943" s="10" t="n"/>
      <c r="H943" s="9" t="n">
        <v>1200</v>
      </c>
      <c r="I943" s="10" t="inlineStr">
        <is>
          <t>ไทยนคร</t>
        </is>
      </c>
      <c r="J943" s="161" t="n">
        <v>23438</v>
      </c>
      <c r="K943" s="8" t="n"/>
      <c r="L943" s="8" t="n"/>
    </row>
    <row r="944">
      <c r="A944" s="67" t="n"/>
      <c r="B944" s="6" t="inlineStr">
        <is>
          <t>ผ้าสำลี</t>
        </is>
      </c>
      <c r="C944" s="8" t="inlineStr">
        <is>
          <t>1พับ</t>
        </is>
      </c>
      <c r="G944" s="10" t="n"/>
      <c r="H944" s="9" t="n">
        <v>1000</v>
      </c>
      <c r="I944" s="10" t="inlineStr">
        <is>
          <t>ทาเลนท์</t>
        </is>
      </c>
      <c r="J944" s="161" t="n">
        <v>23691</v>
      </c>
      <c r="K944" s="8" t="inlineStr">
        <is>
          <t>IV6415146</t>
        </is>
      </c>
      <c r="L944" s="8" t="inlineStr">
        <is>
          <t>ราคายังไม่รวม VAT</t>
        </is>
      </c>
    </row>
    <row r="945">
      <c r="A945" s="67" t="n"/>
      <c r="B945" s="6" t="inlineStr">
        <is>
          <t>ผ้าสำลี</t>
        </is>
      </c>
      <c r="C945" s="8" t="inlineStr">
        <is>
          <t>1พับ</t>
        </is>
      </c>
      <c r="G945" s="10" t="n"/>
      <c r="H945" s="9" t="n">
        <v>1000</v>
      </c>
      <c r="I945" s="10" t="inlineStr">
        <is>
          <t>ทาเลนท์</t>
        </is>
      </c>
      <c r="J945" s="161" t="n">
        <v>24149</v>
      </c>
      <c r="K945" s="8" t="inlineStr">
        <is>
          <t>IB6006761</t>
        </is>
      </c>
      <c r="L945" s="8" t="inlineStr">
        <is>
          <t>ราคายังไม่รวม VAT</t>
        </is>
      </c>
    </row>
    <row r="946" ht="21" customHeight="1">
      <c r="A946" s="52" t="inlineStr">
        <is>
          <t>แว่นตานิรภัย</t>
        </is>
      </c>
      <c r="B946" s="6" t="inlineStr">
        <is>
          <t>แว่นตานิรภัย แบบใส</t>
        </is>
      </c>
      <c r="C946" s="8" t="n">
        <v>1</v>
      </c>
      <c r="D946" s="9" t="n">
        <v>28</v>
      </c>
      <c r="H946" s="9">
        <f>SUM(D946*C946)</f>
        <v/>
      </c>
      <c r="I946" s="10" t="inlineStr">
        <is>
          <t>ไทวัสดุ</t>
        </is>
      </c>
      <c r="J946" s="161" t="n">
        <v>24398</v>
      </c>
    </row>
    <row r="947" ht="21" customHeight="1">
      <c r="B947" s="6" t="inlineStr">
        <is>
          <t>แว่นตานิรภัย แบบใส</t>
        </is>
      </c>
      <c r="C947" s="8" t="n">
        <v>1</v>
      </c>
      <c r="D947" s="9" t="n">
        <v>42</v>
      </c>
      <c r="H947" s="9" t="n">
        <v>42</v>
      </c>
      <c r="I947" s="10" t="inlineStr">
        <is>
          <t>Homepro</t>
        </is>
      </c>
      <c r="J947" s="161" t="n">
        <v>24619</v>
      </c>
    </row>
    <row r="949" ht="21" customHeight="1">
      <c r="A949" s="52" t="inlineStr">
        <is>
          <t>เกรียงโป๊วสี</t>
        </is>
      </c>
      <c r="B949" s="6" t="inlineStr">
        <is>
          <t>เกรียงโป๊วสี 4นิ้ว</t>
        </is>
      </c>
      <c r="C949" s="8" t="n">
        <v>3</v>
      </c>
      <c r="D949" s="9" t="n">
        <v>58</v>
      </c>
      <c r="H949" s="9">
        <f>SUM(D949*C949)</f>
        <v/>
      </c>
      <c r="I949" s="10" t="inlineStr">
        <is>
          <t>ทาเลนท์</t>
        </is>
      </c>
      <c r="J949" s="161" t="n">
        <v>24392</v>
      </c>
      <c r="K949" s="161" t="inlineStr">
        <is>
          <t>IV2221901</t>
        </is>
      </c>
    </row>
    <row r="951" ht="21" customHeight="1">
      <c r="B951" s="6" t="inlineStr">
        <is>
          <t>เกรียงโป๊วสี 6นิ้ว</t>
        </is>
      </c>
      <c r="C951" s="8" t="n">
        <v>3</v>
      </c>
      <c r="D951" s="9" t="n">
        <v>80</v>
      </c>
      <c r="H951" s="9">
        <f>SUM(D951*C951)</f>
        <v/>
      </c>
      <c r="I951" s="10" t="inlineStr">
        <is>
          <t>ทาเลนท์</t>
        </is>
      </c>
      <c r="J951" s="161" t="n">
        <v>24392</v>
      </c>
      <c r="K951" s="161" t="inlineStr">
        <is>
          <t>IV2221901</t>
        </is>
      </c>
    </row>
    <row r="953" ht="21" customHeight="1">
      <c r="A953" s="52" t="inlineStr">
        <is>
          <t>ใบคัตเตอร์</t>
        </is>
      </c>
      <c r="B953" s="6" t="inlineStr">
        <is>
          <t>คัตเตอร์ใบใหญ่  (1กล่องมี60ใบ)</t>
        </is>
      </c>
      <c r="C953" s="8" t="inlineStr">
        <is>
          <t>2กล่อง</t>
        </is>
      </c>
      <c r="D953" s="9" t="n">
        <v>75</v>
      </c>
      <c r="H953" s="9" t="n">
        <v>150</v>
      </c>
      <c r="I953" s="10" t="inlineStr">
        <is>
          <t xml:space="preserve">Shopee </t>
        </is>
      </c>
      <c r="J953" s="161" t="inlineStr">
        <is>
          <t>29/2/67</t>
        </is>
      </c>
    </row>
    <row r="954" ht="21" customHeight="1">
      <c r="B954" s="6" t="inlineStr">
        <is>
          <t>คัตเตอร์ใบใหญ่  (1กล่องมี60ใบ)</t>
        </is>
      </c>
      <c r="C954" s="8" t="n">
        <v>3</v>
      </c>
      <c r="D954" s="9" t="n">
        <v>73.67</v>
      </c>
      <c r="H954" s="9">
        <f>SUM(D954*C954)</f>
        <v/>
      </c>
      <c r="I954" s="10" t="inlineStr">
        <is>
          <t xml:space="preserve">Shopee </t>
        </is>
      </c>
      <c r="J954" s="161" t="n">
        <v>24843</v>
      </c>
      <c r="L954" s="18" t="inlineStr">
        <is>
          <t>ราคารวมค่าขนส่ง</t>
        </is>
      </c>
    </row>
    <row r="956" ht="21" customHeight="1">
      <c r="B956" s="6" t="inlineStr">
        <is>
          <t>คัตเตอร์ใบเล็ก  (1กล่องมี60ใบ)</t>
        </is>
      </c>
      <c r="C956" s="8" t="n">
        <v>2</v>
      </c>
      <c r="D956" s="9" t="n">
        <v>45</v>
      </c>
      <c r="H956" s="9">
        <f>SUM(D956*C956)</f>
        <v/>
      </c>
      <c r="I956" s="10" t="inlineStr">
        <is>
          <t xml:space="preserve">Shopee </t>
        </is>
      </c>
      <c r="J956" s="161" t="n">
        <v>24988</v>
      </c>
      <c r="L956" s="18" t="inlineStr">
        <is>
          <t>ราคารวมค่าขนส่ง</t>
        </is>
      </c>
    </row>
    <row r="958" ht="21" customHeight="1">
      <c r="A958" s="52" t="inlineStr">
        <is>
          <t>สายลมพีวีซี</t>
        </is>
      </c>
      <c r="B958" s="6" t="inlineStr">
        <is>
          <t>สายลมพีวีซีแบบผิวเรียบ Takara 5/6 นิ้ว *14มม. *20มม. สีดำ 20เมตร</t>
        </is>
      </c>
      <c r="C958" s="8" t="inlineStr">
        <is>
          <t>1ม้วน</t>
        </is>
      </c>
      <c r="D958" s="9" t="n">
        <v>758</v>
      </c>
      <c r="H958" s="9" t="n">
        <v>758</v>
      </c>
      <c r="I958" s="10" t="inlineStr">
        <is>
          <t>ไทวัสดุ</t>
        </is>
      </c>
      <c r="J958" s="161" t="n">
        <v>24346</v>
      </c>
    </row>
    <row r="959" ht="21" customHeight="1">
      <c r="B959" s="6" t="inlineStr">
        <is>
          <t>สายลมพีวีซีแบบผิวเรียบ Takara 8*14 มม.</t>
        </is>
      </c>
      <c r="C959" s="8" t="inlineStr">
        <is>
          <t>1ม้วน</t>
        </is>
      </c>
      <c r="D959" s="9" t="n">
        <v>758</v>
      </c>
      <c r="H959" s="9" t="n">
        <v>758</v>
      </c>
      <c r="I959" s="10" t="inlineStr">
        <is>
          <t>ไทวัสดุ</t>
        </is>
      </c>
      <c r="J959" s="161" t="n">
        <v>25135</v>
      </c>
    </row>
    <row r="961" ht="21" customHeight="1">
      <c r="A961" s="52" t="inlineStr">
        <is>
          <t>สายโพลี</t>
        </is>
      </c>
      <c r="B961" s="6" t="inlineStr">
        <is>
          <t xml:space="preserve">ท่อยางเครื่องเชื่อม CO2 / สายโพลีแบบใส (6.5*10) </t>
        </is>
      </c>
      <c r="C961" s="8" t="n">
        <v>2</v>
      </c>
      <c r="D961" s="9" t="n">
        <v>30</v>
      </c>
      <c r="H961" s="9">
        <f>SUM(D961*C961)</f>
        <v/>
      </c>
      <c r="I961" s="10" t="inlineStr">
        <is>
          <t>ศรีสยาม</t>
        </is>
      </c>
      <c r="J961" s="161" t="n">
        <v>24668</v>
      </c>
      <c r="L961" s="18" t="inlineStr">
        <is>
          <t>ราคาต่อเมตร</t>
        </is>
      </c>
    </row>
    <row r="963" ht="21" customHeight="1">
      <c r="A963" s="52" t="inlineStr">
        <is>
          <t>สายแก๊ส</t>
        </is>
      </c>
      <c r="B963" s="6" t="inlineStr">
        <is>
          <t>สายแก๊สเส้นคู่ (สายลมคู่ Kovet 2ชั้น) -- หน่วยเป็นเมตร</t>
        </is>
      </c>
      <c r="C963" s="8" t="n">
        <v>8</v>
      </c>
      <c r="D963" s="9" t="n">
        <v>102.8</v>
      </c>
      <c r="E963" s="9">
        <f>SUM(C963*D963)</f>
        <v/>
      </c>
      <c r="H963" s="9">
        <f>SUM(E963*N963/M963)</f>
        <v/>
      </c>
      <c r="I963" s="10" t="inlineStr">
        <is>
          <t>ศรีสยาม</t>
        </is>
      </c>
      <c r="J963" s="161" t="n">
        <v>25094</v>
      </c>
      <c r="M963" s="6" t="n">
        <v>100</v>
      </c>
      <c r="N963" s="6" t="n">
        <v>107</v>
      </c>
    </row>
    <row r="965" ht="21" customHeight="1">
      <c r="A965" s="52" t="inlineStr">
        <is>
          <t>หินเจียแกน(เจียรู)</t>
        </is>
      </c>
      <c r="B965" s="6" t="inlineStr">
        <is>
          <t>หินเจียแกน W-197 SIAS</t>
        </is>
      </c>
      <c r="C965" s="8" t="n">
        <v>1</v>
      </c>
      <c r="D965" s="9" t="n">
        <v>30</v>
      </c>
      <c r="H965" s="9">
        <f>SUM(D965*C965)</f>
        <v/>
      </c>
      <c r="I965" s="10" t="inlineStr">
        <is>
          <t>ศรีสยาม</t>
        </is>
      </c>
      <c r="J965" s="161" t="n">
        <v>24773</v>
      </c>
    </row>
    <row r="967" ht="21" customHeight="1">
      <c r="B967" s="6" t="inlineStr">
        <is>
          <t>หินเจียแกน W-186 SIAS</t>
        </is>
      </c>
      <c r="C967" s="8" t="n">
        <v>1</v>
      </c>
      <c r="D967" s="9" t="n">
        <v>25</v>
      </c>
      <c r="H967" s="9">
        <f>SUM(D967*C967)</f>
        <v/>
      </c>
      <c r="I967" s="10" t="inlineStr">
        <is>
          <t>ศรีสยาม</t>
        </is>
      </c>
      <c r="J967" s="161" t="n">
        <v>24773</v>
      </c>
    </row>
    <row r="968" ht="21" customHeight="1">
      <c r="B968" s="6" t="inlineStr">
        <is>
          <t>หินเจียแกน W-186 SIAS</t>
        </is>
      </c>
      <c r="C968" s="8" t="n">
        <v>1</v>
      </c>
      <c r="D968" s="9" t="n">
        <v>25</v>
      </c>
      <c r="H968" s="9">
        <f>SUM(D968*C968)</f>
        <v/>
      </c>
      <c r="I968" s="10" t="inlineStr">
        <is>
          <t>ศรีสยาม</t>
        </is>
      </c>
      <c r="J968" s="161" t="n">
        <v>24780</v>
      </c>
    </row>
    <row r="969" ht="21" customHeight="1">
      <c r="B969" s="6" t="inlineStr">
        <is>
          <t>หินเจียแกน W-186 SIAS</t>
        </is>
      </c>
      <c r="C969" s="8" t="n">
        <v>1</v>
      </c>
      <c r="D969" s="9" t="n">
        <v>25</v>
      </c>
      <c r="H969" s="9">
        <f>SUM(D969*C969)</f>
        <v/>
      </c>
      <c r="I969" s="10" t="inlineStr">
        <is>
          <t>ศรีสยาม</t>
        </is>
      </c>
      <c r="J969" s="161" t="n">
        <v>24820</v>
      </c>
    </row>
    <row r="970" ht="21" customHeight="1">
      <c r="B970" s="6" t="inlineStr">
        <is>
          <t>หินเจียแกน W-186 SIAS</t>
        </is>
      </c>
      <c r="C970" s="8" t="n">
        <v>1</v>
      </c>
      <c r="D970" s="9" t="n">
        <v>25</v>
      </c>
      <c r="H970" s="9">
        <f>SUM(D970*C970)</f>
        <v/>
      </c>
      <c r="I970" s="10" t="inlineStr">
        <is>
          <t>ศรีสยาม</t>
        </is>
      </c>
      <c r="J970" s="161" t="n">
        <v>24967</v>
      </c>
    </row>
    <row r="972" ht="21" customHeight="1">
      <c r="B972" s="6" t="inlineStr">
        <is>
          <t>หินเจียแกน A-26 KOVET</t>
        </is>
      </c>
      <c r="C972" s="8" t="n">
        <v>1</v>
      </c>
      <c r="D972" s="9" t="n">
        <v>25</v>
      </c>
      <c r="H972" s="9">
        <f>SUM(D972*C972)</f>
        <v/>
      </c>
      <c r="I972" s="10" t="inlineStr">
        <is>
          <t>ศรีสยาม</t>
        </is>
      </c>
      <c r="J972" s="161" t="n">
        <v>24773</v>
      </c>
    </row>
    <row r="974" ht="21" customHeight="1">
      <c r="B974" s="6" t="inlineStr">
        <is>
          <t>หินเจียแกน A-40 KOVET</t>
        </is>
      </c>
      <c r="C974" s="8" t="n">
        <v>1</v>
      </c>
      <c r="D974" s="9" t="n">
        <v>25</v>
      </c>
      <c r="H974" s="9">
        <f>SUM(D974*C974)</f>
        <v/>
      </c>
      <c r="I974" s="10" t="inlineStr">
        <is>
          <t>ศรีสยาม</t>
        </is>
      </c>
      <c r="J974" s="161" t="n">
        <v>24773</v>
      </c>
    </row>
    <row r="976" ht="21" customHeight="1">
      <c r="A976" s="52" t="inlineStr">
        <is>
          <t>เกจ/เกย์วัดแรงดันเครื่อง CO2</t>
        </is>
      </c>
      <c r="B976" s="6" t="inlineStr">
        <is>
          <t>เกจ/เกย์วัดแรงดันเครื่อง CO2 แบบมีฮีทเตอร์ ยี่ห้อ SUMO</t>
        </is>
      </c>
      <c r="C976" s="8" t="inlineStr">
        <is>
          <t>1ชุด</t>
        </is>
      </c>
      <c r="D976" s="9" t="n">
        <v>1120</v>
      </c>
      <c r="H976" s="9" t="n">
        <v>1120</v>
      </c>
      <c r="I976" s="10" t="inlineStr">
        <is>
          <t>Shoppee</t>
        </is>
      </c>
      <c r="J976" s="161" t="n">
        <v>24860</v>
      </c>
    </row>
    <row r="978" ht="21" customHeight="1">
      <c r="A978" s="52" t="inlineStr">
        <is>
          <t>แบตเตอรี่พ่วงแบต</t>
        </is>
      </c>
      <c r="B978" s="6" t="inlineStr">
        <is>
          <t xml:space="preserve">แบตเตอรี่พ่วงแบต N120 Hybrid FB แบบเติมน้ำ </t>
        </is>
      </c>
      <c r="C978" s="8" t="n">
        <v>1</v>
      </c>
      <c r="D978" s="9" t="n">
        <v>3890.01</v>
      </c>
      <c r="H978" s="9">
        <f>SUM(D978*C978)</f>
        <v/>
      </c>
      <c r="I978" s="10" t="inlineStr">
        <is>
          <t>ศรีสยาม</t>
        </is>
      </c>
      <c r="J978" s="161" t="n">
        <v>25009</v>
      </c>
      <c r="L978" s="18" t="inlineStr">
        <is>
          <t>ราคารวม VAT</t>
        </is>
      </c>
    </row>
    <row r="980" ht="21" customHeight="1">
      <c r="A980" s="52" t="inlineStr">
        <is>
          <t>เชือกฟาง</t>
        </is>
      </c>
      <c r="B980" s="6" t="inlineStr">
        <is>
          <t xml:space="preserve">เชือกฟาง </t>
        </is>
      </c>
      <c r="C980" s="8" t="n">
        <v>6</v>
      </c>
      <c r="D980" s="9" t="n">
        <v>22.5</v>
      </c>
      <c r="H980" s="9">
        <f>SUM(D980*C980)</f>
        <v/>
      </c>
      <c r="I980" s="10" t="inlineStr">
        <is>
          <t>Shoppee</t>
        </is>
      </c>
      <c r="J980" s="161" t="n">
        <v>25112</v>
      </c>
      <c r="L980" s="18" t="inlineStr">
        <is>
          <t>แพ็คละ 6ม้วน</t>
        </is>
      </c>
    </row>
    <row r="982" ht="21" customHeight="1">
      <c r="A982" s="52" t="inlineStr">
        <is>
          <t>กระดาษห้องอบสี</t>
        </is>
      </c>
      <c r="B982" s="6" t="inlineStr">
        <is>
          <t>กระดาษห้องอบสี</t>
        </is>
      </c>
      <c r="C982" s="8" t="n">
        <v>1000</v>
      </c>
      <c r="D982" s="9" t="n">
        <v>14</v>
      </c>
      <c r="H982" s="9">
        <f>SUM(D982*C982)</f>
        <v/>
      </c>
      <c r="I982" s="10" t="inlineStr">
        <is>
          <t>หนุ่ม ร้านไดนาโม</t>
        </is>
      </c>
      <c r="J982" s="161" t="n">
        <v>25114</v>
      </c>
      <c r="L982" s="18" t="inlineStr">
        <is>
          <t>ราคาต่อกิโล</t>
        </is>
      </c>
    </row>
    <row r="984" ht="21" customHeight="1">
      <c r="A984" s="52" t="inlineStr">
        <is>
          <t>ตลับเมตร</t>
        </is>
      </c>
      <c r="B984" s="6" t="inlineStr">
        <is>
          <t>ตลับเมตร แบบล็อคอัตโนมัต 8เมตร*25 มม.</t>
        </is>
      </c>
      <c r="C984" s="8" t="n">
        <v>1</v>
      </c>
      <c r="D984" s="9" t="n">
        <v>248</v>
      </c>
      <c r="H984" s="9">
        <f>SUM(D984*C984)</f>
        <v/>
      </c>
      <c r="I984" s="10" t="inlineStr">
        <is>
          <t>ไทวัสดุ</t>
        </is>
      </c>
      <c r="J984" s="161" t="n">
        <v>25135</v>
      </c>
    </row>
  </sheetData>
  <mergeCells count="47">
    <mergeCell ref="L488:M488"/>
    <mergeCell ref="L479:M479"/>
    <mergeCell ref="L455:M455"/>
    <mergeCell ref="L473:M473"/>
    <mergeCell ref="L464:M464"/>
    <mergeCell ref="L498:M498"/>
    <mergeCell ref="L463:M463"/>
    <mergeCell ref="L492:M492"/>
    <mergeCell ref="L497:M497"/>
    <mergeCell ref="L435:M435"/>
    <mergeCell ref="L484:M484"/>
    <mergeCell ref="L460:M460"/>
    <mergeCell ref="L478:M478"/>
    <mergeCell ref="L458:M458"/>
    <mergeCell ref="L469:M469"/>
    <mergeCell ref="L494:M494"/>
    <mergeCell ref="L465:M465"/>
    <mergeCell ref="L485:M485"/>
    <mergeCell ref="L474:M474"/>
    <mergeCell ref="L481:M481"/>
    <mergeCell ref="L477:M477"/>
    <mergeCell ref="L486:M486"/>
    <mergeCell ref="L493:M493"/>
    <mergeCell ref="L431:M431"/>
    <mergeCell ref="L475:M475"/>
    <mergeCell ref="L461:M461"/>
    <mergeCell ref="L470:M470"/>
    <mergeCell ref="L499:M499"/>
    <mergeCell ref="L490:M490"/>
    <mergeCell ref="L495:M495"/>
    <mergeCell ref="L491:M491"/>
    <mergeCell ref="L436:M436"/>
    <mergeCell ref="L480:M480"/>
    <mergeCell ref="L482:M482"/>
    <mergeCell ref="L432:M432"/>
    <mergeCell ref="L476:M476"/>
    <mergeCell ref="L466:M466"/>
    <mergeCell ref="L433:M433"/>
    <mergeCell ref="L487:M487"/>
    <mergeCell ref="L462:M462"/>
    <mergeCell ref="L468:M468"/>
    <mergeCell ref="L459:M459"/>
    <mergeCell ref="L471:M471"/>
    <mergeCell ref="L467:M467"/>
    <mergeCell ref="L496:M496"/>
    <mergeCell ref="L434:M434"/>
    <mergeCell ref="L483:M483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2018-03-09T14:29:38Z</dcterms:created>
  <dcterms:modified xmlns:dcterms="http://purl.org/dc/terms/" xmlns:xsi="http://www.w3.org/2001/XMLSchema-instance" xsi:type="dcterms:W3CDTF">2026-03-20T02:34:06Z</dcterms:modified>
  <cp:lastModifiedBy>NIM_PC</cp:lastModifiedBy>
</cp:coreProperties>
</file>